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WK2" sheetId="1" r:id="rId4"/>
    <sheet state="visible" name="2024 WK3" sheetId="2" r:id="rId5"/>
    <sheet state="visible" name=" 2024 WK4" sheetId="3" r:id="rId6"/>
    <sheet state="visible" name="2024 WK5" sheetId="4" r:id="rId7"/>
    <sheet state="visible" name="2024 WK6" sheetId="5" r:id="rId8"/>
    <sheet state="visible" name="2024 WK7" sheetId="6" r:id="rId9"/>
    <sheet state="visible" name=" 2024 WK8" sheetId="7" r:id="rId10"/>
    <sheet state="visible" name="2024 WK9" sheetId="8" r:id="rId11"/>
    <sheet state="visible" name="2024 MARCH WK10" sheetId="9" r:id="rId12"/>
    <sheet state="visible" name=" 2024 WK11" sheetId="10" r:id="rId13"/>
    <sheet state="visible" name="2024 WK12" sheetId="11" r:id="rId14"/>
    <sheet state="visible" name="2024 WK13" sheetId="12" r:id="rId15"/>
    <sheet state="visible" name=" APRIL2024 WK14" sheetId="13" r:id="rId16"/>
    <sheet state="visible" name="  APRIL2024 WK15" sheetId="14" r:id="rId17"/>
    <sheet state="visible" name="APRIL2024 WK16" sheetId="15" r:id="rId18"/>
    <sheet state="visible" name="APRIL2024 WK17" sheetId="16" r:id="rId19"/>
    <sheet state="visible" name="APRIL2024 WK18" sheetId="17" r:id="rId20"/>
    <sheet state="visible" name=" MAY 2024 WK1" sheetId="18" r:id="rId21"/>
    <sheet state="visible" name=" MAY 2024 WK2" sheetId="19" r:id="rId22"/>
    <sheet state="visible" name="  MAY 2024 WK3" sheetId="20" r:id="rId23"/>
    <sheet state="visible" name="  MAY 2024 WK4" sheetId="21" r:id="rId24"/>
  </sheets>
  <definedNames/>
  <calcPr/>
  <extLst>
    <ext uri="GoogleSheetsCustomDataVersion2">
      <go:sheetsCustomData xmlns:go="http://customooxmlschemas.google.com/" r:id="rId25" roundtripDataChecksum="fvgRaaFYeL8FrUb5x3qCLMjTw6cacYPDTfcKdfQiC5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======
ID#AAABIlLEN4Y
latonya Brown    (2024-03-05 15:15:38)
NOT AUTH 1/9</t>
      </text>
    </comment>
    <comment authorId="0" ref="L30">
      <text>
        <t xml:space="preserve">======
ID#AAABFT35MfI
latonya Brown    (2024-02-08 16:40:45)
DENIED DUE TO OTHER AGENCY BILLING</t>
      </text>
    </comment>
    <comment authorId="0" ref="M32">
      <text>
        <t xml:space="preserve">======
ID#AAABEgEVb-I
latonya Brown    (2024-01-22 13:30:27)
NO COVERAGE
------
ID#AAABEmrvTP8
Monica White    (2024-01-22 16:11:51)
That's they client with foster care situation</t>
      </text>
    </comment>
    <comment authorId="0" ref="G32">
      <text>
        <t xml:space="preserve">======
ID#AAABEgEVb-E
latonya Brown    (2024-01-22 13:27:16)
NO INSURANCE COVERAGE</t>
      </text>
    </comment>
  </commentList>
  <extLst>
    <ext uri="GoogleSheetsCustomDataVersion2">
      <go:sheetsCustomData xmlns:go="http://customooxmlschemas.google.com/" r:id="rId1" roundtripDataSignature="AMtx7mhkzxxPhjMa2FH7rjbkttbZZMhbC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0">
      <text>
        <t xml:space="preserve">======
ID#AAABFT35MfE
latonya Brown    (2024-02-08 16:39:19)
DENIED DUE TO OTHER AGENCY BILLING</t>
      </text>
    </comment>
    <comment authorId="0" ref="L32">
      <text>
        <t xml:space="preserve">======
ID#AAABFYLaIBQ
latonya Brown    (2024-01-30 19:05:48)
CLAIMED DENIED NO INSRANCE</t>
      </text>
    </comment>
  </commentList>
  <extLst>
    <ext uri="GoogleSheetsCustomDataVersion2">
      <go:sheetsCustomData xmlns:go="http://customooxmlschemas.google.com/" r:id="rId1" roundtripDataSignature="AMtx7mgPq4pKLeyQ94NDv2QCinXmjC/Tf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======
ID#AAABGN6_Pp0
latonya Brown    (2024-02-11 19:41:32)
DENIED 17-18 NO AUTH</t>
      </text>
    </comment>
    <comment authorId="0" ref="L39">
      <text>
        <t xml:space="preserve">======
ID#AAABGN6_Ppo
latonya Brown    (2024-02-11 16:28:41)
DENIED  DUPLICATE</t>
      </text>
    </comment>
  </commentList>
  <extLst>
    <ext uri="GoogleSheetsCustomDataVersion2">
      <go:sheetsCustomData xmlns:go="http://customooxmlschemas.google.com/" r:id="rId1" roundtripDataSignature="AMtx7mhLyPAW3j83rYRzAB3gMTjcGuSbm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9">
      <text>
        <t xml:space="preserve">======
ID#AAABIOiGPec
latonya Brown    (2024-02-29 16:36:09)
DENCLAIM PAID TO ANOTHER AGENCY</t>
      </text>
    </comment>
    <comment authorId="0" ref="J29">
      <text>
        <t xml:space="preserve">======
ID#AAABGN6_Ppw
latonya Brown    (2024-02-11 17:17:06)
2 HOUR , WILL EXPLAIN IN MEETING</t>
      </text>
    </comment>
  </commentList>
  <extLst>
    <ext uri="GoogleSheetsCustomDataVersion2">
      <go:sheetsCustomData xmlns:go="http://customooxmlschemas.google.com/" r:id="rId1" roundtripDataSignature="AMtx7mjZ2nbujWNakj/SFwq8ygi6n32lG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8">
      <text>
        <t xml:space="preserve">======
ID#AAABJA3Ae8A
latonya Brown    (2024-03-10 14:39:10)
DENIED NO AUTH</t>
      </text>
    </comment>
    <comment authorId="0" ref="H28">
      <text>
        <t xml:space="preserve">======
ID#AAABJA3Ae78
latonya Brown    (2024-03-10 14:38:00)
NO AUTH ON FILE</t>
      </text>
    </comment>
    <comment authorId="0" ref="L39">
      <text>
        <t xml:space="preserve">======
ID#AAABIYX99q0
latonya Brown    (2024-02-29 14:27:22)
DENIED NO AUTH</t>
      </text>
    </comment>
  </commentList>
  <extLst>
    <ext uri="GoogleSheetsCustomDataVersion2">
      <go:sheetsCustomData xmlns:go="http://customooxmlschemas.google.com/" r:id="rId1" roundtripDataSignature="AMtx7mhVuXWKWjsuFnN1FD46xC99QGNej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3">
      <text>
        <t xml:space="preserve">======
ID#AAABJA3Ae70
latonya Brown    (2024-03-10 13:46:48)
DENIED NO INSURANCE COVERAGE, WILL CHECK STATUS</t>
      </text>
    </comment>
    <comment authorId="0" ref="F43">
      <text>
        <t xml:space="preserve">======
ID#AAABJA3Ae7w
latonya Brown    (2024-03-10 13:46:38)
DENIED NO INSURANCE COVERAGE, WILL CHECK STATUS</t>
      </text>
    </comment>
  </commentList>
  <extLst>
    <ext uri="GoogleSheetsCustomDataVersion2">
      <go:sheetsCustomData xmlns:go="http://customooxmlschemas.google.com/" r:id="rId1" roundtripDataSignature="AMtx7mjwz69KBqY04eJGSfkO/Iu9oj2WH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1">
      <text>
        <t xml:space="preserve">======
ID#AAABLFxJE3g
latonya Brown    (2024-04-08 22:11:30)
DENIED NOT COVERED
------
ID#AAABLFxJE3k
latonya Brown    (2024-04-08 22:18:09)
UNFUNDED</t>
      </text>
    </comment>
  </commentList>
  <extLst>
    <ext uri="GoogleSheetsCustomDataVersion2">
      <go:sheetsCustomData xmlns:go="http://customooxmlschemas.google.com/" r:id="rId1" roundtripDataSignature="AMtx7mhN/e0eIOBgPwTDIeJMp0TtJbbjF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4">
      <text>
        <t xml:space="preserve">======
ID#AAABLFxJE3c
latonya Brown    (2024-04-08 21:50:32)
CO197
138 DENIED 3/2 NO AUTH</t>
      </text>
    </comment>
    <comment authorId="0" ref="L17">
      <text>
        <t xml:space="preserve">======
ID#AAABLFxJE3U
latonya Brown    (2024-04-08 21:45:12)
CO96 
161 N30
DENIED BECAUSE HE WAS UNINSURED AT TIME OF SERVICE
------
ID#AAABLFxJE3Y
latonya Brown    (2024-04-08 21:45:32)
ATTACHED CODE PROVIDED</t>
      </text>
    </comment>
    <comment authorId="0" ref="M13">
      <text>
        <t xml:space="preserve">======
ID#AAABKOY_COk
latonya Brown    (2024-03-26 12:44:43)
DENIED 3/9</t>
      </text>
    </comment>
  </commentList>
  <extLst>
    <ext uri="GoogleSheetsCustomDataVersion2">
      <go:sheetsCustomData xmlns:go="http://customooxmlschemas.google.com/" r:id="rId1" roundtripDataSignature="AMtx7miOxQK4jIZ8cgHPFqmA3iLzgR3S/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9">
      <text>
        <t xml:space="preserve">======
ID#AAABKs3oNIk
latonya Brown    (2024-04-01 18:43:08)
NO AUTH ON FILE 3/4</t>
      </text>
    </comment>
  </commentList>
  <extLst>
    <ext uri="GoogleSheetsCustomDataVersion2">
      <go:sheetsCustomData xmlns:go="http://customooxmlschemas.google.com/" r:id="rId1" roundtripDataSignature="AMtx7mi+w146vWUHi/sBSWJYi5dqH9Yi7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7">
      <text>
        <t xml:space="preserve">======
ID#AAABMFjVAC4
latonya Brown    (2024-04-17 19:26:45)
3/14 DEIED NO AUTH</t>
      </text>
    </comment>
    <comment authorId="0" ref="L49">
      <text>
        <t xml:space="preserve">======
ID#AAABLFxKk8U
latonya Brown    (2024-04-08 22:30:32)
PRIMARY INSURANCE  DENIED</t>
      </text>
    </comment>
    <comment authorId="0" ref="Y13">
      <text>
        <t xml:space="preserve">======
ID#AAABKixTRMI
latonya Brown    (2024-04-07 20:46:09)
WILL FOLLOW  UP UNDER PAYMENT BY INCEDO</t>
      </text>
    </comment>
    <comment authorId="0" ref="J19">
      <text>
        <t xml:space="preserve">======
ID#AAABKixTRME
latonya Brown    (2024-04-07 20:41:34)
DENIED 3/11* WILL FOLLOW UP</t>
      </text>
    </comment>
    <comment authorId="0" ref="J11">
      <text>
        <t xml:space="preserve">======
ID#AAABKixTRL8
latonya Brown    (2024-04-07 20:38:10)
UNDER BILLED *CLAIMED RESUBMITTED 4/5</t>
      </text>
    </comment>
    <comment authorId="0" ref="M41">
      <text>
        <t xml:space="preserve">======
ID#AAABKixTRL4
latonya Brown    (2024-04-07 20:30:31)
DENIED 3/7 WILL FOLLOW UP</t>
      </text>
    </comment>
    <comment authorId="0" ref="M46">
      <text>
        <t xml:space="preserve">======
ID#AAABKixTRLw
latonya Brown    (2024-04-07 20:14:26)
DENIED 3/25   RESUBMITTED BY INCEDO FOR REVIEW</t>
      </text>
    </comment>
    <comment authorId="0" ref="X38">
      <text>
        <t xml:space="preserve">======
ID#AAABK7eAtMA
latonya Brown    (2024-04-04 20:27:24)
CLAM VOIDED BILLED INCORRECT</t>
      </text>
    </comment>
  </commentList>
  <extLst>
    <ext uri="GoogleSheetsCustomDataVersion2">
      <go:sheetsCustomData xmlns:go="http://customooxmlschemas.google.com/" r:id="rId1" roundtripDataSignature="AMtx7mhywK+5VHrKMhusJEq32hCcWlDz1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4">
      <text>
        <t xml:space="preserve">======
ID#AAABMFjVADA
latonya Brown    (2024-04-17 19:30:34)
RESUBMITTED AS CORRECTED CLAIM 4/2 4/3 UNITS INCORRECT</t>
      </text>
    </comment>
    <comment authorId="0" ref="M13">
      <text>
        <t xml:space="preserve">======
ID#AAABMB_66B0
latonya Brown    (2024-04-15 19:32:28)
4/4 DENIED NO AUTH</t>
      </text>
    </comment>
    <comment authorId="0" ref="M36">
      <text>
        <t xml:space="preserve">======
ID#AAABMB_66Bg
latonya Brown    (2024-04-15 18:57:24)
ANOTHER DENIED CLAIM IN MIDDLE OF AUTH WILL FOLLOW UP</t>
      </text>
    </comment>
  </commentList>
  <extLst>
    <ext uri="GoogleSheetsCustomDataVersion2">
      <go:sheetsCustomData xmlns:go="http://customooxmlschemas.google.com/" r:id="rId1" roundtripDataSignature="AMtx7mgF0GLnYjv5nVfm0uK98Q0YuY2jv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1">
      <text>
        <t xml:space="preserve">======
ID#AAABMUntIxQ
latonya Brown    (2024-04-20 16:14:35)
DENIED 4/5 4/6 NO AUTH</t>
      </text>
    </comment>
    <comment authorId="0" ref="M36">
      <text>
        <t xml:space="preserve">======
ID#AAABMUntIxM
latonya Brown    (2024-04-20 16:09:08)
CLAIMS DENIED MID AUTH FOLLOW UP 4/4 4/6</t>
      </text>
    </comment>
    <comment authorId="0" ref="M30">
      <text>
        <t xml:space="preserve">======
ID#AAABMUntIxI
latonya Brown    (2024-04-20 15:57:03)
DENIED 3/21 NO AUTH</t>
      </text>
    </comment>
    <comment authorId="0" ref="M50">
      <text>
        <t xml:space="preserve">======
ID#AAABMUntIxA
latonya Brown    (2024-04-20 15:49:59)
FOLLOW UP DENIED CLAIN IN MIDDLE OF AUTH</t>
      </text>
    </comment>
  </commentList>
  <extLst>
    <ext uri="GoogleSheetsCustomDataVersion2">
      <go:sheetsCustomData xmlns:go="http://customooxmlschemas.google.com/" r:id="rId1" roundtripDataSignature="AMtx7mhyncnz8P1AJvK4B8sv0gSiUh35i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1">
      <text>
        <t xml:space="preserve">======
ID#AAABMy6kwPY
latonya Brown    (2024-05-07 16:33:59)
denied dupl</t>
      </text>
    </comment>
    <comment authorId="0" ref="M31">
      <text>
        <t xml:space="preserve">======
ID#AAABMy6kwPU
latonya Brown    (2024-05-07 16:33:31)
denied 4/25</t>
      </text>
    </comment>
    <comment authorId="0" ref="L28">
      <text>
        <t xml:space="preserve">======
ID#AAABMy6kwPA
latonya Brown    (2024-05-07 15:00:15)
denied</t>
      </text>
    </comment>
    <comment authorId="0" ref="X51">
      <text>
        <t xml:space="preserve">======
ID#AAABMy6kwO0
latonya Brown    (2024-05-07 14:56:49)
denied  exceeds units</t>
      </text>
    </comment>
    <comment authorId="0" ref="U24">
      <text>
        <t xml:space="preserve">======
ID#AAABMy6kwOg
latonya Brown    (2024-05-07 14:25:18)
denied exceeds auth units
------
ID#AAABMy6kwOk
latonya Brown    (2024-05-07 14:28:09)
denied 12 units</t>
      </text>
    </comment>
    <comment authorId="0" ref="L45">
      <text>
        <t xml:space="preserve">======
ID#AAABMy6kwOc
latonya Brown    (2024-05-07 14:20:27)
denied</t>
      </text>
    </comment>
    <comment authorId="0" ref="H50">
      <text>
        <t xml:space="preserve">======
ID#AAABMkz2-Uk
latonya Brown    (2024-04-29 12:02:06)
1463.19  (2) DAY</t>
      </text>
    </comment>
  </commentList>
  <extLst>
    <ext uri="GoogleSheetsCustomDataVersion2">
      <go:sheetsCustomData xmlns:go="http://customooxmlschemas.google.com/" r:id="rId1" roundtripDataSignature="AMtx7mgA03HcIPgWDdpyMGOFcaeqLOb0fg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35">
      <text>
        <t xml:space="preserve">======
ID#AAABNs82PVE
latonya Brown    (2024-05-15 20:11:32)
DENIED NO AUTH 4/22</t>
      </text>
    </comment>
    <comment authorId="0" ref="M36">
      <text>
        <t xml:space="preserve">======
ID#AAABNrc-cB4
latonya Brown    (2024-05-15 14:49:04)
DENIED 5/2</t>
      </text>
    </comment>
    <comment authorId="0" ref="J49">
      <text>
        <t xml:space="preserve">======
ID#AAABNrc-cB0
latonya Brown    (2024-05-15 14:39:59)
DENIED 4/17-18</t>
      </text>
    </comment>
    <comment authorId="0" ref="M24">
      <text>
        <t xml:space="preserve">======
ID#AAABNrc-cBo
latonya Brown    (2024-05-15 14:36:32)
DENIED 5/2 AUTH</t>
      </text>
    </comment>
    <comment authorId="0" ref="I49">
      <text>
        <t xml:space="preserve">======
ID#AAABMxUzyYw
latonya Brown    (2024-05-05 17:37:02)
4/18 2 HOURS</t>
      </text>
    </comment>
  </commentList>
  <extLst>
    <ext uri="GoogleSheetsCustomDataVersion2">
      <go:sheetsCustomData xmlns:go="http://customooxmlschemas.google.com/" r:id="rId1" roundtripDataSignature="AMtx7mj5lPeajeHt5Jkn0egMMFbCyvp8fg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5">
      <text>
        <t xml:space="preserve">======
ID#AAABN5--xlM
latonya Brown    (2024-05-23 16:37:59)
NO AUTH</t>
      </text>
    </comment>
    <comment authorId="0" ref="Y19">
      <text>
        <t xml:space="preserve">======
ID#AAABN5--xk8
latonya Brown    (2024-05-23 16:02:51)
DENIED</t>
      </text>
    </comment>
    <comment authorId="0" ref="M38">
      <text>
        <t xml:space="preserve">======
ID#AAABN5--xk0
latonya Brown    (2024-05-23 15:51:15)
denied no auth</t>
      </text>
    </comment>
    <comment authorId="0" ref="V37">
      <text>
        <t xml:space="preserve">======
ID#AAABN5--xkM
latonya Brown    (2024-05-23 15:28:31)
denied no units</t>
      </text>
    </comment>
  </commentList>
  <extLst>
    <ext uri="GoogleSheetsCustomDataVersion2">
      <go:sheetsCustomData xmlns:go="http://customooxmlschemas.google.com/" r:id="rId1" roundtripDataSignature="AMtx7mjeFfX7i+yXt7mnSvGuL7iHd7nlA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9">
      <text>
        <t xml:space="preserve">======
ID#AAABN5--xlw
latonya Brown    (2024-05-23 17:15:42)
DENIED UNIT</t>
      </text>
    </comment>
    <comment authorId="0" ref="M27">
      <text>
        <t xml:space="preserve">======
ID#AAABN5--xlU
latonya Brown    (2024-05-23 16:42:33)
DENIED 4/18 DUP</t>
      </text>
    </comment>
    <comment authorId="0" ref="M4">
      <text>
        <t xml:space="preserve">======
ID#AAABN5--xlI
latonya Brown    (2024-05-23 16:25:51)
DENIED EXCEEDS</t>
      </text>
    </comment>
    <comment authorId="0" ref="M40">
      <text>
        <t xml:space="preserve">======
ID#AAABN5--xlA
latonya Brown    (2024-05-23 16:19:56)
INSURANCE COVERAGE EXPIRED</t>
      </text>
    </comment>
  </commentList>
  <extLst>
    <ext uri="GoogleSheetsCustomDataVersion2">
      <go:sheetsCustomData xmlns:go="http://customooxmlschemas.google.com/" r:id="rId1" roundtripDataSignature="AMtx7mjN/YwfKUef/z4KenTQRYmVgAs2BQ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2">
      <text>
        <t xml:space="preserve">======
ID#AAABPQdvGxE
latonya Brown    (2024-06-06 17:55:10)
DENIED 4 UNITS NO AUTH</t>
      </text>
    </comment>
  </commentList>
  <extLst>
    <ext uri="GoogleSheetsCustomDataVersion2">
      <go:sheetsCustomData xmlns:go="http://customooxmlschemas.google.com/" r:id="rId1" roundtripDataSignature="AMtx7mhCuY5TcKWzlW7aLDR8D9SXxxrNdQ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8">
      <text>
        <t xml:space="preserve">======
ID#AAABPQSMDoM
latonya Brown    (2024-06-06 12:58:45)
DENIED 5/31 NO AUTH</t>
      </text>
    </comment>
  </commentList>
  <extLst>
    <ext uri="GoogleSheetsCustomDataVersion2">
      <go:sheetsCustomData xmlns:go="http://customooxmlschemas.google.com/" r:id="rId1" roundtripDataSignature="AMtx7mhBsucLJxZOZl+jUz+B9c4dCjwurg=="/>
    </ext>
  </extLst>
</comments>
</file>

<file path=xl/sharedStrings.xml><?xml version="1.0" encoding="utf-8"?>
<sst xmlns="http://schemas.openxmlformats.org/spreadsheetml/2006/main" count="2546" uniqueCount="259">
  <si>
    <t>Dates of Service</t>
  </si>
  <si>
    <t xml:space="preserve">Last Name </t>
  </si>
  <si>
    <t>First Name</t>
  </si>
  <si>
    <t>Start</t>
  </si>
  <si>
    <t>End</t>
  </si>
  <si>
    <t>ASSESS</t>
  </si>
  <si>
    <t>Amount Billed</t>
  </si>
  <si>
    <t>Amount Paid</t>
  </si>
  <si>
    <t>PHP</t>
  </si>
  <si>
    <t>IOP</t>
  </si>
  <si>
    <t>OP-G</t>
  </si>
  <si>
    <t>OP-Ind</t>
  </si>
  <si>
    <t>Peer-Ind</t>
  </si>
  <si>
    <t>Peer-G</t>
  </si>
  <si>
    <t>MDRN</t>
  </si>
  <si>
    <t>Total Amount Due</t>
  </si>
  <si>
    <t>Date of Payment</t>
  </si>
  <si>
    <t>Billing Comments</t>
  </si>
  <si>
    <t>DARGEN</t>
  </si>
  <si>
    <t>SHAWON</t>
  </si>
  <si>
    <t>BLACK</t>
  </si>
  <si>
    <t>AARON</t>
  </si>
  <si>
    <t>BELL</t>
  </si>
  <si>
    <t>MYECE</t>
  </si>
  <si>
    <t>WOLF</t>
  </si>
  <si>
    <t>RONALD</t>
  </si>
  <si>
    <t>JAMES</t>
  </si>
  <si>
    <t>TRAVIS</t>
  </si>
  <si>
    <t>1/5/0204</t>
  </si>
  <si>
    <t>PEREZ</t>
  </si>
  <si>
    <t>SCOTT</t>
  </si>
  <si>
    <t>ASHLEY</t>
  </si>
  <si>
    <t>SABEDRA</t>
  </si>
  <si>
    <t>ANTWAN</t>
  </si>
  <si>
    <t>1/82024</t>
  </si>
  <si>
    <t>ADAMS</t>
  </si>
  <si>
    <t>ANDY</t>
  </si>
  <si>
    <t>SCHMIDT</t>
  </si>
  <si>
    <t>JULIAN</t>
  </si>
  <si>
    <t>BRIDGES</t>
  </si>
  <si>
    <t>ANTHONY</t>
  </si>
  <si>
    <t>MCCORMICK</t>
  </si>
  <si>
    <t>TRACEY</t>
  </si>
  <si>
    <t>KING</t>
  </si>
  <si>
    <t>HERMAN</t>
  </si>
  <si>
    <t>BAUBLITZ</t>
  </si>
  <si>
    <t>DAVID</t>
  </si>
  <si>
    <t>THOMAS</t>
  </si>
  <si>
    <t>VERONICA</t>
  </si>
  <si>
    <t>BANKS</t>
  </si>
  <si>
    <t>GARRISON</t>
  </si>
  <si>
    <t>BRUNON</t>
  </si>
  <si>
    <t>THAD</t>
  </si>
  <si>
    <t>LOWERY</t>
  </si>
  <si>
    <t>BRIAN</t>
  </si>
  <si>
    <t>FREEMAN</t>
  </si>
  <si>
    <t>XIA</t>
  </si>
  <si>
    <t>RHONEY</t>
  </si>
  <si>
    <t>ERIC</t>
  </si>
  <si>
    <t>SERP</t>
  </si>
  <si>
    <t>DANIELLE</t>
  </si>
  <si>
    <t>BRITTON</t>
  </si>
  <si>
    <t>KOREY</t>
  </si>
  <si>
    <t>COLEMAN</t>
  </si>
  <si>
    <t>JASMINE</t>
  </si>
  <si>
    <t>JOHNSON</t>
  </si>
  <si>
    <t>JENNIFER</t>
  </si>
  <si>
    <t>GRADY</t>
  </si>
  <si>
    <t>KAREN</t>
  </si>
  <si>
    <t>LYLES</t>
  </si>
  <si>
    <t>KESE</t>
  </si>
  <si>
    <t>DAVIS</t>
  </si>
  <si>
    <t>ASHFORD</t>
  </si>
  <si>
    <t>MITCHELL</t>
  </si>
  <si>
    <t>JOSHUA</t>
  </si>
  <si>
    <t>MANLEY-PACHEL</t>
  </si>
  <si>
    <t>SHAQEAL</t>
  </si>
  <si>
    <t>WILLIAM</t>
  </si>
  <si>
    <t>RENEE</t>
  </si>
  <si>
    <t>THORNTON</t>
  </si>
  <si>
    <t>MARIA</t>
  </si>
  <si>
    <t>TOTAL</t>
  </si>
  <si>
    <t>DOWNING</t>
  </si>
  <si>
    <t>IKEYSHA</t>
  </si>
  <si>
    <t>FELICA</t>
  </si>
  <si>
    <t>LONG</t>
  </si>
  <si>
    <t>ANGELA</t>
  </si>
  <si>
    <t>SHARNELL</t>
  </si>
  <si>
    <t>STREET</t>
  </si>
  <si>
    <t>MAURICE</t>
  </si>
  <si>
    <t>JONES</t>
  </si>
  <si>
    <t>SHINYAH</t>
  </si>
  <si>
    <t>BRANDLEY</t>
  </si>
  <si>
    <t>DARUS</t>
  </si>
  <si>
    <t>LASHELL</t>
  </si>
  <si>
    <t>GAINS</t>
  </si>
  <si>
    <t>RAYTUNDO</t>
  </si>
  <si>
    <t>FOREMAN</t>
  </si>
  <si>
    <t>CHEANTA</t>
  </si>
  <si>
    <t>FERGUSON</t>
  </si>
  <si>
    <t>MARTINA</t>
  </si>
  <si>
    <t>HERNANDEZ</t>
  </si>
  <si>
    <t>CHRISTIAN</t>
  </si>
  <si>
    <t>RIVERA</t>
  </si>
  <si>
    <t>GIOVANNA</t>
  </si>
  <si>
    <t>KOEHLER</t>
  </si>
  <si>
    <t>JACOB</t>
  </si>
  <si>
    <t>BRANDON</t>
  </si>
  <si>
    <t>TREVOR</t>
  </si>
  <si>
    <t>WILLIAMS</t>
  </si>
  <si>
    <t>JANSON</t>
  </si>
  <si>
    <t>ROBINSON</t>
  </si>
  <si>
    <t>RASHAWNDA</t>
  </si>
  <si>
    <t>MILES</t>
  </si>
  <si>
    <t>DAVAJI</t>
  </si>
  <si>
    <t>SMITH</t>
  </si>
  <si>
    <t>RODNEY</t>
  </si>
  <si>
    <t>SIMMS</t>
  </si>
  <si>
    <t>DAWKON</t>
  </si>
  <si>
    <t>FLEMING</t>
  </si>
  <si>
    <t>AUTHOR</t>
  </si>
  <si>
    <t>RANDALL</t>
  </si>
  <si>
    <t>MARTIN</t>
  </si>
  <si>
    <t>WASHINGTON</t>
  </si>
  <si>
    <t>TYCHELLEE</t>
  </si>
  <si>
    <t>WARREN</t>
  </si>
  <si>
    <t>DEZAREI</t>
  </si>
  <si>
    <t>FLEMIMG</t>
  </si>
  <si>
    <t>ARTHUR</t>
  </si>
  <si>
    <t>MALIK</t>
  </si>
  <si>
    <t>MURPHY</t>
  </si>
  <si>
    <t>BIANLCA</t>
  </si>
  <si>
    <t>MWANGI</t>
  </si>
  <si>
    <t>ASHIA</t>
  </si>
  <si>
    <t>MARTTIN</t>
  </si>
  <si>
    <t>BRITTEN</t>
  </si>
  <si>
    <t>WHITFIELD</t>
  </si>
  <si>
    <t>MARQUIS</t>
  </si>
  <si>
    <t>SHAMPINATO</t>
  </si>
  <si>
    <t>DAKWON</t>
  </si>
  <si>
    <t>DWAYNE</t>
  </si>
  <si>
    <t>BRADLEY</t>
  </si>
  <si>
    <t>DOMINIQUE</t>
  </si>
  <si>
    <t>CORNISH</t>
  </si>
  <si>
    <t>DARRYL</t>
  </si>
  <si>
    <t>WHITTINGTON</t>
  </si>
  <si>
    <t>TIFFANY</t>
  </si>
  <si>
    <t>2/28/0204</t>
  </si>
  <si>
    <t>MURRILL</t>
  </si>
  <si>
    <t>ANDRE</t>
  </si>
  <si>
    <t>FALESHIA</t>
  </si>
  <si>
    <t>UZZELL</t>
  </si>
  <si>
    <t>QUENTIN</t>
  </si>
  <si>
    <t>DUNN</t>
  </si>
  <si>
    <t>JOURDAN</t>
  </si>
  <si>
    <t>SPAMPINATO</t>
  </si>
  <si>
    <t>MARTINEZ</t>
  </si>
  <si>
    <t>FRANK</t>
  </si>
  <si>
    <t>BROOKS</t>
  </si>
  <si>
    <t>BENJAMIN</t>
  </si>
  <si>
    <t>DEWAYNE</t>
  </si>
  <si>
    <t>BROWN</t>
  </si>
  <si>
    <t>EDWARD</t>
  </si>
  <si>
    <t>WHITE</t>
  </si>
  <si>
    <t>MALINDA</t>
  </si>
  <si>
    <t>BIANCA</t>
  </si>
  <si>
    <t xml:space="preserve"> </t>
  </si>
  <si>
    <t>WILLIMS</t>
  </si>
  <si>
    <t>RAYVEN</t>
  </si>
  <si>
    <t>3/17/0204</t>
  </si>
  <si>
    <t>HOWARD</t>
  </si>
  <si>
    <t>TERRELL</t>
  </si>
  <si>
    <t>DARNELL</t>
  </si>
  <si>
    <t>TREVONTE</t>
  </si>
  <si>
    <t>WARD</t>
  </si>
  <si>
    <t>DOUGLASS</t>
  </si>
  <si>
    <t>DEJUAN</t>
  </si>
  <si>
    <t>EXUM</t>
  </si>
  <si>
    <t>KEVIA</t>
  </si>
  <si>
    <t>R</t>
  </si>
  <si>
    <t>MASON</t>
  </si>
  <si>
    <t>CLARK</t>
  </si>
  <si>
    <t>ROY</t>
  </si>
  <si>
    <t>BLACKWELL</t>
  </si>
  <si>
    <t>PATRICIA</t>
  </si>
  <si>
    <t>3/3182024</t>
  </si>
  <si>
    <t>CORRECTIONS MADE ON 4/7/2024 EOB</t>
  </si>
  <si>
    <t>BRAIN</t>
  </si>
  <si>
    <t>DOMINQUE</t>
  </si>
  <si>
    <t>DOUGLAS</t>
  </si>
  <si>
    <t>ANTONIO</t>
  </si>
  <si>
    <t>MORGAN</t>
  </si>
  <si>
    <t>JERMAINE</t>
  </si>
  <si>
    <t>GIBSON</t>
  </si>
  <si>
    <t>KYLEAH</t>
  </si>
  <si>
    <t>HACKETT</t>
  </si>
  <si>
    <t>STACIA</t>
  </si>
  <si>
    <t>3/25/0201</t>
  </si>
  <si>
    <t>LEES</t>
  </si>
  <si>
    <t>RYAN</t>
  </si>
  <si>
    <t>TAI-AMBER</t>
  </si>
  <si>
    <t>KANE</t>
  </si>
  <si>
    <t>MICHAEL</t>
  </si>
  <si>
    <t>ROGERS</t>
  </si>
  <si>
    <t>MANTEO</t>
  </si>
  <si>
    <t>?</t>
  </si>
  <si>
    <t>JOSUA</t>
  </si>
  <si>
    <t>COLLINS</t>
  </si>
  <si>
    <t>TERESA</t>
  </si>
  <si>
    <t>COFIELD</t>
  </si>
  <si>
    <t>ALPHONSO</t>
  </si>
  <si>
    <t>SELLERS</t>
  </si>
  <si>
    <t>HUNTLEY</t>
  </si>
  <si>
    <t>LEWIS</t>
  </si>
  <si>
    <t>HART</t>
  </si>
  <si>
    <t>WEEDON</t>
  </si>
  <si>
    <t>DIAMOND</t>
  </si>
  <si>
    <t>PEER PAID 4/21/2024</t>
  </si>
  <si>
    <t>RAYVIEW</t>
  </si>
  <si>
    <t>DANA</t>
  </si>
  <si>
    <t>MUSAWIR</t>
  </si>
  <si>
    <t>IVANA</t>
  </si>
  <si>
    <t>GRA</t>
  </si>
  <si>
    <t>COPFEID</t>
  </si>
  <si>
    <t>ALPHONSON</t>
  </si>
  <si>
    <t>MILLER</t>
  </si>
  <si>
    <t>SHELTON</t>
  </si>
  <si>
    <t>RATCHFORD</t>
  </si>
  <si>
    <t>CHRISTINA</t>
  </si>
  <si>
    <t>TREY</t>
  </si>
  <si>
    <t>MURRELL</t>
  </si>
  <si>
    <t>BEST</t>
  </si>
  <si>
    <t>DURANT</t>
  </si>
  <si>
    <t>BRION</t>
  </si>
  <si>
    <t>STEWART</t>
  </si>
  <si>
    <t>SHONN</t>
  </si>
  <si>
    <t>PALMER</t>
  </si>
  <si>
    <t>DEVALE</t>
  </si>
  <si>
    <t>THORTAN</t>
  </si>
  <si>
    <t>FLOWERS</t>
  </si>
  <si>
    <t>CYNTHIA</t>
  </si>
  <si>
    <t>ESTREET</t>
  </si>
  <si>
    <t>SADLER</t>
  </si>
  <si>
    <t>CARIE</t>
  </si>
  <si>
    <t>SATTERWHITE</t>
  </si>
  <si>
    <t>ADREN</t>
  </si>
  <si>
    <t>/15</t>
  </si>
  <si>
    <t>BAKER</t>
  </si>
  <si>
    <t>POWELL</t>
  </si>
  <si>
    <t>BELINDA</t>
  </si>
  <si>
    <t>MONTGOMERY</t>
  </si>
  <si>
    <t>JAMAL</t>
  </si>
  <si>
    <t>JACKSON</t>
  </si>
  <si>
    <t>COURTNEY</t>
  </si>
  <si>
    <t>GAMBLE</t>
  </si>
  <si>
    <t>DAPARIS</t>
  </si>
  <si>
    <t>TARA</t>
  </si>
  <si>
    <t>KIRBY</t>
  </si>
  <si>
    <t>BRIANNA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</si>
</sst>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_);[Red]\(&quot;$&quot;#,##0.00\)"/>
    <numFmt numFmtId="165" formatCode="mm/dd/yyyy"/>
    <numFmt numFmtId="166" formatCode="m/d/yyyy"/>
    <numFmt numFmtId="167" formatCode="M/d/yyyy"/>
    <numFmt numFmtId="168" formatCode="&quot;$&quot;#,##0.00"/>
    <numFmt numFmtId="169" formatCode="m/d"/>
  </numFmts>
  <fonts count="10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/>
    <font>
      <sz val="11.0"/>
      <color rgb="FFFF0000"/>
      <name val="Calibri"/>
    </font>
    <font>
      <sz val="12.0"/>
      <color rgb="FF000000"/>
      <name val="Calibri"/>
    </font>
    <font>
      <b/>
      <sz val="11.0"/>
      <color rgb="FFFF0000"/>
      <name val="Calibri"/>
    </font>
    <font>
      <sz val="11.0"/>
      <color theme="1"/>
      <name val="Calibri"/>
    </font>
    <font>
      <sz val="11.0"/>
      <color rgb="FF000000"/>
      <name val="Docs-Calibri"/>
    </font>
  </fonts>
  <fills count="1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0" xfId="0" applyAlignment="1" applyFont="1">
      <alignment horizontal="center"/>
    </xf>
    <xf borderId="0" fillId="0" fontId="1" numFmtId="0" xfId="0" applyFont="1"/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3" fillId="0" fontId="1" numFmtId="1" xfId="0" applyBorder="1" applyFont="1" applyNumberFormat="1"/>
    <xf borderId="1" fillId="0" fontId="3" numFmtId="0" xfId="0" applyAlignment="1" applyBorder="1" applyFont="1">
      <alignment horizontal="center"/>
    </xf>
    <xf borderId="1" fillId="2" fontId="3" numFmtId="1" xfId="0" applyAlignment="1" applyBorder="1" applyFill="1" applyFont="1" applyNumberFormat="1">
      <alignment horizontal="center" vertical="center"/>
    </xf>
    <xf borderId="1" fillId="2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3" numFmtId="1" xfId="0" applyAlignment="1" applyBorder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/>
    </xf>
    <xf borderId="1" fillId="5" fontId="1" numFmtId="0" xfId="0" applyBorder="1" applyFill="1" applyFont="1"/>
    <xf borderId="1" fillId="0" fontId="1" numFmtId="14" xfId="0" applyAlignment="1" applyBorder="1" applyFont="1" applyNumberFormat="1">
      <alignment horizontal="center"/>
    </xf>
    <xf borderId="1" fillId="2" fontId="1" numFmtId="1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2" fontId="1" numFmtId="164" xfId="0" applyAlignment="1" applyBorder="1" applyFont="1" applyNumberFormat="1">
      <alignment horizontal="center"/>
    </xf>
    <xf borderId="1" fillId="2" fontId="1" numFmtId="164" xfId="0" applyBorder="1" applyFont="1" applyNumberFormat="1"/>
    <xf borderId="1" fillId="3" fontId="1" numFmtId="1" xfId="0" applyAlignment="1" applyBorder="1" applyFont="1" applyNumberFormat="1">
      <alignment horizontal="center"/>
    </xf>
    <xf borderId="1" fillId="4" fontId="1" numFmtId="164" xfId="0" applyBorder="1" applyFont="1" applyNumberFormat="1"/>
    <xf borderId="1" fillId="0" fontId="1" numFmtId="165" xfId="0" applyBorder="1" applyFont="1" applyNumberFormat="1"/>
    <xf borderId="1" fillId="0" fontId="5" numFmtId="0" xfId="0" applyBorder="1" applyFont="1"/>
    <xf borderId="1" fillId="5" fontId="5" numFmtId="0" xfId="0" applyAlignment="1" applyBorder="1" applyFont="1">
      <alignment horizontal="left"/>
    </xf>
    <xf borderId="0" fillId="5" fontId="6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1" xfId="0" applyBorder="1" applyFont="1" applyNumberFormat="1"/>
    <xf borderId="1" fillId="3" fontId="1" numFmtId="1" xfId="0" applyBorder="1" applyFont="1" applyNumberFormat="1"/>
    <xf borderId="1" fillId="0" fontId="1" numFmtId="166" xfId="0" applyAlignment="1" applyBorder="1" applyFont="1" applyNumberFormat="1">
      <alignment horizontal="center"/>
    </xf>
    <xf borderId="4" fillId="5" fontId="1" numFmtId="0" xfId="0" applyBorder="1" applyFont="1"/>
    <xf borderId="5" fillId="0" fontId="7" numFmtId="0" xfId="0" applyBorder="1" applyFont="1"/>
    <xf borderId="6" fillId="0" fontId="5" numFmtId="0" xfId="0" applyBorder="1" applyFont="1"/>
    <xf borderId="6" fillId="0" fontId="5" numFmtId="1" xfId="0" applyBorder="1" applyFont="1" applyNumberFormat="1"/>
    <xf borderId="6" fillId="0" fontId="5" numFmtId="164" xfId="0" applyBorder="1" applyFont="1" applyNumberFormat="1"/>
    <xf borderId="6" fillId="0" fontId="5" numFmtId="164" xfId="0" applyAlignment="1" applyBorder="1" applyFont="1" applyNumberFormat="1">
      <alignment horizontal="center"/>
    </xf>
    <xf borderId="7" fillId="0" fontId="5" numFmtId="0" xfId="0" applyBorder="1" applyFont="1"/>
    <xf borderId="1" fillId="4" fontId="3" numFmtId="0" xfId="0" applyBorder="1" applyFont="1"/>
    <xf borderId="1" fillId="0" fontId="1" numFmtId="166" xfId="0" applyBorder="1" applyFont="1" applyNumberFormat="1"/>
    <xf borderId="8" fillId="0" fontId="7" numFmtId="0" xfId="0" applyBorder="1" applyFont="1"/>
    <xf borderId="9" fillId="0" fontId="5" numFmtId="0" xfId="0" applyBorder="1" applyFont="1"/>
    <xf borderId="9" fillId="0" fontId="5" numFmtId="1" xfId="0" applyBorder="1" applyFont="1" applyNumberFormat="1"/>
    <xf borderId="9" fillId="0" fontId="5" numFmtId="164" xfId="0" applyBorder="1" applyFont="1" applyNumberFormat="1"/>
    <xf borderId="10" fillId="0" fontId="5" numFmtId="0" xfId="0" applyBorder="1" applyFont="1"/>
    <xf borderId="1" fillId="0" fontId="1" numFmtId="14" xfId="0" applyBorder="1" applyFont="1" applyNumberFormat="1"/>
    <xf borderId="1" fillId="6" fontId="5" numFmtId="0" xfId="0" applyBorder="1" applyFill="1" applyFont="1"/>
    <xf borderId="1" fillId="0" fontId="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7" fontId="1" numFmtId="0" xfId="0" applyBorder="1" applyFill="1" applyFont="1"/>
    <xf borderId="11" fillId="5" fontId="6" numFmtId="0" xfId="0" applyBorder="1" applyFont="1"/>
    <xf borderId="12" fillId="0" fontId="6" numFmtId="0" xfId="0" applyBorder="1" applyFont="1"/>
    <xf borderId="1" fillId="0" fontId="1" numFmtId="165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readingOrder="0"/>
    </xf>
    <xf borderId="1" fillId="0" fontId="1" numFmtId="167" xfId="0" applyBorder="1" applyFont="1" applyNumberFormat="1"/>
    <xf borderId="1" fillId="2" fontId="1" numFmtId="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2" fontId="1" numFmtId="1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0" fontId="1" numFmtId="14" xfId="0" applyAlignment="1" applyBorder="1" applyFont="1" applyNumberFormat="1">
      <alignment horizontal="center" readingOrder="0"/>
    </xf>
    <xf borderId="1" fillId="3" fontId="1" numFmtId="1" xfId="0" applyAlignment="1" applyBorder="1" applyFont="1" applyNumberFormat="1">
      <alignment horizontal="center" readingOrder="0"/>
    </xf>
    <xf borderId="1" fillId="7" fontId="1" numFmtId="14" xfId="0" applyAlignment="1" applyBorder="1" applyFont="1" applyNumberFormat="1">
      <alignment horizontal="center"/>
    </xf>
    <xf borderId="1" fillId="7" fontId="1" numFmtId="1" xfId="0" applyAlignment="1" applyBorder="1" applyFont="1" applyNumberFormat="1">
      <alignment horizontal="center"/>
    </xf>
    <xf borderId="1" fillId="7" fontId="1" numFmtId="164" xfId="0" applyBorder="1" applyFont="1" applyNumberFormat="1"/>
    <xf borderId="1" fillId="7" fontId="1" numFmtId="1" xfId="0" applyAlignment="1" applyBorder="1" applyFont="1" applyNumberFormat="1">
      <alignment horizontal="center" readingOrder="0"/>
    </xf>
    <xf borderId="1" fillId="7" fontId="1" numFmtId="164" xfId="0" applyAlignment="1" applyBorder="1" applyFont="1" applyNumberFormat="1">
      <alignment readingOrder="0"/>
    </xf>
    <xf borderId="1" fillId="7" fontId="5" numFmtId="0" xfId="0" applyBorder="1" applyFont="1"/>
    <xf borderId="0" fillId="7" fontId="2" numFmtId="0" xfId="0" applyFont="1"/>
    <xf borderId="1" fillId="0" fontId="1" numFmtId="166" xfId="0" applyAlignment="1" applyBorder="1" applyFont="1" applyNumberFormat="1">
      <alignment horizontal="center" readingOrder="0"/>
    </xf>
    <xf borderId="1" fillId="3" fontId="1" numFmtId="1" xfId="0" applyAlignment="1" applyBorder="1" applyFont="1" applyNumberFormat="1">
      <alignment readingOrder="0"/>
    </xf>
    <xf borderId="1" fillId="7" fontId="1" numFmtId="166" xfId="0" applyAlignment="1" applyBorder="1" applyFont="1" applyNumberFormat="1">
      <alignment horizontal="center"/>
    </xf>
    <xf borderId="1" fillId="7" fontId="1" numFmtId="1" xfId="0" applyBorder="1" applyFont="1" applyNumberFormat="1"/>
    <xf borderId="0" fillId="0" fontId="6" numFmtId="0" xfId="0" applyFont="1"/>
    <xf borderId="1" fillId="0" fontId="1" numFmtId="14" xfId="0" applyAlignment="1" applyBorder="1" applyFont="1" applyNumberFormat="1">
      <alignment readingOrder="0"/>
    </xf>
    <xf borderId="1" fillId="7" fontId="1" numFmtId="14" xfId="0" applyAlignment="1" applyBorder="1" applyFont="1" applyNumberFormat="1">
      <alignment horizontal="center" readingOrder="0"/>
    </xf>
    <xf borderId="1" fillId="5" fontId="1" numFmtId="14" xfId="0" applyAlignment="1" applyBorder="1" applyFont="1" applyNumberFormat="1">
      <alignment horizontal="center" readingOrder="0"/>
    </xf>
    <xf borderId="1" fillId="8" fontId="1" numFmtId="1" xfId="0" applyBorder="1" applyFill="1" applyFont="1" applyNumberFormat="1"/>
    <xf borderId="1" fillId="5" fontId="1" numFmtId="164" xfId="0" applyBorder="1" applyFont="1" applyNumberFormat="1"/>
    <xf borderId="1" fillId="9" fontId="1" numFmtId="1" xfId="0" applyBorder="1" applyFill="1" applyFont="1" applyNumberFormat="1"/>
    <xf borderId="1" fillId="10" fontId="1" numFmtId="1" xfId="0" applyAlignment="1" applyBorder="1" applyFill="1" applyFont="1" applyNumberFormat="1">
      <alignment horizontal="center" readingOrder="0"/>
    </xf>
    <xf borderId="1" fillId="5" fontId="1" numFmtId="166" xfId="0" applyAlignment="1" applyBorder="1" applyFont="1" applyNumberFormat="1">
      <alignment horizontal="center" readingOrder="0"/>
    </xf>
    <xf borderId="1" fillId="11" fontId="1" numFmtId="1" xfId="0" applyAlignment="1" applyBorder="1" applyFill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1" fillId="10" fontId="1" numFmtId="1" xfId="0" applyBorder="1" applyFont="1" applyNumberFormat="1"/>
    <xf borderId="1" fillId="9" fontId="1" numFmtId="1" xfId="0" applyAlignment="1" applyBorder="1" applyFont="1" applyNumberFormat="1">
      <alignment horizontal="center" readingOrder="0"/>
    </xf>
    <xf borderId="1" fillId="2" fontId="3" numFmtId="1" xfId="0" applyAlignment="1" applyBorder="1" applyFont="1" applyNumberFormat="1">
      <alignment horizontal="center" readingOrder="0" vertical="center"/>
    </xf>
    <xf borderId="1" fillId="5" fontId="5" numFmtId="0" xfId="0" applyBorder="1" applyFont="1"/>
    <xf borderId="1" fillId="7" fontId="1" numFmtId="0" xfId="0" applyAlignment="1" applyBorder="1" applyFont="1">
      <alignment readingOrder="0"/>
    </xf>
    <xf borderId="1" fillId="12" fontId="1" numFmtId="1" xfId="0" applyBorder="1" applyFill="1" applyFont="1" applyNumberFormat="1"/>
    <xf borderId="1" fillId="13" fontId="1" numFmtId="164" xfId="0" applyBorder="1" applyFill="1" applyFont="1" applyNumberFormat="1"/>
    <xf borderId="1" fillId="12" fontId="1" numFmtId="1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1" fillId="5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right" vertical="bottom"/>
    </xf>
    <xf borderId="0" fillId="5" fontId="9" numFmtId="14" xfId="0" applyAlignment="1" applyFont="1" applyNumberFormat="1">
      <alignment horizontal="center" readingOrder="0"/>
    </xf>
    <xf borderId="0" fillId="5" fontId="1" numFmtId="1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14" fontId="1" numFmtId="0" xfId="0" applyAlignment="1" applyBorder="1" applyFill="1" applyFont="1">
      <alignment readingOrder="0"/>
    </xf>
    <xf borderId="0" fillId="0" fontId="2" numFmtId="168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9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10.43"/>
    <col customWidth="1" min="21" max="21" width="13.71"/>
    <col customWidth="1" min="22" max="22" width="14.0"/>
    <col customWidth="1" min="23" max="23" width="10.57"/>
    <col customWidth="1" min="24" max="24" width="13.29"/>
    <col customWidth="1" min="25" max="25" width="13.57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2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8"/>
      <c r="U2" s="4"/>
      <c r="V2" s="4"/>
      <c r="W2" s="4"/>
      <c r="X2" s="4"/>
      <c r="Y2" s="4"/>
      <c r="Z2" s="7"/>
      <c r="AA2" s="4"/>
      <c r="AB2" s="4"/>
      <c r="AC2" s="4"/>
      <c r="AD2" s="4"/>
      <c r="AE2" s="4"/>
    </row>
    <row r="3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8" t="s">
        <v>6</v>
      </c>
      <c r="G3" s="8" t="s">
        <v>7</v>
      </c>
      <c r="H3" s="9" t="s">
        <v>8</v>
      </c>
      <c r="I3" s="8" t="s">
        <v>6</v>
      </c>
      <c r="J3" s="8" t="s">
        <v>7</v>
      </c>
      <c r="K3" s="9" t="s">
        <v>9</v>
      </c>
      <c r="L3" s="8" t="s">
        <v>6</v>
      </c>
      <c r="M3" s="8" t="s">
        <v>7</v>
      </c>
      <c r="N3" s="9" t="s">
        <v>10</v>
      </c>
      <c r="O3" s="8" t="s">
        <v>6</v>
      </c>
      <c r="P3" s="8" t="s">
        <v>7</v>
      </c>
      <c r="Q3" s="9" t="s">
        <v>11</v>
      </c>
      <c r="R3" s="8" t="s">
        <v>6</v>
      </c>
      <c r="S3" s="8" t="s">
        <v>7</v>
      </c>
      <c r="T3" s="10" t="s">
        <v>12</v>
      </c>
      <c r="U3" s="11" t="s">
        <v>6</v>
      </c>
      <c r="V3" s="11" t="s">
        <v>7</v>
      </c>
      <c r="W3" s="10" t="s">
        <v>13</v>
      </c>
      <c r="X3" s="11" t="s">
        <v>6</v>
      </c>
      <c r="Y3" s="11" t="s">
        <v>7</v>
      </c>
      <c r="Z3" s="12" t="s">
        <v>14</v>
      </c>
      <c r="AA3" s="8" t="s">
        <v>6</v>
      </c>
      <c r="AB3" s="8" t="s">
        <v>7</v>
      </c>
      <c r="AC3" s="13" t="s">
        <v>15</v>
      </c>
      <c r="AD3" s="8" t="s">
        <v>16</v>
      </c>
      <c r="AE3" s="8" t="s">
        <v>17</v>
      </c>
      <c r="AF3" s="2"/>
    </row>
    <row r="4">
      <c r="A4" s="14" t="s">
        <v>18</v>
      </c>
      <c r="B4" s="14" t="s">
        <v>19</v>
      </c>
      <c r="C4" s="15">
        <v>45293.0</v>
      </c>
      <c r="D4" s="15">
        <v>45301.0</v>
      </c>
      <c r="E4" s="16"/>
      <c r="F4" s="17">
        <f t="shared" ref="F4:F36" si="1">PRODUCT(E4)*214.22</f>
        <v>0</v>
      </c>
      <c r="G4" s="17"/>
      <c r="H4" s="16">
        <v>9.0</v>
      </c>
      <c r="I4" s="17">
        <f t="shared" ref="I4:I36" si="2">PRODUCT(H4)*316.77</f>
        <v>2850.93</v>
      </c>
      <c r="J4" s="17">
        <v>2850.93</v>
      </c>
      <c r="K4" s="16"/>
      <c r="L4" s="17">
        <f t="shared" ref="L4:L36" si="3">PRODUCT(K4)*188.57</f>
        <v>0</v>
      </c>
      <c r="M4" s="17"/>
      <c r="N4" s="16"/>
      <c r="O4" s="17">
        <f t="shared" ref="O4:O36" si="4">PRODUCT(N4)*58.85</f>
        <v>0</v>
      </c>
      <c r="P4" s="17"/>
      <c r="Q4" s="16"/>
      <c r="R4" s="17">
        <f t="shared" ref="R4:R36" si="5">PRODUCT(Q4)*30.16</f>
        <v>0</v>
      </c>
      <c r="S4" s="17"/>
      <c r="T4" s="18"/>
      <c r="U4" s="17"/>
      <c r="V4" s="17"/>
      <c r="W4" s="19"/>
      <c r="X4" s="17"/>
      <c r="Y4" s="17"/>
      <c r="Z4" s="20"/>
      <c r="AA4" s="17">
        <f t="shared" ref="AA4:AA36" si="6">PRODUCT(Z4)*33.37</f>
        <v>0</v>
      </c>
      <c r="AB4" s="17"/>
      <c r="AC4" s="21">
        <f t="shared" ref="AC4:AC36" si="7">SUM(F4+I4+L4+O4+R4)</f>
        <v>2850.93</v>
      </c>
      <c r="AD4" s="22">
        <v>45305.0</v>
      </c>
      <c r="AE4" s="23"/>
    </row>
    <row r="5">
      <c r="A5" s="14" t="s">
        <v>20</v>
      </c>
      <c r="B5" s="14" t="s">
        <v>21</v>
      </c>
      <c r="C5" s="15">
        <v>45293.0</v>
      </c>
      <c r="D5" s="15">
        <v>45302.0</v>
      </c>
      <c r="E5" s="16"/>
      <c r="F5" s="17">
        <f t="shared" si="1"/>
        <v>0</v>
      </c>
      <c r="G5" s="17"/>
      <c r="H5" s="16">
        <v>10.0</v>
      </c>
      <c r="I5" s="17">
        <f t="shared" si="2"/>
        <v>3167.7</v>
      </c>
      <c r="J5" s="17">
        <v>3167.7</v>
      </c>
      <c r="K5" s="16"/>
      <c r="L5" s="17">
        <f t="shared" si="3"/>
        <v>0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18"/>
      <c r="U5" s="17"/>
      <c r="V5" s="17"/>
      <c r="W5" s="19"/>
      <c r="X5" s="17"/>
      <c r="Y5" s="17"/>
      <c r="Z5" s="20"/>
      <c r="AA5" s="17">
        <f t="shared" si="6"/>
        <v>0</v>
      </c>
      <c r="AB5" s="17"/>
      <c r="AC5" s="21">
        <f t="shared" si="7"/>
        <v>3167.7</v>
      </c>
      <c r="AD5" s="22">
        <v>45305.0</v>
      </c>
      <c r="AE5" s="23"/>
    </row>
    <row r="6">
      <c r="A6" s="14" t="s">
        <v>22</v>
      </c>
      <c r="B6" s="14" t="s">
        <v>23</v>
      </c>
      <c r="C6" s="15">
        <v>45292.0</v>
      </c>
      <c r="D6" s="15">
        <v>45300.0</v>
      </c>
      <c r="E6" s="16"/>
      <c r="F6" s="17">
        <f t="shared" si="1"/>
        <v>0</v>
      </c>
      <c r="G6" s="17"/>
      <c r="H6" s="16">
        <v>7.0</v>
      </c>
      <c r="I6" s="17">
        <f t="shared" si="2"/>
        <v>2217.39</v>
      </c>
      <c r="J6" s="17">
        <v>316.77</v>
      </c>
      <c r="K6" s="16"/>
      <c r="L6" s="17">
        <f t="shared" si="3"/>
        <v>0</v>
      </c>
      <c r="M6" s="17"/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18"/>
      <c r="U6" s="17"/>
      <c r="V6" s="17"/>
      <c r="W6" s="19"/>
      <c r="X6" s="17"/>
      <c r="Y6" s="17"/>
      <c r="Z6" s="20"/>
      <c r="AA6" s="17">
        <f t="shared" si="6"/>
        <v>0</v>
      </c>
      <c r="AB6" s="17"/>
      <c r="AC6" s="21">
        <f t="shared" si="7"/>
        <v>2217.39</v>
      </c>
      <c r="AD6" s="22">
        <v>45312.0</v>
      </c>
      <c r="AE6" s="24"/>
    </row>
    <row r="7">
      <c r="A7" s="14" t="s">
        <v>24</v>
      </c>
      <c r="B7" s="14" t="s">
        <v>25</v>
      </c>
      <c r="C7" s="15">
        <v>45296.0</v>
      </c>
      <c r="D7" s="15">
        <v>45296.0</v>
      </c>
      <c r="E7" s="16">
        <v>1.0</v>
      </c>
      <c r="F7" s="17">
        <f t="shared" si="1"/>
        <v>214.22</v>
      </c>
      <c r="G7" s="17">
        <v>214.22</v>
      </c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8"/>
      <c r="U7" s="17"/>
      <c r="V7" s="17"/>
      <c r="W7" s="19"/>
      <c r="X7" s="17"/>
      <c r="Y7" s="17"/>
      <c r="Z7" s="20"/>
      <c r="AA7" s="17">
        <f t="shared" si="6"/>
        <v>0</v>
      </c>
      <c r="AB7" s="17"/>
      <c r="AC7" s="21">
        <f t="shared" si="7"/>
        <v>214.22</v>
      </c>
      <c r="AD7" s="22">
        <v>45305.0</v>
      </c>
      <c r="AE7" s="24"/>
    </row>
    <row r="8">
      <c r="A8" s="14" t="s">
        <v>26</v>
      </c>
      <c r="B8" s="14" t="s">
        <v>27</v>
      </c>
      <c r="C8" s="15">
        <v>45296.0</v>
      </c>
      <c r="D8" s="15" t="s">
        <v>28</v>
      </c>
      <c r="E8" s="16">
        <v>1.0</v>
      </c>
      <c r="F8" s="17">
        <f t="shared" si="1"/>
        <v>214.22</v>
      </c>
      <c r="G8" s="17">
        <v>214.22</v>
      </c>
      <c r="H8" s="16"/>
      <c r="I8" s="17">
        <f t="shared" si="2"/>
        <v>0</v>
      </c>
      <c r="J8" s="17"/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18"/>
      <c r="U8" s="17"/>
      <c r="V8" s="17"/>
      <c r="W8" s="19"/>
      <c r="X8" s="17"/>
      <c r="Y8" s="17"/>
      <c r="Z8" s="20"/>
      <c r="AA8" s="17">
        <f t="shared" si="6"/>
        <v>0</v>
      </c>
      <c r="AB8" s="17"/>
      <c r="AC8" s="21">
        <f t="shared" si="7"/>
        <v>214.22</v>
      </c>
      <c r="AD8" s="22">
        <v>45305.0</v>
      </c>
      <c r="AE8" s="23"/>
    </row>
    <row r="9">
      <c r="A9" s="25" t="s">
        <v>29</v>
      </c>
      <c r="B9" s="14" t="s">
        <v>26</v>
      </c>
      <c r="C9" s="15">
        <v>45293.0</v>
      </c>
      <c r="D9" s="15">
        <v>45302.0</v>
      </c>
      <c r="E9" s="16"/>
      <c r="F9" s="17">
        <f t="shared" si="1"/>
        <v>0</v>
      </c>
      <c r="G9" s="17"/>
      <c r="H9" s="16">
        <v>10.0</v>
      </c>
      <c r="I9" s="17">
        <f t="shared" si="2"/>
        <v>3167.7</v>
      </c>
      <c r="J9" s="17">
        <v>3167.7</v>
      </c>
      <c r="K9" s="16"/>
      <c r="L9" s="17">
        <f t="shared" si="3"/>
        <v>0</v>
      </c>
      <c r="M9" s="17"/>
      <c r="N9" s="16"/>
      <c r="O9" s="17">
        <f t="shared" si="4"/>
        <v>0</v>
      </c>
      <c r="P9" s="17"/>
      <c r="Q9" s="16"/>
      <c r="R9" s="17">
        <f t="shared" si="5"/>
        <v>0</v>
      </c>
      <c r="S9" s="17"/>
      <c r="T9" s="18"/>
      <c r="U9" s="17"/>
      <c r="V9" s="17"/>
      <c r="W9" s="19"/>
      <c r="X9" s="17"/>
      <c r="Y9" s="17"/>
      <c r="Z9" s="20"/>
      <c r="AA9" s="17">
        <f t="shared" si="6"/>
        <v>0</v>
      </c>
      <c r="AB9" s="17"/>
      <c r="AC9" s="21">
        <f t="shared" si="7"/>
        <v>3167.7</v>
      </c>
      <c r="AD9" s="22">
        <v>45305.0</v>
      </c>
      <c r="AE9" s="23"/>
    </row>
    <row r="10">
      <c r="A10" s="26" t="s">
        <v>30</v>
      </c>
      <c r="B10" s="26" t="s">
        <v>31</v>
      </c>
      <c r="C10" s="15">
        <v>45299.0</v>
      </c>
      <c r="D10" s="15">
        <v>45303.0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17"/>
      <c r="N10" s="16">
        <v>4.0</v>
      </c>
      <c r="O10" s="17">
        <f t="shared" si="4"/>
        <v>235.4</v>
      </c>
      <c r="P10" s="17">
        <v>235.4</v>
      </c>
      <c r="Q10" s="16"/>
      <c r="R10" s="17">
        <f t="shared" si="5"/>
        <v>0</v>
      </c>
      <c r="S10" s="17"/>
      <c r="T10" s="18"/>
      <c r="U10" s="17"/>
      <c r="V10" s="17"/>
      <c r="W10" s="19"/>
      <c r="X10" s="17"/>
      <c r="Y10" s="17"/>
      <c r="Z10" s="20"/>
      <c r="AA10" s="17">
        <f t="shared" si="6"/>
        <v>0</v>
      </c>
      <c r="AB10" s="17"/>
      <c r="AC10" s="21">
        <f t="shared" si="7"/>
        <v>235.4</v>
      </c>
      <c r="AD10" s="22">
        <v>45305.0</v>
      </c>
      <c r="AE10" s="23"/>
    </row>
    <row r="11">
      <c r="A11" s="26" t="s">
        <v>32</v>
      </c>
      <c r="B11" s="26" t="s">
        <v>33</v>
      </c>
      <c r="C11" s="27" t="s">
        <v>34</v>
      </c>
      <c r="D11" s="15">
        <v>45301.0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/>
      <c r="L11" s="17">
        <f t="shared" si="3"/>
        <v>0</v>
      </c>
      <c r="M11" s="17"/>
      <c r="N11" s="16">
        <v>3.0</v>
      </c>
      <c r="O11" s="17">
        <f t="shared" si="4"/>
        <v>176.55</v>
      </c>
      <c r="P11" s="17">
        <v>176.55</v>
      </c>
      <c r="Q11" s="16"/>
      <c r="R11" s="17">
        <f t="shared" si="5"/>
        <v>0</v>
      </c>
      <c r="S11" s="17"/>
      <c r="T11" s="18"/>
      <c r="U11" s="17"/>
      <c r="V11" s="17"/>
      <c r="W11" s="19"/>
      <c r="X11" s="17"/>
      <c r="Y11" s="17"/>
      <c r="Z11" s="20"/>
      <c r="AA11" s="17">
        <f t="shared" si="6"/>
        <v>0</v>
      </c>
      <c r="AB11" s="17"/>
      <c r="AC11" s="21">
        <f t="shared" si="7"/>
        <v>176.55</v>
      </c>
      <c r="AD11" s="22">
        <v>45305.0</v>
      </c>
      <c r="AE11" s="23"/>
    </row>
    <row r="12">
      <c r="A12" s="26" t="s">
        <v>35</v>
      </c>
      <c r="B12" s="26" t="s">
        <v>36</v>
      </c>
      <c r="C12" s="15">
        <v>45299.0</v>
      </c>
      <c r="D12" s="15">
        <v>45301.0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/>
      <c r="L12" s="17">
        <f t="shared" si="3"/>
        <v>0</v>
      </c>
      <c r="M12" s="17"/>
      <c r="N12" s="16">
        <v>3.0</v>
      </c>
      <c r="O12" s="17">
        <f t="shared" si="4"/>
        <v>176.55</v>
      </c>
      <c r="P12" s="17">
        <v>176.55</v>
      </c>
      <c r="Q12" s="16"/>
      <c r="R12" s="17">
        <f t="shared" si="5"/>
        <v>0</v>
      </c>
      <c r="S12" s="17"/>
      <c r="T12" s="18"/>
      <c r="U12" s="17"/>
      <c r="V12" s="17"/>
      <c r="W12" s="19"/>
      <c r="X12" s="17"/>
      <c r="Y12" s="17"/>
      <c r="Z12" s="20"/>
      <c r="AA12" s="17">
        <f t="shared" si="6"/>
        <v>0</v>
      </c>
      <c r="AB12" s="17"/>
      <c r="AC12" s="21">
        <f t="shared" si="7"/>
        <v>176.55</v>
      </c>
      <c r="AD12" s="22">
        <v>45305.0</v>
      </c>
      <c r="AE12" s="23"/>
    </row>
    <row r="13">
      <c r="A13" s="26" t="s">
        <v>37</v>
      </c>
      <c r="B13" s="26" t="s">
        <v>38</v>
      </c>
      <c r="C13" s="15">
        <v>45302.0</v>
      </c>
      <c r="D13" s="15">
        <v>45302.0</v>
      </c>
      <c r="E13" s="16">
        <v>1.0</v>
      </c>
      <c r="F13" s="17">
        <f t="shared" si="1"/>
        <v>214.22</v>
      </c>
      <c r="G13" s="17">
        <v>214.22</v>
      </c>
      <c r="H13" s="16"/>
      <c r="I13" s="17">
        <f t="shared" si="2"/>
        <v>0</v>
      </c>
      <c r="J13" s="17"/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18"/>
      <c r="U13" s="17"/>
      <c r="V13" s="17"/>
      <c r="W13" s="19"/>
      <c r="X13" s="17"/>
      <c r="Y13" s="17"/>
      <c r="Z13" s="20"/>
      <c r="AA13" s="17">
        <f t="shared" si="6"/>
        <v>0</v>
      </c>
      <c r="AB13" s="17"/>
      <c r="AC13" s="21">
        <f t="shared" si="7"/>
        <v>214.22</v>
      </c>
      <c r="AD13" s="22">
        <v>45305.0</v>
      </c>
      <c r="AE13" s="23"/>
    </row>
    <row r="14">
      <c r="A14" s="26" t="s">
        <v>39</v>
      </c>
      <c r="B14" s="26" t="s">
        <v>40</v>
      </c>
      <c r="C14" s="15">
        <v>45302.0</v>
      </c>
      <c r="D14" s="15">
        <v>45302.0</v>
      </c>
      <c r="E14" s="16">
        <v>1.0</v>
      </c>
      <c r="F14" s="17">
        <f t="shared" si="1"/>
        <v>214.22</v>
      </c>
      <c r="G14" s="17">
        <v>214.22</v>
      </c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8"/>
      <c r="U14" s="17"/>
      <c r="V14" s="17"/>
      <c r="W14" s="19"/>
      <c r="X14" s="17"/>
      <c r="Y14" s="17"/>
      <c r="Z14" s="20"/>
      <c r="AA14" s="17">
        <f t="shared" si="6"/>
        <v>0</v>
      </c>
      <c r="AB14" s="17"/>
      <c r="AC14" s="21">
        <f t="shared" si="7"/>
        <v>214.22</v>
      </c>
      <c r="AD14" s="22">
        <v>45305.0</v>
      </c>
      <c r="AE14" s="23"/>
    </row>
    <row r="15">
      <c r="A15" s="26" t="s">
        <v>41</v>
      </c>
      <c r="B15" s="26" t="s">
        <v>42</v>
      </c>
      <c r="C15" s="15">
        <v>45299.0</v>
      </c>
      <c r="D15" s="15">
        <v>45302.0</v>
      </c>
      <c r="E15" s="16"/>
      <c r="F15" s="17">
        <f t="shared" si="1"/>
        <v>0</v>
      </c>
      <c r="G15" s="17"/>
      <c r="H15" s="16">
        <v>0.0</v>
      </c>
      <c r="I15" s="17">
        <f t="shared" si="2"/>
        <v>0</v>
      </c>
      <c r="J15" s="17"/>
      <c r="K15" s="16">
        <v>4.0</v>
      </c>
      <c r="L15" s="17">
        <f t="shared" si="3"/>
        <v>754.28</v>
      </c>
      <c r="M15" s="17">
        <v>754.28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8"/>
      <c r="U15" s="17"/>
      <c r="V15" s="17"/>
      <c r="W15" s="19"/>
      <c r="X15" s="17"/>
      <c r="Y15" s="17"/>
      <c r="Z15" s="20"/>
      <c r="AA15" s="17">
        <f t="shared" si="6"/>
        <v>0</v>
      </c>
      <c r="AB15" s="17"/>
      <c r="AC15" s="21">
        <f t="shared" si="7"/>
        <v>754.28</v>
      </c>
      <c r="AD15" s="22">
        <v>45305.0</v>
      </c>
      <c r="AE15" s="23"/>
    </row>
    <row r="16">
      <c r="A16" s="26" t="s">
        <v>43</v>
      </c>
      <c r="B16" s="26" t="s">
        <v>44</v>
      </c>
      <c r="C16" s="27" t="s">
        <v>34</v>
      </c>
      <c r="D16" s="15">
        <v>45302.0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>
        <v>4.0</v>
      </c>
      <c r="L16" s="17">
        <f t="shared" si="3"/>
        <v>754.28</v>
      </c>
      <c r="M16" s="17">
        <v>754.28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18"/>
      <c r="U16" s="17"/>
      <c r="V16" s="17"/>
      <c r="W16" s="19"/>
      <c r="X16" s="17"/>
      <c r="Y16" s="17"/>
      <c r="Z16" s="20"/>
      <c r="AA16" s="17">
        <f t="shared" si="6"/>
        <v>0</v>
      </c>
      <c r="AB16" s="17"/>
      <c r="AC16" s="21">
        <f t="shared" si="7"/>
        <v>754.28</v>
      </c>
      <c r="AD16" s="22">
        <v>45305.0</v>
      </c>
      <c r="AE16" s="23"/>
    </row>
    <row r="17">
      <c r="A17" s="26" t="s">
        <v>45</v>
      </c>
      <c r="B17" s="26" t="s">
        <v>46</v>
      </c>
      <c r="C17" s="15">
        <v>45299.0</v>
      </c>
      <c r="D17" s="15">
        <v>45301.0</v>
      </c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16">
        <v>3.0</v>
      </c>
      <c r="L17" s="17">
        <f t="shared" si="3"/>
        <v>565.71</v>
      </c>
      <c r="M17" s="17">
        <v>565.71</v>
      </c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18"/>
      <c r="U17" s="17"/>
      <c r="V17" s="17"/>
      <c r="W17" s="19"/>
      <c r="X17" s="17"/>
      <c r="Y17" s="17"/>
      <c r="Z17" s="20"/>
      <c r="AA17" s="17">
        <f t="shared" si="6"/>
        <v>0</v>
      </c>
      <c r="AB17" s="17"/>
      <c r="AC17" s="21">
        <f t="shared" si="7"/>
        <v>565.71</v>
      </c>
      <c r="AD17" s="22">
        <v>45305.0</v>
      </c>
      <c r="AE17" s="23"/>
    </row>
    <row r="18">
      <c r="A18" s="26" t="s">
        <v>47</v>
      </c>
      <c r="B18" s="26" t="s">
        <v>48</v>
      </c>
      <c r="C18" s="15">
        <v>45299.0</v>
      </c>
      <c r="D18" s="15">
        <v>45302.0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>
        <v>4.0</v>
      </c>
      <c r="L18" s="17">
        <f t="shared" si="3"/>
        <v>754.28</v>
      </c>
      <c r="M18" s="17">
        <v>754.28</v>
      </c>
      <c r="N18" s="16"/>
      <c r="O18" s="17">
        <f t="shared" si="4"/>
        <v>0</v>
      </c>
      <c r="P18" s="17"/>
      <c r="Q18" s="16"/>
      <c r="R18" s="17">
        <f t="shared" si="5"/>
        <v>0</v>
      </c>
      <c r="S18" s="17"/>
      <c r="T18" s="18"/>
      <c r="U18" s="17"/>
      <c r="V18" s="17"/>
      <c r="W18" s="19"/>
      <c r="X18" s="17"/>
      <c r="Y18" s="17"/>
      <c r="Z18" s="20"/>
      <c r="AA18" s="17">
        <f t="shared" si="6"/>
        <v>0</v>
      </c>
      <c r="AB18" s="17"/>
      <c r="AC18" s="21">
        <f t="shared" si="7"/>
        <v>754.28</v>
      </c>
      <c r="AD18" s="22">
        <v>45305.0</v>
      </c>
      <c r="AE18" s="23"/>
    </row>
    <row r="19">
      <c r="A19" s="26" t="s">
        <v>49</v>
      </c>
      <c r="B19" s="26" t="s">
        <v>50</v>
      </c>
      <c r="C19" s="15">
        <v>45299.0</v>
      </c>
      <c r="D19" s="15">
        <v>45302.0</v>
      </c>
      <c r="E19" s="16"/>
      <c r="F19" s="17">
        <f t="shared" si="1"/>
        <v>0</v>
      </c>
      <c r="G19" s="17"/>
      <c r="H19" s="16"/>
      <c r="I19" s="17">
        <f t="shared" si="2"/>
        <v>0</v>
      </c>
      <c r="J19" s="17"/>
      <c r="K19" s="16">
        <v>4.0</v>
      </c>
      <c r="L19" s="17">
        <f t="shared" si="3"/>
        <v>754.28</v>
      </c>
      <c r="M19" s="17">
        <v>754.28</v>
      </c>
      <c r="N19" s="16"/>
      <c r="O19" s="17">
        <f t="shared" si="4"/>
        <v>0</v>
      </c>
      <c r="P19" s="17"/>
      <c r="Q19" s="16"/>
      <c r="R19" s="17">
        <f t="shared" si="5"/>
        <v>0</v>
      </c>
      <c r="S19" s="17"/>
      <c r="T19" s="18"/>
      <c r="U19" s="17"/>
      <c r="V19" s="17"/>
      <c r="W19" s="19"/>
      <c r="X19" s="17"/>
      <c r="Y19" s="17"/>
      <c r="Z19" s="20"/>
      <c r="AA19" s="17">
        <f t="shared" si="6"/>
        <v>0</v>
      </c>
      <c r="AB19" s="17"/>
      <c r="AC19" s="21">
        <f t="shared" si="7"/>
        <v>754.28</v>
      </c>
      <c r="AD19" s="22">
        <v>45305.0</v>
      </c>
      <c r="AE19" s="23"/>
    </row>
    <row r="20">
      <c r="A20" s="26" t="s">
        <v>51</v>
      </c>
      <c r="B20" s="26" t="s">
        <v>52</v>
      </c>
      <c r="C20" s="15">
        <v>45299.0</v>
      </c>
      <c r="D20" s="15">
        <v>45302.0</v>
      </c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16">
        <v>4.0</v>
      </c>
      <c r="L20" s="17">
        <f t="shared" si="3"/>
        <v>754.28</v>
      </c>
      <c r="M20" s="17">
        <v>754.28</v>
      </c>
      <c r="N20" s="16"/>
      <c r="O20" s="17">
        <f t="shared" si="4"/>
        <v>0</v>
      </c>
      <c r="P20" s="17"/>
      <c r="Q20" s="16"/>
      <c r="R20" s="17">
        <f t="shared" si="5"/>
        <v>0</v>
      </c>
      <c r="S20" s="17"/>
      <c r="T20" s="18"/>
      <c r="U20" s="17"/>
      <c r="V20" s="17"/>
      <c r="W20" s="19"/>
      <c r="X20" s="17"/>
      <c r="Y20" s="17"/>
      <c r="Z20" s="20"/>
      <c r="AA20" s="17">
        <f t="shared" si="6"/>
        <v>0</v>
      </c>
      <c r="AB20" s="17"/>
      <c r="AC20" s="21">
        <f t="shared" si="7"/>
        <v>754.28</v>
      </c>
      <c r="AD20" s="22">
        <v>45305.0</v>
      </c>
      <c r="AE20" s="23"/>
    </row>
    <row r="21" ht="15.75" customHeight="1">
      <c r="A21" s="26" t="s">
        <v>53</v>
      </c>
      <c r="B21" s="26" t="s">
        <v>54</v>
      </c>
      <c r="C21" s="15">
        <v>45299.0</v>
      </c>
      <c r="D21" s="15">
        <v>45301.0</v>
      </c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>
        <v>3.0</v>
      </c>
      <c r="L21" s="17">
        <f t="shared" si="3"/>
        <v>565.71</v>
      </c>
      <c r="M21" s="17">
        <v>565.71</v>
      </c>
      <c r="N21" s="16"/>
      <c r="O21" s="17">
        <f t="shared" si="4"/>
        <v>0</v>
      </c>
      <c r="P21" s="17"/>
      <c r="Q21" s="16"/>
      <c r="R21" s="17">
        <f t="shared" si="5"/>
        <v>0</v>
      </c>
      <c r="S21" s="17"/>
      <c r="T21" s="18"/>
      <c r="U21" s="17"/>
      <c r="V21" s="17"/>
      <c r="W21" s="19"/>
      <c r="X21" s="17"/>
      <c r="Y21" s="17"/>
      <c r="Z21" s="20"/>
      <c r="AA21" s="17">
        <f t="shared" si="6"/>
        <v>0</v>
      </c>
      <c r="AB21" s="17"/>
      <c r="AC21" s="21">
        <f t="shared" si="7"/>
        <v>565.71</v>
      </c>
      <c r="AD21" s="22">
        <v>45305.0</v>
      </c>
      <c r="AE21" s="23"/>
    </row>
    <row r="22" ht="15.75" customHeight="1">
      <c r="A22" s="26" t="s">
        <v>55</v>
      </c>
      <c r="B22" s="26" t="s">
        <v>56</v>
      </c>
      <c r="C22" s="15">
        <v>45299.0</v>
      </c>
      <c r="D22" s="15">
        <v>45303.0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4.0</v>
      </c>
      <c r="L22" s="17">
        <f t="shared" si="3"/>
        <v>754.28</v>
      </c>
      <c r="M22" s="17">
        <v>754.28</v>
      </c>
      <c r="N22" s="16"/>
      <c r="O22" s="17">
        <f t="shared" si="4"/>
        <v>0</v>
      </c>
      <c r="P22" s="17"/>
      <c r="Q22" s="16"/>
      <c r="R22" s="17">
        <f t="shared" si="5"/>
        <v>0</v>
      </c>
      <c r="S22" s="17"/>
      <c r="T22" s="18"/>
      <c r="U22" s="17"/>
      <c r="V22" s="17"/>
      <c r="W22" s="19"/>
      <c r="X22" s="17"/>
      <c r="Y22" s="17"/>
      <c r="Z22" s="20"/>
      <c r="AA22" s="17">
        <f t="shared" si="6"/>
        <v>0</v>
      </c>
      <c r="AB22" s="17"/>
      <c r="AC22" s="21">
        <f t="shared" si="7"/>
        <v>754.28</v>
      </c>
      <c r="AD22" s="22">
        <v>45305.0</v>
      </c>
      <c r="AE22" s="23"/>
    </row>
    <row r="23" ht="15.75" customHeight="1">
      <c r="A23" s="26" t="s">
        <v>57</v>
      </c>
      <c r="B23" s="26" t="s">
        <v>58</v>
      </c>
      <c r="C23" s="15">
        <v>45300.0</v>
      </c>
      <c r="D23" s="15">
        <v>45303.0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>
        <v>4.0</v>
      </c>
      <c r="L23" s="17">
        <f t="shared" si="3"/>
        <v>754.28</v>
      </c>
      <c r="M23" s="17">
        <v>754.28</v>
      </c>
      <c r="N23" s="16"/>
      <c r="O23" s="17">
        <f t="shared" si="4"/>
        <v>0</v>
      </c>
      <c r="P23" s="17"/>
      <c r="Q23" s="16"/>
      <c r="R23" s="17">
        <f t="shared" si="5"/>
        <v>0</v>
      </c>
      <c r="S23" s="17"/>
      <c r="T23" s="18"/>
      <c r="U23" s="17"/>
      <c r="V23" s="17"/>
      <c r="W23" s="19"/>
      <c r="X23" s="17"/>
      <c r="Y23" s="17"/>
      <c r="Z23" s="20"/>
      <c r="AA23" s="17">
        <f t="shared" si="6"/>
        <v>0</v>
      </c>
      <c r="AB23" s="17"/>
      <c r="AC23" s="21">
        <f t="shared" si="7"/>
        <v>754.28</v>
      </c>
      <c r="AD23" s="22">
        <v>45305.0</v>
      </c>
      <c r="AE23" s="23"/>
    </row>
    <row r="24" ht="15.75" customHeight="1">
      <c r="A24" s="26" t="s">
        <v>59</v>
      </c>
      <c r="B24" s="26" t="s">
        <v>60</v>
      </c>
      <c r="C24" s="15">
        <v>45293.0</v>
      </c>
      <c r="D24" s="15">
        <v>45302.0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8.0</v>
      </c>
      <c r="L24" s="17">
        <f t="shared" si="3"/>
        <v>1508.56</v>
      </c>
      <c r="M24" s="17">
        <v>1508.56</v>
      </c>
      <c r="N24" s="16"/>
      <c r="O24" s="17">
        <f t="shared" si="4"/>
        <v>0</v>
      </c>
      <c r="P24" s="17"/>
      <c r="Q24" s="16"/>
      <c r="R24" s="17">
        <f t="shared" si="5"/>
        <v>0</v>
      </c>
      <c r="S24" s="17"/>
      <c r="T24" s="18"/>
      <c r="U24" s="17"/>
      <c r="V24" s="17"/>
      <c r="W24" s="19"/>
      <c r="X24" s="17"/>
      <c r="Y24" s="17"/>
      <c r="Z24" s="20"/>
      <c r="AA24" s="17">
        <f t="shared" si="6"/>
        <v>0</v>
      </c>
      <c r="AB24" s="17"/>
      <c r="AC24" s="21">
        <f t="shared" si="7"/>
        <v>1508.56</v>
      </c>
      <c r="AD24" s="22">
        <v>45305.0</v>
      </c>
      <c r="AE24" s="23"/>
    </row>
    <row r="25" ht="15.75" customHeight="1">
      <c r="A25" s="26" t="s">
        <v>61</v>
      </c>
      <c r="B25" s="26" t="s">
        <v>62</v>
      </c>
      <c r="C25" s="15">
        <v>45293.0</v>
      </c>
      <c r="D25" s="15">
        <v>45302.0</v>
      </c>
      <c r="E25" s="28"/>
      <c r="F25" s="17">
        <f t="shared" si="1"/>
        <v>0</v>
      </c>
      <c r="G25" s="17"/>
      <c r="H25" s="28"/>
      <c r="I25" s="17">
        <f t="shared" si="2"/>
        <v>0</v>
      </c>
      <c r="J25" s="17"/>
      <c r="K25" s="16">
        <v>8.0</v>
      </c>
      <c r="L25" s="17">
        <f t="shared" si="3"/>
        <v>1508.56</v>
      </c>
      <c r="M25" s="17">
        <v>1808.56</v>
      </c>
      <c r="N25" s="28"/>
      <c r="O25" s="17">
        <f t="shared" si="4"/>
        <v>0</v>
      </c>
      <c r="P25" s="17"/>
      <c r="Q25" s="28"/>
      <c r="R25" s="17">
        <f t="shared" si="5"/>
        <v>0</v>
      </c>
      <c r="S25" s="17"/>
      <c r="T25" s="18"/>
      <c r="U25" s="17"/>
      <c r="V25" s="17"/>
      <c r="W25" s="19"/>
      <c r="X25" s="17"/>
      <c r="Y25" s="17"/>
      <c r="Z25" s="29"/>
      <c r="AA25" s="17">
        <f t="shared" si="6"/>
        <v>0</v>
      </c>
      <c r="AB25" s="17"/>
      <c r="AC25" s="21">
        <f t="shared" si="7"/>
        <v>1508.56</v>
      </c>
      <c r="AD25" s="22">
        <v>45305.0</v>
      </c>
      <c r="AE25" s="23"/>
    </row>
    <row r="26" ht="15.75" customHeight="1">
      <c r="A26" s="26" t="s">
        <v>63</v>
      </c>
      <c r="B26" s="26" t="s">
        <v>64</v>
      </c>
      <c r="C26" s="30">
        <v>45299.0</v>
      </c>
      <c r="D26" s="15">
        <v>45302.0</v>
      </c>
      <c r="E26" s="28"/>
      <c r="F26" s="17">
        <f t="shared" si="1"/>
        <v>0</v>
      </c>
      <c r="G26" s="17"/>
      <c r="H26" s="28"/>
      <c r="I26" s="17">
        <f t="shared" si="2"/>
        <v>0</v>
      </c>
      <c r="J26" s="17"/>
      <c r="K26" s="16">
        <v>4.0</v>
      </c>
      <c r="L26" s="17">
        <f t="shared" si="3"/>
        <v>754.28</v>
      </c>
      <c r="M26" s="17">
        <v>754.28</v>
      </c>
      <c r="N26" s="28"/>
      <c r="O26" s="17">
        <f t="shared" si="4"/>
        <v>0</v>
      </c>
      <c r="P26" s="17"/>
      <c r="Q26" s="28"/>
      <c r="R26" s="17">
        <f t="shared" si="5"/>
        <v>0</v>
      </c>
      <c r="S26" s="17"/>
      <c r="T26" s="18"/>
      <c r="U26" s="17"/>
      <c r="V26" s="17"/>
      <c r="W26" s="19"/>
      <c r="X26" s="17"/>
      <c r="Y26" s="17"/>
      <c r="Z26" s="29"/>
      <c r="AA26" s="17">
        <f t="shared" si="6"/>
        <v>0</v>
      </c>
      <c r="AB26" s="17"/>
      <c r="AC26" s="21">
        <f t="shared" si="7"/>
        <v>754.28</v>
      </c>
      <c r="AD26" s="22">
        <v>45305.0</v>
      </c>
      <c r="AE26" s="23"/>
    </row>
    <row r="27" ht="15.75" customHeight="1">
      <c r="A27" s="26" t="s">
        <v>65</v>
      </c>
      <c r="B27" s="26" t="s">
        <v>66</v>
      </c>
      <c r="C27" s="15">
        <v>45299.0</v>
      </c>
      <c r="D27" s="15">
        <v>45302.0</v>
      </c>
      <c r="E27" s="28"/>
      <c r="F27" s="17">
        <f t="shared" si="1"/>
        <v>0</v>
      </c>
      <c r="G27" s="17"/>
      <c r="H27" s="28"/>
      <c r="I27" s="17">
        <f t="shared" si="2"/>
        <v>0</v>
      </c>
      <c r="J27" s="17"/>
      <c r="K27" s="16">
        <v>4.0</v>
      </c>
      <c r="L27" s="17">
        <f t="shared" si="3"/>
        <v>754.28</v>
      </c>
      <c r="M27" s="17">
        <v>754.28</v>
      </c>
      <c r="N27" s="28"/>
      <c r="O27" s="17">
        <f t="shared" si="4"/>
        <v>0</v>
      </c>
      <c r="P27" s="17"/>
      <c r="Q27" s="28"/>
      <c r="R27" s="17">
        <f t="shared" si="5"/>
        <v>0</v>
      </c>
      <c r="S27" s="17"/>
      <c r="T27" s="18"/>
      <c r="U27" s="17"/>
      <c r="V27" s="17"/>
      <c r="W27" s="19"/>
      <c r="X27" s="17"/>
      <c r="Y27" s="17"/>
      <c r="Z27" s="29"/>
      <c r="AA27" s="17">
        <f t="shared" si="6"/>
        <v>0</v>
      </c>
      <c r="AB27" s="17"/>
      <c r="AC27" s="21">
        <f t="shared" si="7"/>
        <v>754.28</v>
      </c>
      <c r="AD27" s="22">
        <v>45305.0</v>
      </c>
      <c r="AE27" s="23"/>
    </row>
    <row r="28" ht="15.75" customHeight="1">
      <c r="A28" s="26" t="s">
        <v>67</v>
      </c>
      <c r="B28" s="26" t="s">
        <v>68</v>
      </c>
      <c r="C28" s="15">
        <v>45299.0</v>
      </c>
      <c r="D28" s="15">
        <v>45302.0</v>
      </c>
      <c r="E28" s="28"/>
      <c r="F28" s="17">
        <f t="shared" si="1"/>
        <v>0</v>
      </c>
      <c r="G28" s="17"/>
      <c r="H28" s="28"/>
      <c r="I28" s="17">
        <f t="shared" si="2"/>
        <v>0</v>
      </c>
      <c r="J28" s="17"/>
      <c r="K28" s="16">
        <v>4.0</v>
      </c>
      <c r="L28" s="17">
        <f t="shared" si="3"/>
        <v>754.28</v>
      </c>
      <c r="M28" s="17">
        <v>754.28</v>
      </c>
      <c r="N28" s="28"/>
      <c r="O28" s="17">
        <f t="shared" si="4"/>
        <v>0</v>
      </c>
      <c r="P28" s="17"/>
      <c r="Q28" s="28"/>
      <c r="R28" s="17">
        <f t="shared" si="5"/>
        <v>0</v>
      </c>
      <c r="S28" s="17"/>
      <c r="T28" s="18"/>
      <c r="U28" s="17"/>
      <c r="V28" s="17"/>
      <c r="W28" s="19"/>
      <c r="X28" s="17"/>
      <c r="Y28" s="17"/>
      <c r="Z28" s="29"/>
      <c r="AA28" s="17">
        <f t="shared" si="6"/>
        <v>0</v>
      </c>
      <c r="AB28" s="17"/>
      <c r="AC28" s="21">
        <f t="shared" si="7"/>
        <v>754.28</v>
      </c>
      <c r="AD28" s="22">
        <v>45305.0</v>
      </c>
      <c r="AE28" s="23"/>
    </row>
    <row r="29" ht="15.75" customHeight="1">
      <c r="A29" s="26" t="s">
        <v>69</v>
      </c>
      <c r="B29" s="26" t="s">
        <v>70</v>
      </c>
      <c r="C29" s="15">
        <v>45299.0</v>
      </c>
      <c r="D29" s="15">
        <v>45302.0</v>
      </c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16">
        <v>4.0</v>
      </c>
      <c r="L29" s="17">
        <f t="shared" si="3"/>
        <v>754.28</v>
      </c>
      <c r="M29" s="17">
        <v>754.28</v>
      </c>
      <c r="N29" s="28"/>
      <c r="O29" s="17">
        <f t="shared" si="4"/>
        <v>0</v>
      </c>
      <c r="P29" s="17"/>
      <c r="Q29" s="28"/>
      <c r="R29" s="17">
        <f t="shared" si="5"/>
        <v>0</v>
      </c>
      <c r="S29" s="17"/>
      <c r="T29" s="18"/>
      <c r="U29" s="17"/>
      <c r="V29" s="17"/>
      <c r="W29" s="19"/>
      <c r="X29" s="17"/>
      <c r="Y29" s="17"/>
      <c r="Z29" s="29"/>
      <c r="AA29" s="17">
        <f t="shared" si="6"/>
        <v>0</v>
      </c>
      <c r="AB29" s="17"/>
      <c r="AC29" s="21">
        <f t="shared" si="7"/>
        <v>754.28</v>
      </c>
      <c r="AD29" s="22">
        <v>45305.0</v>
      </c>
      <c r="AE29" s="22">
        <v>45305.0</v>
      </c>
    </row>
    <row r="30" ht="15.75" customHeight="1">
      <c r="A30" s="26" t="s">
        <v>71</v>
      </c>
      <c r="B30" s="26" t="s">
        <v>72</v>
      </c>
      <c r="C30" s="15">
        <v>45299.0</v>
      </c>
      <c r="D30" s="15">
        <v>45302.0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4.0</v>
      </c>
      <c r="L30" s="17">
        <f t="shared" si="3"/>
        <v>754.28</v>
      </c>
      <c r="M30" s="17">
        <v>0.0</v>
      </c>
      <c r="N30" s="28"/>
      <c r="O30" s="17">
        <f t="shared" si="4"/>
        <v>0</v>
      </c>
      <c r="P30" s="17"/>
      <c r="Q30" s="28"/>
      <c r="R30" s="17">
        <f t="shared" si="5"/>
        <v>0</v>
      </c>
      <c r="S30" s="17"/>
      <c r="T30" s="18"/>
      <c r="U30" s="17"/>
      <c r="V30" s="17"/>
      <c r="W30" s="19"/>
      <c r="X30" s="17"/>
      <c r="Y30" s="17"/>
      <c r="Z30" s="29"/>
      <c r="AA30" s="17">
        <f t="shared" si="6"/>
        <v>0</v>
      </c>
      <c r="AB30" s="17"/>
      <c r="AC30" s="21">
        <f t="shared" si="7"/>
        <v>754.28</v>
      </c>
      <c r="AD30" s="22">
        <v>45305.0</v>
      </c>
      <c r="AE30" s="23"/>
    </row>
    <row r="31" ht="15.75" customHeight="1">
      <c r="A31" s="26" t="s">
        <v>73</v>
      </c>
      <c r="B31" s="26" t="s">
        <v>74</v>
      </c>
      <c r="C31" s="15">
        <v>45299.0</v>
      </c>
      <c r="D31" s="15">
        <v>45302.0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16">
        <v>3.0</v>
      </c>
      <c r="L31" s="17">
        <f t="shared" si="3"/>
        <v>565.71</v>
      </c>
      <c r="M31" s="17">
        <v>565.71</v>
      </c>
      <c r="N31" s="28"/>
      <c r="O31" s="17">
        <f t="shared" si="4"/>
        <v>0</v>
      </c>
      <c r="P31" s="17"/>
      <c r="Q31" s="28"/>
      <c r="R31" s="17">
        <f t="shared" si="5"/>
        <v>0</v>
      </c>
      <c r="S31" s="17"/>
      <c r="T31" s="18"/>
      <c r="U31" s="17"/>
      <c r="V31" s="17"/>
      <c r="W31" s="19"/>
      <c r="X31" s="17"/>
      <c r="Y31" s="17"/>
      <c r="Z31" s="29"/>
      <c r="AA31" s="17">
        <f t="shared" si="6"/>
        <v>0</v>
      </c>
      <c r="AB31" s="17"/>
      <c r="AC31" s="21">
        <f t="shared" si="7"/>
        <v>565.71</v>
      </c>
      <c r="AD31" s="22">
        <v>45305.0</v>
      </c>
      <c r="AE31" s="23"/>
    </row>
    <row r="32" ht="15.75" customHeight="1">
      <c r="A32" s="26" t="s">
        <v>75</v>
      </c>
      <c r="B32" s="26" t="s">
        <v>76</v>
      </c>
      <c r="C32" s="30">
        <v>45296.0</v>
      </c>
      <c r="D32" s="30">
        <v>45302.0</v>
      </c>
      <c r="E32" s="28">
        <v>1.0</v>
      </c>
      <c r="F32" s="17">
        <f t="shared" si="1"/>
        <v>214.22</v>
      </c>
      <c r="G32" s="17">
        <v>0.0</v>
      </c>
      <c r="H32" s="28"/>
      <c r="I32" s="17">
        <f t="shared" si="2"/>
        <v>0</v>
      </c>
      <c r="J32" s="17"/>
      <c r="K32" s="16">
        <v>4.0</v>
      </c>
      <c r="L32" s="17">
        <f t="shared" si="3"/>
        <v>754.28</v>
      </c>
      <c r="M32" s="17">
        <v>0.0</v>
      </c>
      <c r="N32" s="28"/>
      <c r="O32" s="17">
        <f t="shared" si="4"/>
        <v>0</v>
      </c>
      <c r="P32" s="17"/>
      <c r="Q32" s="28"/>
      <c r="R32" s="17">
        <f t="shared" si="5"/>
        <v>0</v>
      </c>
      <c r="S32" s="17"/>
      <c r="T32" s="18"/>
      <c r="U32" s="17"/>
      <c r="V32" s="17"/>
      <c r="W32" s="19"/>
      <c r="X32" s="17"/>
      <c r="Y32" s="17"/>
      <c r="Z32" s="29"/>
      <c r="AA32" s="17">
        <f t="shared" si="6"/>
        <v>0</v>
      </c>
      <c r="AB32" s="17"/>
      <c r="AC32" s="21">
        <f t="shared" si="7"/>
        <v>968.5</v>
      </c>
      <c r="AD32" s="22">
        <v>45305.0</v>
      </c>
      <c r="AE32" s="23"/>
    </row>
    <row r="33" ht="15.75" customHeight="1">
      <c r="A33" s="26" t="s">
        <v>77</v>
      </c>
      <c r="B33" s="26" t="s">
        <v>78</v>
      </c>
      <c r="C33" s="30">
        <v>45300.0</v>
      </c>
      <c r="D33" s="30">
        <v>45300.0</v>
      </c>
      <c r="E33" s="28">
        <v>1.0</v>
      </c>
      <c r="F33" s="17">
        <f t="shared" si="1"/>
        <v>214.22</v>
      </c>
      <c r="G33" s="17">
        <v>214.22</v>
      </c>
      <c r="H33" s="28"/>
      <c r="I33" s="17">
        <f t="shared" si="2"/>
        <v>0</v>
      </c>
      <c r="J33" s="17"/>
      <c r="K33" s="16"/>
      <c r="L33" s="17">
        <f t="shared" si="3"/>
        <v>0</v>
      </c>
      <c r="M33" s="17"/>
      <c r="N33" s="28"/>
      <c r="O33" s="17">
        <f t="shared" si="4"/>
        <v>0</v>
      </c>
      <c r="P33" s="17"/>
      <c r="Q33" s="28"/>
      <c r="R33" s="17">
        <f t="shared" si="5"/>
        <v>0</v>
      </c>
      <c r="S33" s="17"/>
      <c r="T33" s="18"/>
      <c r="U33" s="17"/>
      <c r="V33" s="17"/>
      <c r="W33" s="19"/>
      <c r="X33" s="17"/>
      <c r="Y33" s="17"/>
      <c r="Z33" s="29"/>
      <c r="AA33" s="17">
        <f t="shared" si="6"/>
        <v>0</v>
      </c>
      <c r="AB33" s="17"/>
      <c r="AC33" s="21">
        <f t="shared" si="7"/>
        <v>214.22</v>
      </c>
      <c r="AD33" s="22">
        <v>45305.0</v>
      </c>
      <c r="AE33" s="23"/>
    </row>
    <row r="34" ht="15.75" customHeight="1">
      <c r="A34" s="26" t="s">
        <v>79</v>
      </c>
      <c r="B34" s="26" t="s">
        <v>80</v>
      </c>
      <c r="C34" s="30">
        <v>45301.0</v>
      </c>
      <c r="D34" s="30">
        <v>45301.0</v>
      </c>
      <c r="E34" s="28">
        <v>1.0</v>
      </c>
      <c r="F34" s="17">
        <f t="shared" si="1"/>
        <v>214.22</v>
      </c>
      <c r="G34" s="17">
        <v>214.22</v>
      </c>
      <c r="H34" s="28"/>
      <c r="I34" s="17">
        <f t="shared" si="2"/>
        <v>0</v>
      </c>
      <c r="J34" s="17"/>
      <c r="K34" s="16"/>
      <c r="L34" s="17">
        <f t="shared" si="3"/>
        <v>0</v>
      </c>
      <c r="M34" s="17"/>
      <c r="N34" s="28"/>
      <c r="O34" s="17">
        <f t="shared" si="4"/>
        <v>0</v>
      </c>
      <c r="P34" s="17"/>
      <c r="Q34" s="28"/>
      <c r="R34" s="17">
        <f t="shared" si="5"/>
        <v>0</v>
      </c>
      <c r="S34" s="17"/>
      <c r="T34" s="18"/>
      <c r="U34" s="17"/>
      <c r="V34" s="17"/>
      <c r="W34" s="19"/>
      <c r="X34" s="17"/>
      <c r="Y34" s="17"/>
      <c r="Z34" s="29"/>
      <c r="AA34" s="17">
        <f t="shared" si="6"/>
        <v>0</v>
      </c>
      <c r="AB34" s="17"/>
      <c r="AC34" s="21">
        <f t="shared" si="7"/>
        <v>214.22</v>
      </c>
      <c r="AD34" s="22">
        <v>45305.0</v>
      </c>
      <c r="AE34" s="23"/>
    </row>
    <row r="35" ht="15.75" customHeight="1">
      <c r="A35" s="26" t="s">
        <v>22</v>
      </c>
      <c r="B35" s="26" t="s">
        <v>23</v>
      </c>
      <c r="C35" s="30">
        <v>45302.0</v>
      </c>
      <c r="D35" s="30">
        <v>45302.0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1.0</v>
      </c>
      <c r="L35" s="17">
        <f t="shared" si="3"/>
        <v>188.57</v>
      </c>
      <c r="M35" s="17">
        <v>188.57</v>
      </c>
      <c r="N35" s="28"/>
      <c r="O35" s="17">
        <f t="shared" si="4"/>
        <v>0</v>
      </c>
      <c r="P35" s="17"/>
      <c r="Q35" s="28"/>
      <c r="R35" s="17">
        <f t="shared" si="5"/>
        <v>0</v>
      </c>
      <c r="S35" s="17"/>
      <c r="T35" s="18"/>
      <c r="U35" s="17"/>
      <c r="V35" s="17"/>
      <c r="W35" s="19"/>
      <c r="X35" s="17"/>
      <c r="Y35" s="17"/>
      <c r="Z35" s="29"/>
      <c r="AA35" s="17">
        <f t="shared" si="6"/>
        <v>0</v>
      </c>
      <c r="AB35" s="17"/>
      <c r="AC35" s="21">
        <f t="shared" si="7"/>
        <v>188.57</v>
      </c>
      <c r="AD35" s="22">
        <v>45305.0</v>
      </c>
      <c r="AE35" s="23"/>
      <c r="AF35" s="31"/>
    </row>
    <row r="36" ht="15.75" customHeight="1">
      <c r="A36" s="26"/>
      <c r="B36" s="26"/>
      <c r="C36" s="27"/>
      <c r="D36" s="27"/>
      <c r="E36" s="28"/>
      <c r="F36" s="17">
        <f t="shared" si="1"/>
        <v>0</v>
      </c>
      <c r="G36" s="17"/>
      <c r="H36" s="28"/>
      <c r="I36" s="17">
        <f t="shared" si="2"/>
        <v>0</v>
      </c>
      <c r="J36" s="17"/>
      <c r="K36" s="16"/>
      <c r="L36" s="17">
        <f t="shared" si="3"/>
        <v>0</v>
      </c>
      <c r="M36" s="17"/>
      <c r="N36" s="28"/>
      <c r="O36" s="17">
        <f t="shared" si="4"/>
        <v>0</v>
      </c>
      <c r="P36" s="17"/>
      <c r="Q36" s="28"/>
      <c r="R36" s="17">
        <f t="shared" si="5"/>
        <v>0</v>
      </c>
      <c r="S36" s="17"/>
      <c r="T36" s="18"/>
      <c r="U36" s="17"/>
      <c r="V36" s="17"/>
      <c r="W36" s="19"/>
      <c r="X36" s="17"/>
      <c r="Y36" s="17"/>
      <c r="Z36" s="29"/>
      <c r="AA36" s="17">
        <f t="shared" si="6"/>
        <v>0</v>
      </c>
      <c r="AB36" s="17"/>
      <c r="AC36" s="21">
        <f t="shared" si="7"/>
        <v>0</v>
      </c>
      <c r="AD36" s="26"/>
      <c r="AE36" s="23"/>
    </row>
    <row r="37" ht="15.75" customHeight="1">
      <c r="A37" s="32" t="s">
        <v>81</v>
      </c>
      <c r="B37" s="33"/>
      <c r="C37" s="33"/>
      <c r="D37" s="33"/>
      <c r="E37" s="34"/>
      <c r="F37" s="35">
        <f t="shared" ref="F37:G37" si="8">SUM(F4:F36)</f>
        <v>1499.54</v>
      </c>
      <c r="G37" s="35">
        <f t="shared" si="8"/>
        <v>1285.32</v>
      </c>
      <c r="H37" s="34"/>
      <c r="I37" s="35">
        <f t="shared" ref="I37:J37" si="9">SUM(I4:I36)</f>
        <v>11403.72</v>
      </c>
      <c r="J37" s="35">
        <f t="shared" si="9"/>
        <v>9503.1</v>
      </c>
      <c r="K37" s="34"/>
      <c r="L37" s="35">
        <f t="shared" ref="L37:M37" si="10">SUM(L4:L36)</f>
        <v>14708.46</v>
      </c>
      <c r="M37" s="35">
        <f t="shared" si="10"/>
        <v>13499.9</v>
      </c>
      <c r="N37" s="34"/>
      <c r="O37" s="35">
        <f t="shared" ref="O37:P37" si="11">SUM(O4:O36)</f>
        <v>588.5</v>
      </c>
      <c r="P37" s="35">
        <f t="shared" si="11"/>
        <v>588.5</v>
      </c>
      <c r="Q37" s="34"/>
      <c r="R37" s="35">
        <f t="shared" ref="R37:S37" si="12">SUM(R4:R36)</f>
        <v>0</v>
      </c>
      <c r="S37" s="35">
        <f t="shared" si="12"/>
        <v>0</v>
      </c>
      <c r="T37" s="36"/>
      <c r="U37" s="35">
        <f t="shared" ref="U37:V37" si="13">SUM(U4:U36)</f>
        <v>0</v>
      </c>
      <c r="V37" s="35">
        <f t="shared" si="13"/>
        <v>0</v>
      </c>
      <c r="W37" s="35"/>
      <c r="X37" s="35">
        <f t="shared" ref="X37:Y37" si="14">SUM(X4:X36)</f>
        <v>0</v>
      </c>
      <c r="Y37" s="35">
        <f t="shared" si="14"/>
        <v>0</v>
      </c>
      <c r="Z37" s="34"/>
      <c r="AA37" s="35">
        <f t="shared" ref="AA37:AC37" si="15">SUM(AA4:AA36)</f>
        <v>0</v>
      </c>
      <c r="AB37" s="35">
        <f t="shared" si="15"/>
        <v>0</v>
      </c>
      <c r="AC37" s="35">
        <f t="shared" si="15"/>
        <v>28200.22</v>
      </c>
      <c r="AD37" s="33"/>
      <c r="AE37" s="37"/>
    </row>
    <row r="38" ht="15.75" customHeight="1">
      <c r="E38" s="1"/>
      <c r="H38" s="1"/>
      <c r="K38" s="1"/>
      <c r="N38" s="1"/>
      <c r="Q38" s="1"/>
      <c r="T38" s="2"/>
      <c r="Z38" s="1"/>
      <c r="AC38" s="3"/>
    </row>
    <row r="39" ht="15.75" customHeight="1">
      <c r="E39" s="1"/>
      <c r="H39" s="1"/>
      <c r="K39" s="1"/>
      <c r="N39" s="1"/>
      <c r="Q39" s="1"/>
      <c r="T39" s="2"/>
      <c r="Z39" s="1"/>
      <c r="AC39" s="3"/>
    </row>
    <row r="40" ht="15.75" customHeight="1">
      <c r="E40" s="1"/>
      <c r="H40" s="1"/>
      <c r="K40" s="1"/>
      <c r="N40" s="1"/>
      <c r="Q40" s="1"/>
      <c r="T40" s="2"/>
      <c r="Z40" s="1"/>
      <c r="AC40" s="3"/>
    </row>
    <row r="41" ht="15.75" customHeight="1">
      <c r="E41" s="1"/>
      <c r="H41" s="1"/>
      <c r="K41" s="1"/>
      <c r="N41" s="1"/>
      <c r="Q41" s="1"/>
      <c r="T41" s="2"/>
      <c r="Z41" s="1"/>
      <c r="AC41" s="3"/>
    </row>
    <row r="42" ht="15.75" customHeight="1">
      <c r="E42" s="1"/>
      <c r="H42" s="1"/>
      <c r="K42" s="1"/>
      <c r="N42" s="1"/>
      <c r="Q42" s="1"/>
      <c r="T42" s="2"/>
      <c r="Z42" s="1"/>
      <c r="AC42" s="3"/>
    </row>
    <row r="43" ht="15.75" customHeight="1">
      <c r="E43" s="1"/>
      <c r="H43" s="1"/>
      <c r="K43" s="1"/>
      <c r="N43" s="1"/>
      <c r="Q43" s="1"/>
      <c r="T43" s="2"/>
      <c r="Z43" s="1"/>
      <c r="AC43" s="3"/>
    </row>
    <row r="44" ht="15.75" customHeight="1">
      <c r="E44" s="1"/>
      <c r="H44" s="1"/>
      <c r="K44" s="1"/>
      <c r="N44" s="1"/>
      <c r="Q44" s="1"/>
      <c r="T44" s="2"/>
      <c r="Z44" s="1"/>
      <c r="AC44" s="3"/>
    </row>
    <row r="45" ht="15.75" customHeight="1">
      <c r="E45" s="1"/>
      <c r="H45" s="1"/>
      <c r="K45" s="1"/>
      <c r="N45" s="1"/>
      <c r="Q45" s="1"/>
      <c r="T45" s="2"/>
      <c r="Z45" s="1"/>
      <c r="AC45" s="3"/>
    </row>
    <row r="46" ht="15.75" customHeight="1">
      <c r="E46" s="1"/>
      <c r="H46" s="1"/>
      <c r="K46" s="1"/>
      <c r="N46" s="1"/>
      <c r="Q46" s="1"/>
      <c r="T46" s="2"/>
      <c r="Z46" s="1"/>
      <c r="AC46" s="3"/>
    </row>
    <row r="47" ht="15.75" customHeight="1">
      <c r="E47" s="1"/>
      <c r="H47" s="1"/>
      <c r="K47" s="1"/>
      <c r="N47" s="1"/>
      <c r="Q47" s="1"/>
      <c r="T47" s="2"/>
      <c r="Z47" s="1"/>
      <c r="AC47" s="3"/>
    </row>
    <row r="48" ht="15.75" customHeight="1">
      <c r="E48" s="1"/>
      <c r="H48" s="1"/>
      <c r="K48" s="1"/>
      <c r="N48" s="1"/>
      <c r="Q48" s="1"/>
      <c r="T48" s="2"/>
      <c r="Z48" s="1"/>
      <c r="AC48" s="3"/>
    </row>
    <row r="49" ht="15.75" customHeight="1">
      <c r="E49" s="1"/>
      <c r="H49" s="1"/>
      <c r="K49" s="1"/>
      <c r="N49" s="1"/>
      <c r="Q49" s="1"/>
      <c r="T49" s="2"/>
      <c r="Z49" s="1"/>
      <c r="AC49" s="3"/>
    </row>
    <row r="50" ht="15.75" customHeight="1">
      <c r="E50" s="1"/>
      <c r="H50" s="1"/>
      <c r="K50" s="1"/>
      <c r="N50" s="1"/>
      <c r="Q50" s="1"/>
      <c r="T50" s="2"/>
      <c r="Z50" s="1"/>
      <c r="AC50" s="3"/>
    </row>
    <row r="51" ht="15.75" customHeight="1">
      <c r="E51" s="1"/>
      <c r="H51" s="1"/>
      <c r="K51" s="1"/>
      <c r="N51" s="1"/>
      <c r="Q51" s="1"/>
      <c r="T51" s="2"/>
      <c r="Z51" s="1"/>
      <c r="AC51" s="3"/>
    </row>
    <row r="52" ht="15.75" customHeight="1">
      <c r="E52" s="1"/>
      <c r="H52" s="1"/>
      <c r="K52" s="1"/>
      <c r="N52" s="1"/>
      <c r="Q52" s="1"/>
      <c r="T52" s="2"/>
      <c r="Z52" s="1"/>
      <c r="AC52" s="3"/>
    </row>
    <row r="53" ht="15.75" customHeight="1">
      <c r="E53" s="1"/>
      <c r="H53" s="1"/>
      <c r="K53" s="1"/>
      <c r="N53" s="1"/>
      <c r="Q53" s="1"/>
      <c r="T53" s="2"/>
      <c r="Z53" s="1"/>
      <c r="AC53" s="3"/>
    </row>
    <row r="54" ht="15.75" customHeight="1">
      <c r="E54" s="1"/>
      <c r="H54" s="1"/>
      <c r="K54" s="1"/>
      <c r="N54" s="1"/>
      <c r="Q54" s="1"/>
      <c r="T54" s="2"/>
      <c r="Z54" s="1"/>
      <c r="AC54" s="3"/>
    </row>
    <row r="55" ht="15.75" customHeight="1">
      <c r="E55" s="1"/>
      <c r="H55" s="1"/>
      <c r="K55" s="1"/>
      <c r="N55" s="1"/>
      <c r="Q55" s="1"/>
      <c r="T55" s="2"/>
      <c r="Z55" s="1"/>
      <c r="AC55" s="3"/>
    </row>
    <row r="56" ht="15.75" customHeight="1">
      <c r="E56" s="1"/>
      <c r="H56" s="1"/>
      <c r="K56" s="1"/>
      <c r="N56" s="1"/>
      <c r="Q56" s="1"/>
      <c r="T56" s="2"/>
      <c r="Z56" s="1"/>
      <c r="AC56" s="3"/>
    </row>
    <row r="57" ht="15.75" customHeight="1">
      <c r="E57" s="1"/>
      <c r="H57" s="1"/>
      <c r="K57" s="1"/>
      <c r="N57" s="1"/>
      <c r="Q57" s="1"/>
      <c r="T57" s="2"/>
      <c r="Z57" s="1"/>
      <c r="AC57" s="3"/>
    </row>
    <row r="58" ht="15.75" customHeight="1">
      <c r="E58" s="1"/>
      <c r="H58" s="1"/>
      <c r="K58" s="1"/>
      <c r="N58" s="1"/>
      <c r="Q58" s="1"/>
      <c r="T58" s="2"/>
      <c r="Z58" s="1"/>
      <c r="AC58" s="3"/>
    </row>
    <row r="59" ht="15.75" customHeight="1">
      <c r="E59" s="1"/>
      <c r="H59" s="1"/>
      <c r="K59" s="1"/>
      <c r="N59" s="1"/>
      <c r="Q59" s="1"/>
      <c r="T59" s="2"/>
      <c r="Z59" s="1"/>
      <c r="AC59" s="3"/>
    </row>
    <row r="60" ht="15.75" customHeight="1">
      <c r="E60" s="1"/>
      <c r="H60" s="1"/>
      <c r="K60" s="1"/>
      <c r="N60" s="1"/>
      <c r="Q60" s="1"/>
      <c r="T60" s="2"/>
      <c r="Z60" s="1"/>
      <c r="AC60" s="3"/>
    </row>
    <row r="61" ht="15.75" customHeight="1">
      <c r="E61" s="1"/>
      <c r="H61" s="1"/>
      <c r="K61" s="1"/>
      <c r="N61" s="1"/>
      <c r="Q61" s="1"/>
      <c r="T61" s="2"/>
      <c r="Z61" s="1"/>
      <c r="AC61" s="3"/>
    </row>
    <row r="62" ht="15.75" customHeight="1">
      <c r="E62" s="1"/>
      <c r="H62" s="1"/>
      <c r="K62" s="1"/>
      <c r="N62" s="1"/>
      <c r="Q62" s="1"/>
      <c r="T62" s="2"/>
      <c r="Z62" s="1"/>
      <c r="AC62" s="3"/>
    </row>
    <row r="63" ht="15.75" customHeight="1">
      <c r="E63" s="1"/>
      <c r="H63" s="1"/>
      <c r="K63" s="1"/>
      <c r="N63" s="1"/>
      <c r="Q63" s="1"/>
      <c r="T63" s="2"/>
      <c r="Z63" s="1"/>
      <c r="AC63" s="3"/>
    </row>
    <row r="64" ht="15.75" customHeight="1">
      <c r="E64" s="1"/>
      <c r="H64" s="1"/>
      <c r="K64" s="1"/>
      <c r="N64" s="1"/>
      <c r="Q64" s="1"/>
      <c r="T64" s="2"/>
      <c r="Z64" s="1"/>
      <c r="AC64" s="3"/>
    </row>
    <row r="65" ht="15.75" customHeight="1">
      <c r="E65" s="1"/>
      <c r="H65" s="1"/>
      <c r="K65" s="1"/>
      <c r="N65" s="1"/>
      <c r="Q65" s="1"/>
      <c r="T65" s="2"/>
      <c r="Z65" s="1"/>
      <c r="AC65" s="3"/>
    </row>
    <row r="66" ht="15.75" customHeight="1">
      <c r="E66" s="1"/>
      <c r="H66" s="1"/>
      <c r="K66" s="1"/>
      <c r="N66" s="1"/>
      <c r="Q66" s="1"/>
      <c r="T66" s="2"/>
      <c r="Z66" s="1"/>
      <c r="AC66" s="3"/>
    </row>
    <row r="67" ht="15.75" customHeight="1">
      <c r="E67" s="1"/>
      <c r="H67" s="1"/>
      <c r="K67" s="1"/>
      <c r="N67" s="1"/>
      <c r="Q67" s="1"/>
      <c r="T67" s="2"/>
      <c r="Z67" s="1"/>
      <c r="AC67" s="3"/>
    </row>
    <row r="68" ht="15.75" customHeight="1">
      <c r="E68" s="1"/>
      <c r="H68" s="1"/>
      <c r="K68" s="1"/>
      <c r="N68" s="1"/>
      <c r="Q68" s="1"/>
      <c r="T68" s="2"/>
      <c r="Z68" s="1"/>
      <c r="AC68" s="3"/>
    </row>
    <row r="69" ht="15.75" customHeight="1">
      <c r="E69" s="1"/>
      <c r="H69" s="1"/>
      <c r="K69" s="1"/>
      <c r="N69" s="1"/>
      <c r="Q69" s="1"/>
      <c r="T69" s="2"/>
      <c r="Z69" s="1"/>
      <c r="AC69" s="3"/>
    </row>
    <row r="70" ht="15.75" customHeight="1">
      <c r="E70" s="1"/>
      <c r="H70" s="1"/>
      <c r="K70" s="1"/>
      <c r="N70" s="1"/>
      <c r="Q70" s="1"/>
      <c r="T70" s="2"/>
      <c r="Z70" s="1"/>
      <c r="AC70" s="3"/>
    </row>
    <row r="71" ht="15.75" customHeight="1">
      <c r="E71" s="1"/>
      <c r="H71" s="1"/>
      <c r="K71" s="1"/>
      <c r="N71" s="1"/>
      <c r="Q71" s="1"/>
      <c r="T71" s="2"/>
      <c r="Z71" s="1"/>
      <c r="AC71" s="3"/>
    </row>
    <row r="72" ht="15.75" customHeight="1">
      <c r="E72" s="1"/>
      <c r="H72" s="1"/>
      <c r="K72" s="1"/>
      <c r="N72" s="1"/>
      <c r="Q72" s="1"/>
      <c r="T72" s="2"/>
      <c r="Z72" s="1"/>
      <c r="AC72" s="3"/>
    </row>
    <row r="73" ht="15.75" customHeight="1">
      <c r="E73" s="1"/>
      <c r="H73" s="1"/>
      <c r="K73" s="1"/>
      <c r="N73" s="1"/>
      <c r="Q73" s="1"/>
      <c r="T73" s="2"/>
      <c r="Z73" s="1"/>
      <c r="AC73" s="3"/>
    </row>
    <row r="74" ht="15.75" customHeight="1">
      <c r="E74" s="1"/>
      <c r="H74" s="1"/>
      <c r="K74" s="1"/>
      <c r="N74" s="1"/>
      <c r="Q74" s="1"/>
      <c r="T74" s="2"/>
      <c r="Z74" s="1"/>
      <c r="AC74" s="3"/>
    </row>
    <row r="75" ht="15.75" customHeight="1">
      <c r="E75" s="1"/>
      <c r="H75" s="1"/>
      <c r="K75" s="1"/>
      <c r="N75" s="1"/>
      <c r="Q75" s="1"/>
      <c r="T75" s="2"/>
      <c r="Z75" s="1"/>
      <c r="AC75" s="3"/>
    </row>
    <row r="76" ht="15.75" customHeight="1">
      <c r="E76" s="1"/>
      <c r="H76" s="1"/>
      <c r="K76" s="1"/>
      <c r="N76" s="1"/>
      <c r="Q76" s="1"/>
      <c r="T76" s="2"/>
      <c r="Z76" s="1"/>
      <c r="AC76" s="3"/>
    </row>
    <row r="77" ht="15.75" customHeight="1">
      <c r="E77" s="1"/>
      <c r="H77" s="1"/>
      <c r="K77" s="1"/>
      <c r="N77" s="1"/>
      <c r="Q77" s="1"/>
      <c r="T77" s="2"/>
      <c r="Z77" s="1"/>
      <c r="AC77" s="3"/>
    </row>
    <row r="78" ht="15.75" customHeight="1">
      <c r="E78" s="1"/>
      <c r="H78" s="1"/>
      <c r="K78" s="1"/>
      <c r="N78" s="1"/>
      <c r="Q78" s="1"/>
      <c r="T78" s="2"/>
      <c r="Z78" s="1"/>
      <c r="AC78" s="3"/>
    </row>
    <row r="79" ht="15.75" customHeight="1">
      <c r="E79" s="1"/>
      <c r="H79" s="1"/>
      <c r="K79" s="1"/>
      <c r="N79" s="1"/>
      <c r="Q79" s="1"/>
      <c r="T79" s="2"/>
      <c r="Z79" s="1"/>
      <c r="AC79" s="3"/>
    </row>
    <row r="80" ht="15.75" customHeight="1">
      <c r="E80" s="1"/>
      <c r="H80" s="1"/>
      <c r="K80" s="1"/>
      <c r="N80" s="1"/>
      <c r="Q80" s="1"/>
      <c r="T80" s="2"/>
      <c r="Z80" s="1"/>
      <c r="AC80" s="3"/>
    </row>
    <row r="81" ht="15.75" customHeight="1">
      <c r="E81" s="1"/>
      <c r="H81" s="1"/>
      <c r="K81" s="1"/>
      <c r="N81" s="1"/>
      <c r="Q81" s="1"/>
      <c r="T81" s="2"/>
      <c r="Z81" s="1"/>
      <c r="AC81" s="3"/>
    </row>
    <row r="82" ht="15.75" customHeight="1">
      <c r="E82" s="1"/>
      <c r="H82" s="1"/>
      <c r="K82" s="1"/>
      <c r="N82" s="1"/>
      <c r="Q82" s="1"/>
      <c r="T82" s="2"/>
      <c r="Z82" s="1"/>
      <c r="AC82" s="3"/>
    </row>
    <row r="83" ht="15.75" customHeight="1">
      <c r="E83" s="1"/>
      <c r="H83" s="1"/>
      <c r="K83" s="1"/>
      <c r="N83" s="1"/>
      <c r="Q83" s="1"/>
      <c r="T83" s="2"/>
      <c r="Z83" s="1"/>
      <c r="AC83" s="3"/>
    </row>
    <row r="84" ht="15.75" customHeight="1">
      <c r="E84" s="1"/>
      <c r="H84" s="1"/>
      <c r="K84" s="1"/>
      <c r="N84" s="1"/>
      <c r="Q84" s="1"/>
      <c r="T84" s="2"/>
      <c r="Z84" s="1"/>
      <c r="AC84" s="3"/>
    </row>
    <row r="85" ht="15.75" customHeight="1">
      <c r="E85" s="1"/>
      <c r="H85" s="1"/>
      <c r="K85" s="1"/>
      <c r="N85" s="1"/>
      <c r="Q85" s="1"/>
      <c r="T85" s="2"/>
      <c r="Z85" s="1"/>
      <c r="AC85" s="3"/>
    </row>
    <row r="86" ht="15.75" customHeight="1">
      <c r="E86" s="1"/>
      <c r="H86" s="1"/>
      <c r="K86" s="1"/>
      <c r="N86" s="1"/>
      <c r="Q86" s="1"/>
      <c r="T86" s="2"/>
      <c r="Z86" s="1"/>
      <c r="AC86" s="3"/>
    </row>
    <row r="87" ht="15.75" customHeight="1">
      <c r="E87" s="1"/>
      <c r="H87" s="1"/>
      <c r="K87" s="1"/>
      <c r="N87" s="1"/>
      <c r="Q87" s="1"/>
      <c r="T87" s="2"/>
      <c r="Z87" s="1"/>
      <c r="AC87" s="3"/>
    </row>
    <row r="88" ht="15.75" customHeight="1">
      <c r="E88" s="1"/>
      <c r="H88" s="1"/>
      <c r="K88" s="1"/>
      <c r="N88" s="1"/>
      <c r="Q88" s="1"/>
      <c r="T88" s="2"/>
      <c r="Z88" s="1"/>
      <c r="AC88" s="3"/>
    </row>
    <row r="89" ht="15.75" customHeight="1">
      <c r="E89" s="1"/>
      <c r="H89" s="1"/>
      <c r="K89" s="1"/>
      <c r="N89" s="1"/>
      <c r="Q89" s="1"/>
      <c r="T89" s="2"/>
      <c r="Z89" s="1"/>
      <c r="AC89" s="3"/>
    </row>
    <row r="90" ht="15.75" customHeight="1">
      <c r="E90" s="1"/>
      <c r="H90" s="1"/>
      <c r="K90" s="1"/>
      <c r="N90" s="1"/>
      <c r="Q90" s="1"/>
      <c r="T90" s="2"/>
      <c r="Z90" s="1"/>
      <c r="AC90" s="3"/>
    </row>
    <row r="91" ht="15.75" customHeight="1">
      <c r="E91" s="1"/>
      <c r="H91" s="1"/>
      <c r="K91" s="1"/>
      <c r="N91" s="1"/>
      <c r="Q91" s="1"/>
      <c r="T91" s="2"/>
      <c r="Z91" s="1"/>
      <c r="AC91" s="3"/>
    </row>
    <row r="92" ht="15.75" customHeight="1">
      <c r="E92" s="1"/>
      <c r="H92" s="1"/>
      <c r="K92" s="1"/>
      <c r="N92" s="1"/>
      <c r="Q92" s="1"/>
      <c r="T92" s="2"/>
      <c r="Z92" s="1"/>
      <c r="AC92" s="3"/>
    </row>
    <row r="93" ht="15.75" customHeight="1">
      <c r="E93" s="1"/>
      <c r="H93" s="1"/>
      <c r="K93" s="1"/>
      <c r="N93" s="1"/>
      <c r="Q93" s="1"/>
      <c r="T93" s="2"/>
      <c r="Z93" s="1"/>
      <c r="AC93" s="3"/>
    </row>
    <row r="94" ht="15.75" customHeight="1">
      <c r="E94" s="1"/>
      <c r="H94" s="1"/>
      <c r="K94" s="1"/>
      <c r="N94" s="1"/>
      <c r="Q94" s="1"/>
      <c r="T94" s="2"/>
      <c r="Z94" s="1"/>
      <c r="AC94" s="3"/>
    </row>
    <row r="95" ht="15.75" customHeight="1">
      <c r="E95" s="1"/>
      <c r="H95" s="1"/>
      <c r="K95" s="1"/>
      <c r="N95" s="1"/>
      <c r="Q95" s="1"/>
      <c r="T95" s="2"/>
      <c r="Z95" s="1"/>
      <c r="AC95" s="3"/>
    </row>
    <row r="96" ht="15.75" customHeight="1">
      <c r="E96" s="1"/>
      <c r="H96" s="1"/>
      <c r="K96" s="1"/>
      <c r="N96" s="1"/>
      <c r="Q96" s="1"/>
      <c r="T96" s="2"/>
      <c r="Z96" s="1"/>
      <c r="AC96" s="3"/>
    </row>
    <row r="97" ht="15.75" customHeight="1">
      <c r="E97" s="1"/>
      <c r="H97" s="1"/>
      <c r="K97" s="1"/>
      <c r="N97" s="1"/>
      <c r="Q97" s="1"/>
      <c r="T97" s="2"/>
      <c r="Z97" s="1"/>
      <c r="AC97" s="3"/>
    </row>
    <row r="98" ht="15.75" customHeight="1">
      <c r="E98" s="1"/>
      <c r="H98" s="1"/>
      <c r="K98" s="1"/>
      <c r="N98" s="1"/>
      <c r="Q98" s="1"/>
      <c r="T98" s="2"/>
      <c r="Z98" s="1"/>
      <c r="AC98" s="3"/>
    </row>
    <row r="99" ht="15.75" customHeight="1">
      <c r="E99" s="1"/>
      <c r="H99" s="1"/>
      <c r="K99" s="1"/>
      <c r="N99" s="1"/>
      <c r="Q99" s="1"/>
      <c r="T99" s="2"/>
      <c r="Z99" s="1"/>
      <c r="AC99" s="3"/>
    </row>
    <row r="100" ht="15.75" customHeight="1">
      <c r="E100" s="1"/>
      <c r="H100" s="1"/>
      <c r="K100" s="1"/>
      <c r="N100" s="1"/>
      <c r="Q100" s="1"/>
      <c r="T100" s="2"/>
      <c r="Z100" s="1"/>
      <c r="AC100" s="3"/>
    </row>
    <row r="101" ht="15.75" customHeight="1">
      <c r="E101" s="1"/>
      <c r="H101" s="1"/>
      <c r="K101" s="1"/>
      <c r="N101" s="1"/>
      <c r="Q101" s="1"/>
      <c r="T101" s="2"/>
      <c r="Z101" s="1"/>
      <c r="AC101" s="3"/>
    </row>
    <row r="102" ht="15.75" customHeight="1">
      <c r="E102" s="1"/>
      <c r="H102" s="1"/>
      <c r="K102" s="1"/>
      <c r="N102" s="1"/>
      <c r="Q102" s="1"/>
      <c r="T102" s="2"/>
      <c r="Z102" s="1"/>
      <c r="AC102" s="3"/>
    </row>
    <row r="103" ht="15.75" customHeight="1">
      <c r="E103" s="1"/>
      <c r="H103" s="1"/>
      <c r="K103" s="1"/>
      <c r="N103" s="1"/>
      <c r="Q103" s="1"/>
      <c r="T103" s="2"/>
      <c r="Z103" s="1"/>
      <c r="AC103" s="3"/>
    </row>
    <row r="104" ht="15.75" customHeight="1">
      <c r="E104" s="1"/>
      <c r="H104" s="1"/>
      <c r="K104" s="1"/>
      <c r="N104" s="1"/>
      <c r="Q104" s="1"/>
      <c r="T104" s="2"/>
      <c r="Z104" s="1"/>
      <c r="AC104" s="3"/>
    </row>
    <row r="105" ht="15.75" customHeight="1">
      <c r="E105" s="1"/>
      <c r="H105" s="1"/>
      <c r="K105" s="1"/>
      <c r="N105" s="1"/>
      <c r="Q105" s="1"/>
      <c r="T105" s="2"/>
      <c r="Z105" s="1"/>
      <c r="AC105" s="3"/>
    </row>
    <row r="106" ht="15.75" customHeight="1">
      <c r="E106" s="1"/>
      <c r="H106" s="1"/>
      <c r="K106" s="1"/>
      <c r="N106" s="1"/>
      <c r="Q106" s="1"/>
      <c r="T106" s="2"/>
      <c r="Z106" s="1"/>
      <c r="AC106" s="3"/>
    </row>
    <row r="107" ht="15.75" customHeight="1">
      <c r="E107" s="1"/>
      <c r="H107" s="1"/>
      <c r="K107" s="1"/>
      <c r="N107" s="1"/>
      <c r="Q107" s="1"/>
      <c r="T107" s="2"/>
      <c r="Z107" s="1"/>
      <c r="AC107" s="3"/>
    </row>
    <row r="108" ht="15.75" customHeight="1">
      <c r="E108" s="1"/>
      <c r="H108" s="1"/>
      <c r="K108" s="1"/>
      <c r="N108" s="1"/>
      <c r="Q108" s="1"/>
      <c r="T108" s="2"/>
      <c r="Z108" s="1"/>
      <c r="AC108" s="3"/>
    </row>
    <row r="109" ht="15.75" customHeight="1">
      <c r="E109" s="1"/>
      <c r="H109" s="1"/>
      <c r="K109" s="1"/>
      <c r="N109" s="1"/>
      <c r="Q109" s="1"/>
      <c r="T109" s="2"/>
      <c r="Z109" s="1"/>
      <c r="AC109" s="3"/>
    </row>
    <row r="110" ht="15.75" customHeight="1">
      <c r="E110" s="1"/>
      <c r="H110" s="1"/>
      <c r="K110" s="1"/>
      <c r="N110" s="1"/>
      <c r="Q110" s="1"/>
      <c r="T110" s="2"/>
      <c r="Z110" s="1"/>
      <c r="AC110" s="3"/>
    </row>
    <row r="111" ht="15.75" customHeight="1">
      <c r="E111" s="1"/>
      <c r="H111" s="1"/>
      <c r="K111" s="1"/>
      <c r="N111" s="1"/>
      <c r="Q111" s="1"/>
      <c r="T111" s="2"/>
      <c r="Z111" s="1"/>
      <c r="AC111" s="3"/>
    </row>
    <row r="112" ht="15.75" customHeight="1">
      <c r="E112" s="1"/>
      <c r="H112" s="1"/>
      <c r="K112" s="1"/>
      <c r="N112" s="1"/>
      <c r="Q112" s="1"/>
      <c r="T112" s="2"/>
      <c r="Z112" s="1"/>
      <c r="AC112" s="3"/>
    </row>
    <row r="113" ht="15.75" customHeight="1">
      <c r="E113" s="1"/>
      <c r="H113" s="1"/>
      <c r="K113" s="1"/>
      <c r="N113" s="1"/>
      <c r="Q113" s="1"/>
      <c r="T113" s="2"/>
      <c r="Z113" s="1"/>
      <c r="AC113" s="3"/>
    </row>
    <row r="114" ht="15.75" customHeight="1">
      <c r="E114" s="1"/>
      <c r="H114" s="1"/>
      <c r="K114" s="1"/>
      <c r="N114" s="1"/>
      <c r="Q114" s="1"/>
      <c r="T114" s="2"/>
      <c r="Z114" s="1"/>
      <c r="AC114" s="3"/>
    </row>
    <row r="115" ht="15.75" customHeight="1">
      <c r="E115" s="1"/>
      <c r="H115" s="1"/>
      <c r="K115" s="1"/>
      <c r="N115" s="1"/>
      <c r="Q115" s="1"/>
      <c r="T115" s="2"/>
      <c r="Z115" s="1"/>
      <c r="AC115" s="3"/>
    </row>
    <row r="116" ht="15.75" customHeight="1">
      <c r="E116" s="1"/>
      <c r="H116" s="1"/>
      <c r="K116" s="1"/>
      <c r="N116" s="1"/>
      <c r="Q116" s="1"/>
      <c r="T116" s="2"/>
      <c r="Z116" s="1"/>
      <c r="AC116" s="3"/>
    </row>
    <row r="117" ht="15.75" customHeight="1">
      <c r="E117" s="1"/>
      <c r="H117" s="1"/>
      <c r="K117" s="1"/>
      <c r="N117" s="1"/>
      <c r="Q117" s="1"/>
      <c r="T117" s="2"/>
      <c r="Z117" s="1"/>
      <c r="AC117" s="3"/>
    </row>
    <row r="118" ht="15.75" customHeight="1">
      <c r="E118" s="1"/>
      <c r="H118" s="1"/>
      <c r="K118" s="1"/>
      <c r="N118" s="1"/>
      <c r="Q118" s="1"/>
      <c r="T118" s="2"/>
      <c r="Z118" s="1"/>
      <c r="AC118" s="3"/>
    </row>
    <row r="119" ht="15.75" customHeight="1">
      <c r="E119" s="1"/>
      <c r="H119" s="1"/>
      <c r="K119" s="1"/>
      <c r="N119" s="1"/>
      <c r="Q119" s="1"/>
      <c r="T119" s="2"/>
      <c r="Z119" s="1"/>
      <c r="AC119" s="3"/>
    </row>
    <row r="120" ht="15.75" customHeight="1">
      <c r="E120" s="1"/>
      <c r="H120" s="1"/>
      <c r="K120" s="1"/>
      <c r="N120" s="1"/>
      <c r="Q120" s="1"/>
      <c r="T120" s="2"/>
      <c r="Z120" s="1"/>
      <c r="AC120" s="3"/>
    </row>
    <row r="121" ht="15.75" customHeight="1">
      <c r="E121" s="1"/>
      <c r="H121" s="1"/>
      <c r="K121" s="1"/>
      <c r="N121" s="1"/>
      <c r="Q121" s="1"/>
      <c r="T121" s="2"/>
      <c r="Z121" s="1"/>
      <c r="AC121" s="3"/>
    </row>
    <row r="122" ht="15.75" customHeight="1">
      <c r="E122" s="1"/>
      <c r="H122" s="1"/>
      <c r="K122" s="1"/>
      <c r="N122" s="1"/>
      <c r="Q122" s="1"/>
      <c r="T122" s="2"/>
      <c r="Z122" s="1"/>
      <c r="AC122" s="3"/>
    </row>
    <row r="123" ht="15.75" customHeight="1">
      <c r="E123" s="1"/>
      <c r="H123" s="1"/>
      <c r="K123" s="1"/>
      <c r="N123" s="1"/>
      <c r="Q123" s="1"/>
      <c r="T123" s="2"/>
      <c r="Z123" s="1"/>
      <c r="AC123" s="3"/>
    </row>
    <row r="124" ht="15.75" customHeight="1">
      <c r="E124" s="1"/>
      <c r="H124" s="1"/>
      <c r="K124" s="1"/>
      <c r="N124" s="1"/>
      <c r="Q124" s="1"/>
      <c r="T124" s="2"/>
      <c r="Z124" s="1"/>
      <c r="AC124" s="3"/>
    </row>
    <row r="125" ht="15.75" customHeight="1">
      <c r="E125" s="1"/>
      <c r="H125" s="1"/>
      <c r="K125" s="1"/>
      <c r="N125" s="1"/>
      <c r="Q125" s="1"/>
      <c r="T125" s="2"/>
      <c r="Z125" s="1"/>
      <c r="AC125" s="3"/>
    </row>
    <row r="126" ht="15.75" customHeight="1">
      <c r="E126" s="1"/>
      <c r="H126" s="1"/>
      <c r="K126" s="1"/>
      <c r="N126" s="1"/>
      <c r="Q126" s="1"/>
      <c r="T126" s="2"/>
      <c r="Z126" s="1"/>
      <c r="AC126" s="3"/>
    </row>
    <row r="127" ht="15.75" customHeight="1">
      <c r="E127" s="1"/>
      <c r="H127" s="1"/>
      <c r="K127" s="1"/>
      <c r="N127" s="1"/>
      <c r="Q127" s="1"/>
      <c r="T127" s="2"/>
      <c r="Z127" s="1"/>
      <c r="AC127" s="3"/>
    </row>
    <row r="128" ht="15.75" customHeight="1">
      <c r="E128" s="1"/>
      <c r="H128" s="1"/>
      <c r="K128" s="1"/>
      <c r="N128" s="1"/>
      <c r="Q128" s="1"/>
      <c r="T128" s="2"/>
      <c r="Z128" s="1"/>
      <c r="AC128" s="3"/>
    </row>
    <row r="129" ht="15.75" customHeight="1">
      <c r="E129" s="1"/>
      <c r="H129" s="1"/>
      <c r="K129" s="1"/>
      <c r="N129" s="1"/>
      <c r="Q129" s="1"/>
      <c r="T129" s="2"/>
      <c r="Z129" s="1"/>
      <c r="AC129" s="3"/>
    </row>
    <row r="130" ht="15.75" customHeight="1">
      <c r="E130" s="1"/>
      <c r="H130" s="1"/>
      <c r="K130" s="1"/>
      <c r="N130" s="1"/>
      <c r="Q130" s="1"/>
      <c r="T130" s="2"/>
      <c r="Z130" s="1"/>
      <c r="AC130" s="3"/>
    </row>
    <row r="131" ht="15.75" customHeight="1">
      <c r="E131" s="1"/>
      <c r="H131" s="1"/>
      <c r="K131" s="1"/>
      <c r="N131" s="1"/>
      <c r="Q131" s="1"/>
      <c r="T131" s="2"/>
      <c r="Z131" s="1"/>
      <c r="AC131" s="3"/>
    </row>
    <row r="132" ht="15.75" customHeight="1">
      <c r="E132" s="1"/>
      <c r="H132" s="1"/>
      <c r="K132" s="1"/>
      <c r="N132" s="1"/>
      <c r="Q132" s="1"/>
      <c r="T132" s="2"/>
      <c r="Z132" s="1"/>
      <c r="AC132" s="3"/>
    </row>
    <row r="133" ht="15.75" customHeight="1">
      <c r="E133" s="1"/>
      <c r="H133" s="1"/>
      <c r="K133" s="1"/>
      <c r="N133" s="1"/>
      <c r="Q133" s="1"/>
      <c r="T133" s="2"/>
      <c r="Z133" s="1"/>
      <c r="AC133" s="3"/>
    </row>
    <row r="134" ht="15.75" customHeight="1">
      <c r="E134" s="1"/>
      <c r="H134" s="1"/>
      <c r="K134" s="1"/>
      <c r="N134" s="1"/>
      <c r="Q134" s="1"/>
      <c r="T134" s="2"/>
      <c r="Z134" s="1"/>
      <c r="AC134" s="3"/>
    </row>
    <row r="135" ht="15.75" customHeight="1">
      <c r="E135" s="1"/>
      <c r="H135" s="1"/>
      <c r="K135" s="1"/>
      <c r="N135" s="1"/>
      <c r="Q135" s="1"/>
      <c r="T135" s="2"/>
      <c r="Z135" s="1"/>
      <c r="AC135" s="3"/>
    </row>
    <row r="136" ht="15.75" customHeight="1">
      <c r="E136" s="1"/>
      <c r="H136" s="1"/>
      <c r="K136" s="1"/>
      <c r="N136" s="1"/>
      <c r="Q136" s="1"/>
      <c r="T136" s="2"/>
      <c r="Z136" s="1"/>
      <c r="AC136" s="3"/>
    </row>
    <row r="137" ht="15.75" customHeight="1">
      <c r="E137" s="1"/>
      <c r="H137" s="1"/>
      <c r="K137" s="1"/>
      <c r="N137" s="1"/>
      <c r="Q137" s="1"/>
      <c r="T137" s="2"/>
      <c r="Z137" s="1"/>
      <c r="AC137" s="3"/>
    </row>
    <row r="138" ht="15.75" customHeight="1">
      <c r="E138" s="1"/>
      <c r="H138" s="1"/>
      <c r="K138" s="1"/>
      <c r="N138" s="1"/>
      <c r="Q138" s="1"/>
      <c r="T138" s="2"/>
      <c r="Z138" s="1"/>
      <c r="AC138" s="3"/>
    </row>
    <row r="139" ht="15.75" customHeight="1">
      <c r="E139" s="1"/>
      <c r="H139" s="1"/>
      <c r="K139" s="1"/>
      <c r="N139" s="1"/>
      <c r="Q139" s="1"/>
      <c r="T139" s="2"/>
      <c r="Z139" s="1"/>
      <c r="AC139" s="3"/>
    </row>
    <row r="140" ht="15.75" customHeight="1">
      <c r="E140" s="1"/>
      <c r="H140" s="1"/>
      <c r="K140" s="1"/>
      <c r="N140" s="1"/>
      <c r="Q140" s="1"/>
      <c r="T140" s="2"/>
      <c r="Z140" s="1"/>
      <c r="AC140" s="3"/>
    </row>
    <row r="141" ht="15.75" customHeight="1">
      <c r="E141" s="1"/>
      <c r="H141" s="1"/>
      <c r="K141" s="1"/>
      <c r="N141" s="1"/>
      <c r="Q141" s="1"/>
      <c r="T141" s="2"/>
      <c r="Z141" s="1"/>
      <c r="AC141" s="3"/>
    </row>
    <row r="142" ht="15.75" customHeight="1">
      <c r="E142" s="1"/>
      <c r="H142" s="1"/>
      <c r="K142" s="1"/>
      <c r="N142" s="1"/>
      <c r="Q142" s="1"/>
      <c r="T142" s="2"/>
      <c r="Z142" s="1"/>
      <c r="AC142" s="3"/>
    </row>
    <row r="143" ht="15.75" customHeight="1">
      <c r="E143" s="1"/>
      <c r="H143" s="1"/>
      <c r="K143" s="1"/>
      <c r="N143" s="1"/>
      <c r="Q143" s="1"/>
      <c r="T143" s="2"/>
      <c r="Z143" s="1"/>
      <c r="AC143" s="3"/>
    </row>
    <row r="144" ht="15.75" customHeight="1">
      <c r="E144" s="1"/>
      <c r="H144" s="1"/>
      <c r="K144" s="1"/>
      <c r="N144" s="1"/>
      <c r="Q144" s="1"/>
      <c r="T144" s="2"/>
      <c r="Z144" s="1"/>
      <c r="AC144" s="3"/>
    </row>
    <row r="145" ht="15.75" customHeight="1">
      <c r="E145" s="1"/>
      <c r="H145" s="1"/>
      <c r="K145" s="1"/>
      <c r="N145" s="1"/>
      <c r="Q145" s="1"/>
      <c r="T145" s="2"/>
      <c r="Z145" s="1"/>
      <c r="AC145" s="3"/>
    </row>
    <row r="146" ht="15.75" customHeight="1">
      <c r="E146" s="1"/>
      <c r="H146" s="1"/>
      <c r="K146" s="1"/>
      <c r="N146" s="1"/>
      <c r="Q146" s="1"/>
      <c r="T146" s="2"/>
      <c r="Z146" s="1"/>
      <c r="AC146" s="3"/>
    </row>
    <row r="147" ht="15.75" customHeight="1">
      <c r="E147" s="1"/>
      <c r="H147" s="1"/>
      <c r="K147" s="1"/>
      <c r="N147" s="1"/>
      <c r="Q147" s="1"/>
      <c r="T147" s="2"/>
      <c r="Z147" s="1"/>
      <c r="AC147" s="3"/>
    </row>
    <row r="148" ht="15.75" customHeight="1">
      <c r="E148" s="1"/>
      <c r="H148" s="1"/>
      <c r="K148" s="1"/>
      <c r="N148" s="1"/>
      <c r="Q148" s="1"/>
      <c r="T148" s="2"/>
      <c r="Z148" s="1"/>
      <c r="AC148" s="3"/>
    </row>
    <row r="149" ht="15.75" customHeight="1">
      <c r="E149" s="1"/>
      <c r="H149" s="1"/>
      <c r="K149" s="1"/>
      <c r="N149" s="1"/>
      <c r="Q149" s="1"/>
      <c r="T149" s="2"/>
      <c r="Z149" s="1"/>
      <c r="AC149" s="3"/>
    </row>
    <row r="150" ht="15.75" customHeight="1">
      <c r="E150" s="1"/>
      <c r="H150" s="1"/>
      <c r="K150" s="1"/>
      <c r="N150" s="1"/>
      <c r="Q150" s="1"/>
      <c r="T150" s="2"/>
      <c r="Z150" s="1"/>
      <c r="AC150" s="3"/>
    </row>
    <row r="151" ht="15.75" customHeight="1">
      <c r="E151" s="1"/>
      <c r="H151" s="1"/>
      <c r="K151" s="1"/>
      <c r="N151" s="1"/>
      <c r="Q151" s="1"/>
      <c r="T151" s="2"/>
      <c r="Z151" s="1"/>
      <c r="AC151" s="3"/>
    </row>
    <row r="152" ht="15.75" customHeight="1">
      <c r="E152" s="1"/>
      <c r="H152" s="1"/>
      <c r="K152" s="1"/>
      <c r="N152" s="1"/>
      <c r="Q152" s="1"/>
      <c r="T152" s="2"/>
      <c r="Z152" s="1"/>
      <c r="AC152" s="3"/>
    </row>
    <row r="153" ht="15.75" customHeight="1">
      <c r="E153" s="1"/>
      <c r="H153" s="1"/>
      <c r="K153" s="1"/>
      <c r="N153" s="1"/>
      <c r="Q153" s="1"/>
      <c r="T153" s="2"/>
      <c r="Z153" s="1"/>
      <c r="AC153" s="3"/>
    </row>
    <row r="154" ht="15.75" customHeight="1">
      <c r="E154" s="1"/>
      <c r="H154" s="1"/>
      <c r="K154" s="1"/>
      <c r="N154" s="1"/>
      <c r="Q154" s="1"/>
      <c r="T154" s="2"/>
      <c r="Z154" s="1"/>
      <c r="AC154" s="3"/>
    </row>
    <row r="155" ht="15.75" customHeight="1">
      <c r="E155" s="1"/>
      <c r="H155" s="1"/>
      <c r="K155" s="1"/>
      <c r="N155" s="1"/>
      <c r="Q155" s="1"/>
      <c r="T155" s="2"/>
      <c r="Z155" s="1"/>
      <c r="AC155" s="3"/>
    </row>
    <row r="156" ht="15.75" customHeight="1">
      <c r="E156" s="1"/>
      <c r="H156" s="1"/>
      <c r="K156" s="1"/>
      <c r="N156" s="1"/>
      <c r="Q156" s="1"/>
      <c r="T156" s="2"/>
      <c r="Z156" s="1"/>
      <c r="AC156" s="3"/>
    </row>
    <row r="157" ht="15.75" customHeight="1">
      <c r="E157" s="1"/>
      <c r="H157" s="1"/>
      <c r="K157" s="1"/>
      <c r="N157" s="1"/>
      <c r="Q157" s="1"/>
      <c r="T157" s="2"/>
      <c r="Z157" s="1"/>
      <c r="AC157" s="3"/>
    </row>
    <row r="158" ht="15.75" customHeight="1">
      <c r="E158" s="1"/>
      <c r="H158" s="1"/>
      <c r="K158" s="1"/>
      <c r="N158" s="1"/>
      <c r="Q158" s="1"/>
      <c r="T158" s="2"/>
      <c r="Z158" s="1"/>
      <c r="AC158" s="3"/>
    </row>
    <row r="159" ht="15.75" customHeight="1">
      <c r="E159" s="1"/>
      <c r="H159" s="1"/>
      <c r="K159" s="1"/>
      <c r="N159" s="1"/>
      <c r="Q159" s="1"/>
      <c r="T159" s="2"/>
      <c r="Z159" s="1"/>
      <c r="AC159" s="3"/>
    </row>
    <row r="160" ht="15.75" customHeight="1">
      <c r="E160" s="1"/>
      <c r="H160" s="1"/>
      <c r="K160" s="1"/>
      <c r="N160" s="1"/>
      <c r="Q160" s="1"/>
      <c r="T160" s="2"/>
      <c r="Z160" s="1"/>
      <c r="AC160" s="3"/>
    </row>
    <row r="161" ht="15.75" customHeight="1">
      <c r="E161" s="1"/>
      <c r="H161" s="1"/>
      <c r="K161" s="1"/>
      <c r="N161" s="1"/>
      <c r="Q161" s="1"/>
      <c r="T161" s="2"/>
      <c r="Z161" s="1"/>
      <c r="AC161" s="3"/>
    </row>
    <row r="162" ht="15.75" customHeight="1">
      <c r="E162" s="1"/>
      <c r="H162" s="1"/>
      <c r="K162" s="1"/>
      <c r="N162" s="1"/>
      <c r="Q162" s="1"/>
      <c r="T162" s="2"/>
      <c r="Z162" s="1"/>
      <c r="AC162" s="3"/>
    </row>
    <row r="163" ht="15.75" customHeight="1">
      <c r="E163" s="1"/>
      <c r="H163" s="1"/>
      <c r="K163" s="1"/>
      <c r="N163" s="1"/>
      <c r="Q163" s="1"/>
      <c r="T163" s="2"/>
      <c r="Z163" s="1"/>
      <c r="AC163" s="3"/>
    </row>
    <row r="164" ht="15.75" customHeight="1">
      <c r="E164" s="1"/>
      <c r="H164" s="1"/>
      <c r="K164" s="1"/>
      <c r="N164" s="1"/>
      <c r="Q164" s="1"/>
      <c r="T164" s="2"/>
      <c r="Z164" s="1"/>
      <c r="AC164" s="3"/>
    </row>
    <row r="165" ht="15.75" customHeight="1">
      <c r="E165" s="1"/>
      <c r="H165" s="1"/>
      <c r="K165" s="1"/>
      <c r="N165" s="1"/>
      <c r="Q165" s="1"/>
      <c r="T165" s="2"/>
      <c r="Z165" s="1"/>
      <c r="AC165" s="3"/>
    </row>
    <row r="166" ht="15.75" customHeight="1">
      <c r="E166" s="1"/>
      <c r="H166" s="1"/>
      <c r="K166" s="1"/>
      <c r="N166" s="1"/>
      <c r="Q166" s="1"/>
      <c r="T166" s="2"/>
      <c r="Z166" s="1"/>
      <c r="AC166" s="3"/>
    </row>
    <row r="167" ht="15.75" customHeight="1">
      <c r="E167" s="1"/>
      <c r="H167" s="1"/>
      <c r="K167" s="1"/>
      <c r="N167" s="1"/>
      <c r="Q167" s="1"/>
      <c r="T167" s="2"/>
      <c r="Z167" s="1"/>
      <c r="AC167" s="3"/>
    </row>
    <row r="168" ht="15.75" customHeight="1">
      <c r="E168" s="1"/>
      <c r="H168" s="1"/>
      <c r="K168" s="1"/>
      <c r="N168" s="1"/>
      <c r="Q168" s="1"/>
      <c r="T168" s="2"/>
      <c r="Z168" s="1"/>
      <c r="AC168" s="3"/>
    </row>
    <row r="169" ht="15.75" customHeight="1">
      <c r="E169" s="1"/>
      <c r="H169" s="1"/>
      <c r="K169" s="1"/>
      <c r="N169" s="1"/>
      <c r="Q169" s="1"/>
      <c r="T169" s="2"/>
      <c r="Z169" s="1"/>
      <c r="AC169" s="3"/>
    </row>
    <row r="170" ht="15.75" customHeight="1">
      <c r="E170" s="1"/>
      <c r="H170" s="1"/>
      <c r="K170" s="1"/>
      <c r="N170" s="1"/>
      <c r="Q170" s="1"/>
      <c r="T170" s="2"/>
      <c r="Z170" s="1"/>
      <c r="AC170" s="3"/>
    </row>
    <row r="171" ht="15.75" customHeight="1">
      <c r="E171" s="1"/>
      <c r="H171" s="1"/>
      <c r="K171" s="1"/>
      <c r="N171" s="1"/>
      <c r="Q171" s="1"/>
      <c r="T171" s="2"/>
      <c r="Z171" s="1"/>
      <c r="AC171" s="3"/>
    </row>
    <row r="172" ht="15.75" customHeight="1">
      <c r="E172" s="1"/>
      <c r="H172" s="1"/>
      <c r="K172" s="1"/>
      <c r="N172" s="1"/>
      <c r="Q172" s="1"/>
      <c r="T172" s="2"/>
      <c r="Z172" s="1"/>
      <c r="AC172" s="3"/>
    </row>
    <row r="173" ht="15.75" customHeight="1">
      <c r="E173" s="1"/>
      <c r="H173" s="1"/>
      <c r="K173" s="1"/>
      <c r="N173" s="1"/>
      <c r="Q173" s="1"/>
      <c r="T173" s="2"/>
      <c r="Z173" s="1"/>
      <c r="AC173" s="3"/>
    </row>
    <row r="174" ht="15.75" customHeight="1">
      <c r="E174" s="1"/>
      <c r="H174" s="1"/>
      <c r="K174" s="1"/>
      <c r="N174" s="1"/>
      <c r="Q174" s="1"/>
      <c r="T174" s="2"/>
      <c r="Z174" s="1"/>
      <c r="AC174" s="3"/>
    </row>
    <row r="175" ht="15.75" customHeight="1">
      <c r="E175" s="1"/>
      <c r="H175" s="1"/>
      <c r="K175" s="1"/>
      <c r="N175" s="1"/>
      <c r="Q175" s="1"/>
      <c r="T175" s="2"/>
      <c r="Z175" s="1"/>
      <c r="AC175" s="3"/>
    </row>
    <row r="176" ht="15.75" customHeight="1">
      <c r="E176" s="1"/>
      <c r="H176" s="1"/>
      <c r="K176" s="1"/>
      <c r="N176" s="1"/>
      <c r="Q176" s="1"/>
      <c r="T176" s="2"/>
      <c r="Z176" s="1"/>
      <c r="AC176" s="3"/>
    </row>
    <row r="177" ht="15.75" customHeight="1">
      <c r="E177" s="1"/>
      <c r="H177" s="1"/>
      <c r="K177" s="1"/>
      <c r="N177" s="1"/>
      <c r="Q177" s="1"/>
      <c r="T177" s="2"/>
      <c r="Z177" s="1"/>
      <c r="AC177" s="3"/>
    </row>
    <row r="178" ht="15.75" customHeight="1">
      <c r="E178" s="1"/>
      <c r="H178" s="1"/>
      <c r="K178" s="1"/>
      <c r="N178" s="1"/>
      <c r="Q178" s="1"/>
      <c r="T178" s="2"/>
      <c r="Z178" s="1"/>
      <c r="AC178" s="3"/>
    </row>
    <row r="179" ht="15.75" customHeight="1">
      <c r="E179" s="1"/>
      <c r="H179" s="1"/>
      <c r="K179" s="1"/>
      <c r="N179" s="1"/>
      <c r="Q179" s="1"/>
      <c r="T179" s="2"/>
      <c r="Z179" s="1"/>
      <c r="AC179" s="3"/>
    </row>
    <row r="180" ht="15.75" customHeight="1">
      <c r="E180" s="1"/>
      <c r="H180" s="1"/>
      <c r="K180" s="1"/>
      <c r="N180" s="1"/>
      <c r="Q180" s="1"/>
      <c r="T180" s="2"/>
      <c r="Z180" s="1"/>
      <c r="AC180" s="3"/>
    </row>
    <row r="181" ht="15.75" customHeight="1">
      <c r="E181" s="1"/>
      <c r="H181" s="1"/>
      <c r="K181" s="1"/>
      <c r="N181" s="1"/>
      <c r="Q181" s="1"/>
      <c r="T181" s="2"/>
      <c r="Z181" s="1"/>
      <c r="AC181" s="3"/>
    </row>
    <row r="182" ht="15.75" customHeight="1">
      <c r="E182" s="1"/>
      <c r="H182" s="1"/>
      <c r="K182" s="1"/>
      <c r="N182" s="1"/>
      <c r="Q182" s="1"/>
      <c r="T182" s="2"/>
      <c r="Z182" s="1"/>
      <c r="AC182" s="3"/>
    </row>
    <row r="183" ht="15.75" customHeight="1">
      <c r="E183" s="1"/>
      <c r="H183" s="1"/>
      <c r="K183" s="1"/>
      <c r="N183" s="1"/>
      <c r="Q183" s="1"/>
      <c r="T183" s="2"/>
      <c r="Z183" s="1"/>
      <c r="AC183" s="3"/>
    </row>
    <row r="184" ht="15.75" customHeight="1">
      <c r="E184" s="1"/>
      <c r="H184" s="1"/>
      <c r="K184" s="1"/>
      <c r="N184" s="1"/>
      <c r="Q184" s="1"/>
      <c r="T184" s="2"/>
      <c r="Z184" s="1"/>
      <c r="AC184" s="3"/>
    </row>
    <row r="185" ht="15.75" customHeight="1">
      <c r="E185" s="1"/>
      <c r="H185" s="1"/>
      <c r="K185" s="1"/>
      <c r="N185" s="1"/>
      <c r="Q185" s="1"/>
      <c r="T185" s="2"/>
      <c r="Z185" s="1"/>
      <c r="AC185" s="3"/>
    </row>
    <row r="186" ht="15.75" customHeight="1">
      <c r="E186" s="1"/>
      <c r="H186" s="1"/>
      <c r="K186" s="1"/>
      <c r="N186" s="1"/>
      <c r="Q186" s="1"/>
      <c r="T186" s="2"/>
      <c r="Z186" s="1"/>
      <c r="AC186" s="3"/>
    </row>
    <row r="187" ht="15.75" customHeight="1">
      <c r="E187" s="1"/>
      <c r="H187" s="1"/>
      <c r="K187" s="1"/>
      <c r="N187" s="1"/>
      <c r="Q187" s="1"/>
      <c r="T187" s="2"/>
      <c r="Z187" s="1"/>
      <c r="AC187" s="3"/>
    </row>
    <row r="188" ht="15.75" customHeight="1">
      <c r="E188" s="1"/>
      <c r="H188" s="1"/>
      <c r="K188" s="1"/>
      <c r="N188" s="1"/>
      <c r="Q188" s="1"/>
      <c r="T188" s="2"/>
      <c r="Z188" s="1"/>
      <c r="AC188" s="3"/>
    </row>
    <row r="189" ht="15.75" customHeight="1">
      <c r="E189" s="1"/>
      <c r="H189" s="1"/>
      <c r="K189" s="1"/>
      <c r="N189" s="1"/>
      <c r="Q189" s="1"/>
      <c r="T189" s="2"/>
      <c r="Z189" s="1"/>
      <c r="AC189" s="3"/>
    </row>
    <row r="190" ht="15.75" customHeight="1">
      <c r="E190" s="1"/>
      <c r="H190" s="1"/>
      <c r="K190" s="1"/>
      <c r="N190" s="1"/>
      <c r="Q190" s="1"/>
      <c r="T190" s="2"/>
      <c r="Z190" s="1"/>
      <c r="AC190" s="3"/>
    </row>
    <row r="191" ht="15.75" customHeight="1">
      <c r="E191" s="1"/>
      <c r="H191" s="1"/>
      <c r="K191" s="1"/>
      <c r="N191" s="1"/>
      <c r="Q191" s="1"/>
      <c r="T191" s="2"/>
      <c r="Z191" s="1"/>
      <c r="AC191" s="3"/>
    </row>
    <row r="192" ht="15.75" customHeight="1">
      <c r="E192" s="1"/>
      <c r="H192" s="1"/>
      <c r="K192" s="1"/>
      <c r="N192" s="1"/>
      <c r="Q192" s="1"/>
      <c r="T192" s="2"/>
      <c r="Z192" s="1"/>
      <c r="AC192" s="3"/>
    </row>
    <row r="193" ht="15.75" customHeight="1">
      <c r="E193" s="1"/>
      <c r="H193" s="1"/>
      <c r="K193" s="1"/>
      <c r="N193" s="1"/>
      <c r="Q193" s="1"/>
      <c r="T193" s="2"/>
      <c r="Z193" s="1"/>
      <c r="AC193" s="3"/>
    </row>
    <row r="194" ht="15.75" customHeight="1">
      <c r="E194" s="1"/>
      <c r="H194" s="1"/>
      <c r="K194" s="1"/>
      <c r="N194" s="1"/>
      <c r="Q194" s="1"/>
      <c r="T194" s="2"/>
      <c r="Z194" s="1"/>
      <c r="AC194" s="3"/>
    </row>
    <row r="195" ht="15.75" customHeight="1">
      <c r="E195" s="1"/>
      <c r="H195" s="1"/>
      <c r="K195" s="1"/>
      <c r="N195" s="1"/>
      <c r="Q195" s="1"/>
      <c r="T195" s="2"/>
      <c r="Z195" s="1"/>
      <c r="AC195" s="3"/>
    </row>
    <row r="196" ht="15.75" customHeight="1">
      <c r="E196" s="1"/>
      <c r="H196" s="1"/>
      <c r="K196" s="1"/>
      <c r="N196" s="1"/>
      <c r="Q196" s="1"/>
      <c r="T196" s="2"/>
      <c r="Z196" s="1"/>
      <c r="AC196" s="3"/>
    </row>
    <row r="197" ht="15.75" customHeight="1">
      <c r="E197" s="1"/>
      <c r="H197" s="1"/>
      <c r="K197" s="1"/>
      <c r="N197" s="1"/>
      <c r="Q197" s="1"/>
      <c r="T197" s="2"/>
      <c r="Z197" s="1"/>
      <c r="AC197" s="3"/>
    </row>
    <row r="198" ht="15.75" customHeight="1">
      <c r="E198" s="1"/>
      <c r="H198" s="1"/>
      <c r="K198" s="1"/>
      <c r="N198" s="1"/>
      <c r="Q198" s="1"/>
      <c r="T198" s="2"/>
      <c r="Z198" s="1"/>
      <c r="AC198" s="3"/>
    </row>
    <row r="199" ht="15.75" customHeight="1">
      <c r="E199" s="1"/>
      <c r="H199" s="1"/>
      <c r="K199" s="1"/>
      <c r="N199" s="1"/>
      <c r="Q199" s="1"/>
      <c r="T199" s="2"/>
      <c r="Z199" s="1"/>
      <c r="AC199" s="3"/>
    </row>
    <row r="200" ht="15.75" customHeight="1">
      <c r="E200" s="1"/>
      <c r="H200" s="1"/>
      <c r="K200" s="1"/>
      <c r="N200" s="1"/>
      <c r="Q200" s="1"/>
      <c r="T200" s="2"/>
      <c r="Z200" s="1"/>
      <c r="AC200" s="3"/>
    </row>
    <row r="201" ht="15.75" customHeight="1">
      <c r="E201" s="1"/>
      <c r="H201" s="1"/>
      <c r="K201" s="1"/>
      <c r="N201" s="1"/>
      <c r="Q201" s="1"/>
      <c r="T201" s="2"/>
      <c r="Z201" s="1"/>
      <c r="AC201" s="3"/>
    </row>
    <row r="202" ht="15.75" customHeight="1">
      <c r="E202" s="1"/>
      <c r="H202" s="1"/>
      <c r="K202" s="1"/>
      <c r="N202" s="1"/>
      <c r="Q202" s="1"/>
      <c r="T202" s="2"/>
      <c r="Z202" s="1"/>
      <c r="AC202" s="3"/>
    </row>
    <row r="203" ht="15.75" customHeight="1">
      <c r="E203" s="1"/>
      <c r="H203" s="1"/>
      <c r="K203" s="1"/>
      <c r="N203" s="1"/>
      <c r="Q203" s="1"/>
      <c r="T203" s="2"/>
      <c r="Z203" s="1"/>
      <c r="AC203" s="3"/>
    </row>
    <row r="204" ht="15.75" customHeight="1">
      <c r="E204" s="1"/>
      <c r="H204" s="1"/>
      <c r="K204" s="1"/>
      <c r="N204" s="1"/>
      <c r="Q204" s="1"/>
      <c r="T204" s="2"/>
      <c r="Z204" s="1"/>
      <c r="AC204" s="3"/>
    </row>
    <row r="205" ht="15.75" customHeight="1">
      <c r="E205" s="1"/>
      <c r="H205" s="1"/>
      <c r="K205" s="1"/>
      <c r="N205" s="1"/>
      <c r="Q205" s="1"/>
      <c r="T205" s="2"/>
      <c r="Z205" s="1"/>
      <c r="AC205" s="3"/>
    </row>
    <row r="206" ht="15.75" customHeight="1">
      <c r="E206" s="1"/>
      <c r="H206" s="1"/>
      <c r="K206" s="1"/>
      <c r="N206" s="1"/>
      <c r="Q206" s="1"/>
      <c r="T206" s="2"/>
      <c r="Z206" s="1"/>
      <c r="AC206" s="3"/>
    </row>
    <row r="207" ht="15.75" customHeight="1">
      <c r="E207" s="1"/>
      <c r="H207" s="1"/>
      <c r="K207" s="1"/>
      <c r="N207" s="1"/>
      <c r="Q207" s="1"/>
      <c r="T207" s="2"/>
      <c r="Z207" s="1"/>
      <c r="AC207" s="3"/>
    </row>
    <row r="208" ht="15.75" customHeight="1">
      <c r="E208" s="1"/>
      <c r="H208" s="1"/>
      <c r="K208" s="1"/>
      <c r="N208" s="1"/>
      <c r="Q208" s="1"/>
      <c r="T208" s="2"/>
      <c r="Z208" s="1"/>
      <c r="AC208" s="3"/>
    </row>
    <row r="209" ht="15.75" customHeight="1">
      <c r="E209" s="1"/>
      <c r="H209" s="1"/>
      <c r="K209" s="1"/>
      <c r="N209" s="1"/>
      <c r="Q209" s="1"/>
      <c r="T209" s="2"/>
      <c r="Z209" s="1"/>
      <c r="AC209" s="3"/>
    </row>
    <row r="210" ht="15.75" customHeight="1">
      <c r="E210" s="1"/>
      <c r="H210" s="1"/>
      <c r="K210" s="1"/>
      <c r="N210" s="1"/>
      <c r="Q210" s="1"/>
      <c r="T210" s="2"/>
      <c r="Z210" s="1"/>
      <c r="AC210" s="3"/>
    </row>
    <row r="211" ht="15.75" customHeight="1">
      <c r="E211" s="1"/>
      <c r="H211" s="1"/>
      <c r="K211" s="1"/>
      <c r="N211" s="1"/>
      <c r="Q211" s="1"/>
      <c r="T211" s="2"/>
      <c r="Z211" s="1"/>
      <c r="AC211" s="3"/>
    </row>
    <row r="212" ht="15.75" customHeight="1">
      <c r="E212" s="1"/>
      <c r="H212" s="1"/>
      <c r="K212" s="1"/>
      <c r="N212" s="1"/>
      <c r="Q212" s="1"/>
      <c r="T212" s="2"/>
      <c r="Z212" s="1"/>
      <c r="AC212" s="3"/>
    </row>
    <row r="213" ht="15.75" customHeight="1">
      <c r="E213" s="1"/>
      <c r="H213" s="1"/>
      <c r="K213" s="1"/>
      <c r="N213" s="1"/>
      <c r="Q213" s="1"/>
      <c r="T213" s="2"/>
      <c r="Z213" s="1"/>
      <c r="AC213" s="3"/>
    </row>
    <row r="214" ht="15.75" customHeight="1">
      <c r="E214" s="1"/>
      <c r="H214" s="1"/>
      <c r="K214" s="1"/>
      <c r="N214" s="1"/>
      <c r="Q214" s="1"/>
      <c r="T214" s="2"/>
      <c r="Z214" s="1"/>
      <c r="AC214" s="3"/>
    </row>
    <row r="215" ht="15.75" customHeight="1">
      <c r="E215" s="1"/>
      <c r="H215" s="1"/>
      <c r="K215" s="1"/>
      <c r="N215" s="1"/>
      <c r="Q215" s="1"/>
      <c r="T215" s="2"/>
      <c r="Z215" s="1"/>
      <c r="AC215" s="3"/>
    </row>
    <row r="216" ht="15.75" customHeight="1">
      <c r="E216" s="1"/>
      <c r="H216" s="1"/>
      <c r="K216" s="1"/>
      <c r="N216" s="1"/>
      <c r="Q216" s="1"/>
      <c r="T216" s="2"/>
      <c r="Z216" s="1"/>
      <c r="AC216" s="3"/>
    </row>
    <row r="217" ht="15.75" customHeight="1">
      <c r="E217" s="1"/>
      <c r="H217" s="1"/>
      <c r="K217" s="1"/>
      <c r="N217" s="1"/>
      <c r="Q217" s="1"/>
      <c r="T217" s="2"/>
      <c r="Z217" s="1"/>
      <c r="AC217" s="3"/>
    </row>
    <row r="218" ht="15.75" customHeight="1">
      <c r="E218" s="1"/>
      <c r="H218" s="1"/>
      <c r="K218" s="1"/>
      <c r="N218" s="1"/>
      <c r="Q218" s="1"/>
      <c r="T218" s="2"/>
      <c r="Z218" s="1"/>
      <c r="AC218" s="3"/>
    </row>
    <row r="219" ht="15.75" customHeight="1">
      <c r="E219" s="1"/>
      <c r="H219" s="1"/>
      <c r="K219" s="1"/>
      <c r="N219" s="1"/>
      <c r="Q219" s="1"/>
      <c r="T219" s="2"/>
      <c r="Z219" s="1"/>
      <c r="AC219" s="3"/>
    </row>
    <row r="220" ht="15.75" customHeight="1">
      <c r="E220" s="1"/>
      <c r="H220" s="1"/>
      <c r="K220" s="1"/>
      <c r="N220" s="1"/>
      <c r="Q220" s="1"/>
      <c r="T220" s="2"/>
      <c r="Z220" s="1"/>
      <c r="AC220" s="3"/>
    </row>
    <row r="221" ht="15.75" customHeight="1">
      <c r="E221" s="1"/>
      <c r="H221" s="1"/>
      <c r="K221" s="1"/>
      <c r="N221" s="1"/>
      <c r="Q221" s="1"/>
      <c r="T221" s="2"/>
      <c r="Z221" s="1"/>
      <c r="AC221" s="3"/>
    </row>
    <row r="222" ht="15.75" customHeight="1">
      <c r="E222" s="1"/>
      <c r="H222" s="1"/>
      <c r="K222" s="1"/>
      <c r="N222" s="1"/>
      <c r="Q222" s="1"/>
      <c r="T222" s="2"/>
      <c r="Z222" s="1"/>
      <c r="AC222" s="3"/>
    </row>
    <row r="223" ht="15.75" customHeight="1">
      <c r="E223" s="1"/>
      <c r="H223" s="1"/>
      <c r="K223" s="1"/>
      <c r="N223" s="1"/>
      <c r="Q223" s="1"/>
      <c r="T223" s="2"/>
      <c r="Z223" s="1"/>
      <c r="AC223" s="3"/>
    </row>
    <row r="224" ht="15.75" customHeight="1">
      <c r="E224" s="1"/>
      <c r="H224" s="1"/>
      <c r="K224" s="1"/>
      <c r="N224" s="1"/>
      <c r="Q224" s="1"/>
      <c r="T224" s="2"/>
      <c r="Z224" s="1"/>
      <c r="AC224" s="3"/>
    </row>
    <row r="225" ht="15.75" customHeight="1">
      <c r="E225" s="1"/>
      <c r="H225" s="1"/>
      <c r="K225" s="1"/>
      <c r="N225" s="1"/>
      <c r="Q225" s="1"/>
      <c r="T225" s="2"/>
      <c r="Z225" s="1"/>
      <c r="AC225" s="3"/>
    </row>
    <row r="226" ht="15.75" customHeight="1">
      <c r="E226" s="1"/>
      <c r="H226" s="1"/>
      <c r="K226" s="1"/>
      <c r="N226" s="1"/>
      <c r="Q226" s="1"/>
      <c r="T226" s="2"/>
      <c r="Z226" s="1"/>
      <c r="AC226" s="3"/>
    </row>
    <row r="227" ht="15.75" customHeight="1">
      <c r="E227" s="1"/>
      <c r="H227" s="1"/>
      <c r="K227" s="1"/>
      <c r="N227" s="1"/>
      <c r="Q227" s="1"/>
      <c r="T227" s="2"/>
      <c r="Z227" s="1"/>
      <c r="AC227" s="3"/>
    </row>
    <row r="228" ht="15.75" customHeight="1">
      <c r="E228" s="1"/>
      <c r="H228" s="1"/>
      <c r="K228" s="1"/>
      <c r="N228" s="1"/>
      <c r="Q228" s="1"/>
      <c r="T228" s="2"/>
      <c r="Z228" s="1"/>
      <c r="AC228" s="3"/>
    </row>
    <row r="229" ht="15.75" customHeight="1">
      <c r="E229" s="1"/>
      <c r="H229" s="1"/>
      <c r="K229" s="1"/>
      <c r="N229" s="1"/>
      <c r="Q229" s="1"/>
      <c r="T229" s="2"/>
      <c r="Z229" s="1"/>
      <c r="AC229" s="3"/>
    </row>
    <row r="230" ht="15.75" customHeight="1">
      <c r="E230" s="1"/>
      <c r="H230" s="1"/>
      <c r="K230" s="1"/>
      <c r="N230" s="1"/>
      <c r="Q230" s="1"/>
      <c r="T230" s="2"/>
      <c r="Z230" s="1"/>
      <c r="AC230" s="3"/>
    </row>
    <row r="231" ht="15.75" customHeight="1">
      <c r="E231" s="1"/>
      <c r="H231" s="1"/>
      <c r="K231" s="1"/>
      <c r="N231" s="1"/>
      <c r="Q231" s="1"/>
      <c r="T231" s="2"/>
      <c r="Z231" s="1"/>
      <c r="AC231" s="3"/>
    </row>
    <row r="232" ht="15.75" customHeight="1">
      <c r="E232" s="1"/>
      <c r="H232" s="1"/>
      <c r="K232" s="1"/>
      <c r="N232" s="1"/>
      <c r="Q232" s="1"/>
      <c r="T232" s="2"/>
      <c r="Z232" s="1"/>
      <c r="AC232" s="3"/>
    </row>
    <row r="233" ht="15.75" customHeight="1">
      <c r="E233" s="1"/>
      <c r="H233" s="1"/>
      <c r="K233" s="1"/>
      <c r="N233" s="1"/>
      <c r="Q233" s="1"/>
      <c r="T233" s="2"/>
      <c r="Z233" s="1"/>
      <c r="AC233" s="3"/>
    </row>
    <row r="234" ht="15.75" customHeight="1">
      <c r="E234" s="1"/>
      <c r="H234" s="1"/>
      <c r="K234" s="1"/>
      <c r="N234" s="1"/>
      <c r="Q234" s="1"/>
      <c r="T234" s="2"/>
      <c r="Z234" s="1"/>
      <c r="AC234" s="3"/>
    </row>
    <row r="235" ht="15.75" customHeight="1">
      <c r="E235" s="1"/>
      <c r="H235" s="1"/>
      <c r="K235" s="1"/>
      <c r="N235" s="1"/>
      <c r="Q235" s="1"/>
      <c r="T235" s="2"/>
      <c r="Z235" s="1"/>
      <c r="AC235" s="3"/>
    </row>
    <row r="236" ht="15.75" customHeight="1">
      <c r="E236" s="1"/>
      <c r="H236" s="1"/>
      <c r="K236" s="1"/>
      <c r="N236" s="1"/>
      <c r="Q236" s="1"/>
      <c r="T236" s="2"/>
      <c r="Z236" s="1"/>
      <c r="AC236" s="3"/>
    </row>
    <row r="237" ht="15.75" customHeight="1">
      <c r="E237" s="1"/>
      <c r="H237" s="1"/>
      <c r="K237" s="1"/>
      <c r="N237" s="1"/>
      <c r="Q237" s="1"/>
      <c r="T237" s="2"/>
      <c r="Z237" s="1"/>
      <c r="AC237" s="3"/>
    </row>
    <row r="238" ht="15.75" customHeight="1">
      <c r="E238" s="1"/>
      <c r="H238" s="1"/>
      <c r="K238" s="1"/>
      <c r="N238" s="1"/>
      <c r="Q238" s="1"/>
      <c r="T238" s="2"/>
      <c r="Z238" s="1"/>
      <c r="AC238" s="3"/>
    </row>
    <row r="239" ht="15.75" customHeight="1">
      <c r="E239" s="1"/>
      <c r="H239" s="1"/>
      <c r="K239" s="1"/>
      <c r="N239" s="1"/>
      <c r="Q239" s="1"/>
      <c r="T239" s="2"/>
      <c r="Z239" s="1"/>
      <c r="AC239" s="3"/>
    </row>
    <row r="240" ht="15.75" customHeight="1">
      <c r="E240" s="1"/>
      <c r="H240" s="1"/>
      <c r="K240" s="1"/>
      <c r="N240" s="1"/>
      <c r="Q240" s="1"/>
      <c r="T240" s="2"/>
      <c r="Z240" s="1"/>
      <c r="AC240" s="3"/>
    </row>
    <row r="241" ht="15.75" customHeight="1">
      <c r="E241" s="1"/>
      <c r="H241" s="1"/>
      <c r="K241" s="1"/>
      <c r="N241" s="1"/>
      <c r="Q241" s="1"/>
      <c r="T241" s="2"/>
      <c r="Z241" s="1"/>
      <c r="AC241" s="3"/>
    </row>
    <row r="242" ht="15.75" customHeight="1">
      <c r="E242" s="1"/>
      <c r="H242" s="1"/>
      <c r="K242" s="1"/>
      <c r="N242" s="1"/>
      <c r="Q242" s="1"/>
      <c r="T242" s="2"/>
      <c r="Z242" s="1"/>
      <c r="AC242" s="3"/>
    </row>
    <row r="243" ht="15.75" customHeight="1">
      <c r="E243" s="1"/>
      <c r="H243" s="1"/>
      <c r="K243" s="1"/>
      <c r="N243" s="1"/>
      <c r="Q243" s="1"/>
      <c r="T243" s="2"/>
      <c r="Z243" s="1"/>
      <c r="AC243" s="3"/>
    </row>
    <row r="244" ht="15.75" customHeight="1">
      <c r="E244" s="1"/>
      <c r="H244" s="1"/>
      <c r="K244" s="1"/>
      <c r="N244" s="1"/>
      <c r="Q244" s="1"/>
      <c r="T244" s="2"/>
      <c r="Z244" s="1"/>
      <c r="AC244" s="3"/>
    </row>
    <row r="245" ht="15.75" customHeight="1">
      <c r="E245" s="1"/>
      <c r="H245" s="1"/>
      <c r="K245" s="1"/>
      <c r="N245" s="1"/>
      <c r="Q245" s="1"/>
      <c r="T245" s="2"/>
      <c r="Z245" s="1"/>
      <c r="AC245" s="3"/>
    </row>
    <row r="246" ht="15.75" customHeight="1">
      <c r="E246" s="1"/>
      <c r="H246" s="1"/>
      <c r="K246" s="1"/>
      <c r="N246" s="1"/>
      <c r="Q246" s="1"/>
      <c r="T246" s="2"/>
      <c r="Z246" s="1"/>
      <c r="AC246" s="3"/>
    </row>
    <row r="247" ht="15.75" customHeight="1">
      <c r="E247" s="1"/>
      <c r="H247" s="1"/>
      <c r="K247" s="1"/>
      <c r="N247" s="1"/>
      <c r="Q247" s="1"/>
      <c r="T247" s="2"/>
      <c r="Z247" s="1"/>
      <c r="AC247" s="3"/>
    </row>
    <row r="248" ht="15.75" customHeight="1">
      <c r="E248" s="1"/>
      <c r="H248" s="1"/>
      <c r="K248" s="1"/>
      <c r="N248" s="1"/>
      <c r="Q248" s="1"/>
      <c r="T248" s="2"/>
      <c r="Z248" s="1"/>
      <c r="AC248" s="3"/>
    </row>
    <row r="249" ht="15.75" customHeight="1">
      <c r="E249" s="1"/>
      <c r="H249" s="1"/>
      <c r="K249" s="1"/>
      <c r="N249" s="1"/>
      <c r="Q249" s="1"/>
      <c r="T249" s="2"/>
      <c r="Z249" s="1"/>
      <c r="AC249" s="3"/>
    </row>
    <row r="250" ht="15.75" customHeight="1">
      <c r="E250" s="1"/>
      <c r="H250" s="1"/>
      <c r="K250" s="1"/>
      <c r="N250" s="1"/>
      <c r="Q250" s="1"/>
      <c r="T250" s="2"/>
      <c r="Z250" s="1"/>
      <c r="AC250" s="3"/>
    </row>
    <row r="251" ht="15.75" customHeight="1">
      <c r="E251" s="1"/>
      <c r="H251" s="1"/>
      <c r="K251" s="1"/>
      <c r="N251" s="1"/>
      <c r="Q251" s="1"/>
      <c r="T251" s="2"/>
      <c r="Z251" s="1"/>
      <c r="AC251" s="3"/>
    </row>
    <row r="252" ht="15.75" customHeight="1">
      <c r="E252" s="1"/>
      <c r="H252" s="1"/>
      <c r="K252" s="1"/>
      <c r="N252" s="1"/>
      <c r="Q252" s="1"/>
      <c r="T252" s="2"/>
      <c r="Z252" s="1"/>
      <c r="AC252" s="3"/>
    </row>
    <row r="253" ht="15.75" customHeight="1">
      <c r="E253" s="1"/>
      <c r="H253" s="1"/>
      <c r="K253" s="1"/>
      <c r="N253" s="1"/>
      <c r="Q253" s="1"/>
      <c r="T253" s="2"/>
      <c r="Z253" s="1"/>
      <c r="AC253" s="3"/>
    </row>
    <row r="254" ht="15.75" customHeight="1">
      <c r="E254" s="1"/>
      <c r="H254" s="1"/>
      <c r="K254" s="1"/>
      <c r="N254" s="1"/>
      <c r="Q254" s="1"/>
      <c r="T254" s="2"/>
      <c r="Z254" s="1"/>
      <c r="AC254" s="3"/>
    </row>
    <row r="255" ht="15.75" customHeight="1">
      <c r="E255" s="1"/>
      <c r="H255" s="1"/>
      <c r="K255" s="1"/>
      <c r="N255" s="1"/>
      <c r="Q255" s="1"/>
      <c r="T255" s="2"/>
      <c r="Z255" s="1"/>
      <c r="AC255" s="3"/>
    </row>
    <row r="256" ht="15.75" customHeight="1">
      <c r="E256" s="1"/>
      <c r="H256" s="1"/>
      <c r="K256" s="1"/>
      <c r="N256" s="1"/>
      <c r="Q256" s="1"/>
      <c r="T256" s="2"/>
      <c r="Z256" s="1"/>
      <c r="AC256" s="3"/>
    </row>
    <row r="257" ht="15.75" customHeight="1">
      <c r="E257" s="1"/>
      <c r="H257" s="1"/>
      <c r="K257" s="1"/>
      <c r="N257" s="1"/>
      <c r="Q257" s="1"/>
      <c r="T257" s="2"/>
      <c r="Z257" s="1"/>
      <c r="AC257" s="3"/>
    </row>
    <row r="258" ht="15.75" customHeight="1">
      <c r="E258" s="1"/>
      <c r="H258" s="1"/>
      <c r="K258" s="1"/>
      <c r="N258" s="1"/>
      <c r="Q258" s="1"/>
      <c r="T258" s="2"/>
      <c r="Z258" s="1"/>
      <c r="AC258" s="3"/>
    </row>
    <row r="259" ht="15.75" customHeight="1">
      <c r="E259" s="1"/>
      <c r="H259" s="1"/>
      <c r="K259" s="1"/>
      <c r="N259" s="1"/>
      <c r="Q259" s="1"/>
      <c r="T259" s="2"/>
      <c r="Z259" s="1"/>
      <c r="AC259" s="3"/>
    </row>
    <row r="260" ht="15.75" customHeight="1">
      <c r="E260" s="1"/>
      <c r="H260" s="1"/>
      <c r="K260" s="1"/>
      <c r="N260" s="1"/>
      <c r="Q260" s="1"/>
      <c r="T260" s="2"/>
      <c r="Z260" s="1"/>
      <c r="AC260" s="3"/>
    </row>
    <row r="261" ht="15.75" customHeight="1">
      <c r="E261" s="1"/>
      <c r="H261" s="1"/>
      <c r="K261" s="1"/>
      <c r="N261" s="1"/>
      <c r="Q261" s="1"/>
      <c r="T261" s="2"/>
      <c r="Z261" s="1"/>
      <c r="AC261" s="3"/>
    </row>
    <row r="262" ht="15.75" customHeight="1">
      <c r="E262" s="1"/>
      <c r="H262" s="1"/>
      <c r="K262" s="1"/>
      <c r="N262" s="1"/>
      <c r="Q262" s="1"/>
      <c r="T262" s="2"/>
      <c r="Z262" s="1"/>
      <c r="AC262" s="3"/>
    </row>
    <row r="263" ht="15.75" customHeight="1">
      <c r="E263" s="1"/>
      <c r="H263" s="1"/>
      <c r="K263" s="1"/>
      <c r="N263" s="1"/>
      <c r="Q263" s="1"/>
      <c r="T263" s="2"/>
      <c r="Z263" s="1"/>
      <c r="AC263" s="3"/>
    </row>
    <row r="264" ht="15.75" customHeight="1">
      <c r="E264" s="1"/>
      <c r="H264" s="1"/>
      <c r="K264" s="1"/>
      <c r="N264" s="1"/>
      <c r="Q264" s="1"/>
      <c r="T264" s="2"/>
      <c r="Z264" s="1"/>
      <c r="AC264" s="3"/>
    </row>
    <row r="265" ht="15.75" customHeight="1">
      <c r="E265" s="1"/>
      <c r="H265" s="1"/>
      <c r="K265" s="1"/>
      <c r="N265" s="1"/>
      <c r="Q265" s="1"/>
      <c r="T265" s="2"/>
      <c r="Z265" s="1"/>
      <c r="AC265" s="3"/>
    </row>
    <row r="266" ht="15.75" customHeight="1">
      <c r="E266" s="1"/>
      <c r="H266" s="1"/>
      <c r="K266" s="1"/>
      <c r="N266" s="1"/>
      <c r="Q266" s="1"/>
      <c r="T266" s="2"/>
      <c r="Z266" s="1"/>
      <c r="AC266" s="3"/>
    </row>
    <row r="267" ht="15.75" customHeight="1">
      <c r="E267" s="1"/>
      <c r="H267" s="1"/>
      <c r="K267" s="1"/>
      <c r="N267" s="1"/>
      <c r="Q267" s="1"/>
      <c r="T267" s="2"/>
      <c r="Z267" s="1"/>
      <c r="AC267" s="3"/>
    </row>
    <row r="268" ht="15.75" customHeight="1">
      <c r="E268" s="1"/>
      <c r="H268" s="1"/>
      <c r="K268" s="1"/>
      <c r="N268" s="1"/>
      <c r="Q268" s="1"/>
      <c r="T268" s="2"/>
      <c r="Z268" s="1"/>
      <c r="AC268" s="3"/>
    </row>
    <row r="269" ht="15.75" customHeight="1">
      <c r="E269" s="1"/>
      <c r="H269" s="1"/>
      <c r="K269" s="1"/>
      <c r="N269" s="1"/>
      <c r="Q269" s="1"/>
      <c r="T269" s="2"/>
      <c r="Z269" s="1"/>
      <c r="AC269" s="3"/>
    </row>
    <row r="270" ht="15.75" customHeight="1">
      <c r="E270" s="1"/>
      <c r="H270" s="1"/>
      <c r="K270" s="1"/>
      <c r="N270" s="1"/>
      <c r="Q270" s="1"/>
      <c r="T270" s="2"/>
      <c r="Z270" s="1"/>
      <c r="AC270" s="3"/>
    </row>
    <row r="271" ht="15.75" customHeight="1">
      <c r="E271" s="1"/>
      <c r="H271" s="1"/>
      <c r="K271" s="1"/>
      <c r="N271" s="1"/>
      <c r="Q271" s="1"/>
      <c r="T271" s="2"/>
      <c r="Z271" s="1"/>
      <c r="AC271" s="3"/>
    </row>
    <row r="272" ht="15.75" customHeight="1">
      <c r="E272" s="1"/>
      <c r="H272" s="1"/>
      <c r="K272" s="1"/>
      <c r="N272" s="1"/>
      <c r="Q272" s="1"/>
      <c r="T272" s="2"/>
      <c r="Z272" s="1"/>
      <c r="AC272" s="3"/>
    </row>
    <row r="273" ht="15.75" customHeight="1">
      <c r="E273" s="1"/>
      <c r="H273" s="1"/>
      <c r="K273" s="1"/>
      <c r="N273" s="1"/>
      <c r="Q273" s="1"/>
      <c r="T273" s="2"/>
      <c r="Z273" s="1"/>
      <c r="AC273" s="3"/>
    </row>
    <row r="274" ht="15.75" customHeight="1">
      <c r="E274" s="1"/>
      <c r="H274" s="1"/>
      <c r="K274" s="1"/>
      <c r="N274" s="1"/>
      <c r="Q274" s="1"/>
      <c r="T274" s="2"/>
      <c r="Z274" s="1"/>
      <c r="AC274" s="3"/>
    </row>
    <row r="275" ht="15.75" customHeight="1">
      <c r="E275" s="1"/>
      <c r="H275" s="1"/>
      <c r="K275" s="1"/>
      <c r="N275" s="1"/>
      <c r="Q275" s="1"/>
      <c r="T275" s="2"/>
      <c r="Z275" s="1"/>
      <c r="AC275" s="3"/>
    </row>
    <row r="276" ht="15.75" customHeight="1">
      <c r="E276" s="1"/>
      <c r="H276" s="1"/>
      <c r="K276" s="1"/>
      <c r="N276" s="1"/>
      <c r="Q276" s="1"/>
      <c r="T276" s="2"/>
      <c r="Z276" s="1"/>
      <c r="AC276" s="3"/>
    </row>
    <row r="277" ht="15.75" customHeight="1">
      <c r="E277" s="1"/>
      <c r="H277" s="1"/>
      <c r="K277" s="1"/>
      <c r="N277" s="1"/>
      <c r="Q277" s="1"/>
      <c r="T277" s="2"/>
      <c r="Z277" s="1"/>
      <c r="AC277" s="3"/>
    </row>
    <row r="278" ht="15.75" customHeight="1">
      <c r="E278" s="1"/>
      <c r="H278" s="1"/>
      <c r="K278" s="1"/>
      <c r="N278" s="1"/>
      <c r="Q278" s="1"/>
      <c r="T278" s="2"/>
      <c r="Z278" s="1"/>
      <c r="AC278" s="3"/>
    </row>
    <row r="279" ht="15.75" customHeight="1">
      <c r="E279" s="1"/>
      <c r="H279" s="1"/>
      <c r="K279" s="1"/>
      <c r="N279" s="1"/>
      <c r="Q279" s="1"/>
      <c r="T279" s="2"/>
      <c r="Z279" s="1"/>
      <c r="AC279" s="3"/>
    </row>
    <row r="280" ht="15.75" customHeight="1">
      <c r="E280" s="1"/>
      <c r="H280" s="1"/>
      <c r="K280" s="1"/>
      <c r="N280" s="1"/>
      <c r="Q280" s="1"/>
      <c r="T280" s="2"/>
      <c r="Z280" s="1"/>
      <c r="AC280" s="3"/>
    </row>
    <row r="281" ht="15.75" customHeight="1">
      <c r="E281" s="1"/>
      <c r="H281" s="1"/>
      <c r="K281" s="1"/>
      <c r="N281" s="1"/>
      <c r="Q281" s="1"/>
      <c r="T281" s="2"/>
      <c r="Z281" s="1"/>
      <c r="AC281" s="3"/>
    </row>
    <row r="282" ht="15.75" customHeight="1">
      <c r="E282" s="1"/>
      <c r="H282" s="1"/>
      <c r="K282" s="1"/>
      <c r="N282" s="1"/>
      <c r="Q282" s="1"/>
      <c r="T282" s="2"/>
      <c r="Z282" s="1"/>
      <c r="AC282" s="3"/>
    </row>
    <row r="283" ht="15.75" customHeight="1">
      <c r="E283" s="1"/>
      <c r="H283" s="1"/>
      <c r="K283" s="1"/>
      <c r="N283" s="1"/>
      <c r="Q283" s="1"/>
      <c r="T283" s="2"/>
      <c r="Z283" s="1"/>
      <c r="AC283" s="3"/>
    </row>
    <row r="284" ht="15.75" customHeight="1">
      <c r="E284" s="1"/>
      <c r="H284" s="1"/>
      <c r="K284" s="1"/>
      <c r="N284" s="1"/>
      <c r="Q284" s="1"/>
      <c r="T284" s="2"/>
      <c r="Z284" s="1"/>
      <c r="AC284" s="3"/>
    </row>
    <row r="285" ht="15.75" customHeight="1">
      <c r="E285" s="1"/>
      <c r="H285" s="1"/>
      <c r="K285" s="1"/>
      <c r="N285" s="1"/>
      <c r="Q285" s="1"/>
      <c r="T285" s="2"/>
      <c r="Z285" s="1"/>
      <c r="AC285" s="3"/>
    </row>
    <row r="286" ht="15.75" customHeight="1">
      <c r="E286" s="1"/>
      <c r="H286" s="1"/>
      <c r="K286" s="1"/>
      <c r="N286" s="1"/>
      <c r="Q286" s="1"/>
      <c r="T286" s="2"/>
      <c r="Z286" s="1"/>
      <c r="AC286" s="3"/>
    </row>
    <row r="287" ht="15.75" customHeight="1">
      <c r="E287" s="1"/>
      <c r="H287" s="1"/>
      <c r="K287" s="1"/>
      <c r="N287" s="1"/>
      <c r="Q287" s="1"/>
      <c r="T287" s="2"/>
      <c r="Z287" s="1"/>
      <c r="AC287" s="3"/>
    </row>
    <row r="288" ht="15.75" customHeight="1">
      <c r="E288" s="1"/>
      <c r="H288" s="1"/>
      <c r="K288" s="1"/>
      <c r="N288" s="1"/>
      <c r="Q288" s="1"/>
      <c r="T288" s="2"/>
      <c r="Z288" s="1"/>
      <c r="AC288" s="3"/>
    </row>
    <row r="289" ht="15.75" customHeight="1">
      <c r="E289" s="1"/>
      <c r="H289" s="1"/>
      <c r="K289" s="1"/>
      <c r="N289" s="1"/>
      <c r="Q289" s="1"/>
      <c r="T289" s="2"/>
      <c r="Z289" s="1"/>
      <c r="AC289" s="3"/>
    </row>
    <row r="290" ht="15.75" customHeight="1">
      <c r="E290" s="1"/>
      <c r="H290" s="1"/>
      <c r="K290" s="1"/>
      <c r="N290" s="1"/>
      <c r="Q290" s="1"/>
      <c r="T290" s="2"/>
      <c r="Z290" s="1"/>
      <c r="AC290" s="3"/>
    </row>
    <row r="291" ht="15.75" customHeight="1">
      <c r="E291" s="1"/>
      <c r="H291" s="1"/>
      <c r="K291" s="1"/>
      <c r="N291" s="1"/>
      <c r="Q291" s="1"/>
      <c r="T291" s="2"/>
      <c r="Z291" s="1"/>
      <c r="AC291" s="3"/>
    </row>
    <row r="292" ht="15.75" customHeight="1">
      <c r="E292" s="1"/>
      <c r="H292" s="1"/>
      <c r="K292" s="1"/>
      <c r="N292" s="1"/>
      <c r="Q292" s="1"/>
      <c r="T292" s="2"/>
      <c r="Z292" s="1"/>
      <c r="AC292" s="3"/>
    </row>
    <row r="293" ht="15.75" customHeight="1">
      <c r="E293" s="1"/>
      <c r="H293" s="1"/>
      <c r="K293" s="1"/>
      <c r="N293" s="1"/>
      <c r="Q293" s="1"/>
      <c r="T293" s="2"/>
      <c r="Z293" s="1"/>
      <c r="AC293" s="3"/>
    </row>
    <row r="294" ht="15.75" customHeight="1">
      <c r="E294" s="1"/>
      <c r="H294" s="1"/>
      <c r="K294" s="1"/>
      <c r="N294" s="1"/>
      <c r="Q294" s="1"/>
      <c r="T294" s="2"/>
      <c r="Z294" s="1"/>
      <c r="AC294" s="3"/>
    </row>
    <row r="295" ht="15.75" customHeight="1">
      <c r="E295" s="1"/>
      <c r="H295" s="1"/>
      <c r="K295" s="1"/>
      <c r="N295" s="1"/>
      <c r="Q295" s="1"/>
      <c r="T295" s="2"/>
      <c r="Z295" s="1"/>
      <c r="AC295" s="3"/>
    </row>
    <row r="296" ht="15.75" customHeight="1">
      <c r="E296" s="1"/>
      <c r="H296" s="1"/>
      <c r="K296" s="1"/>
      <c r="N296" s="1"/>
      <c r="Q296" s="1"/>
      <c r="T296" s="2"/>
      <c r="Z296" s="1"/>
      <c r="AC296" s="3"/>
    </row>
    <row r="297" ht="15.75" customHeight="1">
      <c r="E297" s="1"/>
      <c r="H297" s="1"/>
      <c r="K297" s="1"/>
      <c r="N297" s="1"/>
      <c r="Q297" s="1"/>
      <c r="T297" s="2"/>
      <c r="Z297" s="1"/>
      <c r="AC297" s="3"/>
    </row>
    <row r="298" ht="15.75" customHeight="1">
      <c r="E298" s="1"/>
      <c r="H298" s="1"/>
      <c r="K298" s="1"/>
      <c r="N298" s="1"/>
      <c r="Q298" s="1"/>
      <c r="T298" s="2"/>
      <c r="Z298" s="1"/>
      <c r="AC298" s="3"/>
    </row>
    <row r="299" ht="15.75" customHeight="1">
      <c r="E299" s="1"/>
      <c r="H299" s="1"/>
      <c r="K299" s="1"/>
      <c r="N299" s="1"/>
      <c r="Q299" s="1"/>
      <c r="T299" s="2"/>
      <c r="Z299" s="1"/>
      <c r="AC299" s="3"/>
    </row>
    <row r="300" ht="15.75" customHeight="1">
      <c r="E300" s="1"/>
      <c r="H300" s="1"/>
      <c r="K300" s="1"/>
      <c r="N300" s="1"/>
      <c r="Q300" s="1"/>
      <c r="T300" s="2"/>
      <c r="Z300" s="1"/>
      <c r="AC300" s="3"/>
    </row>
    <row r="301" ht="15.75" customHeight="1">
      <c r="E301" s="1"/>
      <c r="H301" s="1"/>
      <c r="K301" s="1"/>
      <c r="N301" s="1"/>
      <c r="Q301" s="1"/>
      <c r="T301" s="2"/>
      <c r="Z301" s="1"/>
      <c r="AC301" s="3"/>
    </row>
    <row r="302" ht="15.75" customHeight="1">
      <c r="E302" s="1"/>
      <c r="H302" s="1"/>
      <c r="K302" s="1"/>
      <c r="N302" s="1"/>
      <c r="Q302" s="1"/>
      <c r="T302" s="2"/>
      <c r="Z302" s="1"/>
      <c r="AC302" s="3"/>
    </row>
    <row r="303" ht="15.75" customHeight="1">
      <c r="E303" s="1"/>
      <c r="H303" s="1"/>
      <c r="K303" s="1"/>
      <c r="N303" s="1"/>
      <c r="Q303" s="1"/>
      <c r="T303" s="2"/>
      <c r="Z303" s="1"/>
      <c r="AC303" s="3"/>
    </row>
    <row r="304" ht="15.75" customHeight="1">
      <c r="E304" s="1"/>
      <c r="H304" s="1"/>
      <c r="K304" s="1"/>
      <c r="N304" s="1"/>
      <c r="Q304" s="1"/>
      <c r="T304" s="2"/>
      <c r="Z304" s="1"/>
      <c r="AC304" s="3"/>
    </row>
    <row r="305" ht="15.75" customHeight="1">
      <c r="E305" s="1"/>
      <c r="H305" s="1"/>
      <c r="K305" s="1"/>
      <c r="N305" s="1"/>
      <c r="Q305" s="1"/>
      <c r="T305" s="2"/>
      <c r="Z305" s="1"/>
      <c r="AC305" s="3"/>
    </row>
    <row r="306" ht="15.75" customHeight="1">
      <c r="E306" s="1"/>
      <c r="H306" s="1"/>
      <c r="K306" s="1"/>
      <c r="N306" s="1"/>
      <c r="Q306" s="1"/>
      <c r="T306" s="2"/>
      <c r="Z306" s="1"/>
      <c r="AC306" s="3"/>
    </row>
    <row r="307" ht="15.75" customHeight="1">
      <c r="E307" s="1"/>
      <c r="H307" s="1"/>
      <c r="K307" s="1"/>
      <c r="N307" s="1"/>
      <c r="Q307" s="1"/>
      <c r="T307" s="2"/>
      <c r="Z307" s="1"/>
      <c r="AC307" s="3"/>
    </row>
    <row r="308" ht="15.75" customHeight="1">
      <c r="E308" s="1"/>
      <c r="H308" s="1"/>
      <c r="K308" s="1"/>
      <c r="N308" s="1"/>
      <c r="Q308" s="1"/>
      <c r="T308" s="2"/>
      <c r="Z308" s="1"/>
      <c r="AC308" s="3"/>
    </row>
    <row r="309" ht="15.75" customHeight="1">
      <c r="E309" s="1"/>
      <c r="H309" s="1"/>
      <c r="K309" s="1"/>
      <c r="N309" s="1"/>
      <c r="Q309" s="1"/>
      <c r="T309" s="2"/>
      <c r="Z309" s="1"/>
      <c r="AC309" s="3"/>
    </row>
    <row r="310" ht="15.75" customHeight="1">
      <c r="E310" s="1"/>
      <c r="H310" s="1"/>
      <c r="K310" s="1"/>
      <c r="N310" s="1"/>
      <c r="Q310" s="1"/>
      <c r="T310" s="2"/>
      <c r="Z310" s="1"/>
      <c r="AC310" s="3"/>
    </row>
    <row r="311" ht="15.75" customHeight="1">
      <c r="E311" s="1"/>
      <c r="H311" s="1"/>
      <c r="K311" s="1"/>
      <c r="N311" s="1"/>
      <c r="Q311" s="1"/>
      <c r="T311" s="2"/>
      <c r="Z311" s="1"/>
      <c r="AC311" s="3"/>
    </row>
    <row r="312" ht="15.75" customHeight="1">
      <c r="E312" s="1"/>
      <c r="H312" s="1"/>
      <c r="K312" s="1"/>
      <c r="N312" s="1"/>
      <c r="Q312" s="1"/>
      <c r="T312" s="2"/>
      <c r="Z312" s="1"/>
      <c r="AC312" s="3"/>
    </row>
    <row r="313" ht="15.75" customHeight="1">
      <c r="E313" s="1"/>
      <c r="H313" s="1"/>
      <c r="K313" s="1"/>
      <c r="N313" s="1"/>
      <c r="Q313" s="1"/>
      <c r="T313" s="2"/>
      <c r="Z313" s="1"/>
      <c r="AC313" s="3"/>
    </row>
    <row r="314" ht="15.75" customHeight="1">
      <c r="E314" s="1"/>
      <c r="H314" s="1"/>
      <c r="K314" s="1"/>
      <c r="N314" s="1"/>
      <c r="Q314" s="1"/>
      <c r="T314" s="2"/>
      <c r="Z314" s="1"/>
      <c r="AC314" s="3"/>
    </row>
    <row r="315" ht="15.75" customHeight="1">
      <c r="E315" s="1"/>
      <c r="H315" s="1"/>
      <c r="K315" s="1"/>
      <c r="N315" s="1"/>
      <c r="Q315" s="1"/>
      <c r="T315" s="2"/>
      <c r="Z315" s="1"/>
      <c r="AC315" s="3"/>
    </row>
    <row r="316" ht="15.75" customHeight="1">
      <c r="E316" s="1"/>
      <c r="H316" s="1"/>
      <c r="K316" s="1"/>
      <c r="N316" s="1"/>
      <c r="Q316" s="1"/>
      <c r="T316" s="2"/>
      <c r="Z316" s="1"/>
      <c r="AC316" s="3"/>
    </row>
    <row r="317" ht="15.75" customHeight="1">
      <c r="E317" s="1"/>
      <c r="H317" s="1"/>
      <c r="K317" s="1"/>
      <c r="N317" s="1"/>
      <c r="Q317" s="1"/>
      <c r="T317" s="2"/>
      <c r="Z317" s="1"/>
      <c r="AC317" s="3"/>
    </row>
    <row r="318" ht="15.75" customHeight="1">
      <c r="E318" s="1"/>
      <c r="H318" s="1"/>
      <c r="K318" s="1"/>
      <c r="N318" s="1"/>
      <c r="Q318" s="1"/>
      <c r="T318" s="2"/>
      <c r="Z318" s="1"/>
      <c r="AC318" s="3"/>
    </row>
    <row r="319" ht="15.75" customHeight="1">
      <c r="E319" s="1"/>
      <c r="H319" s="1"/>
      <c r="K319" s="1"/>
      <c r="N319" s="1"/>
      <c r="Q319" s="1"/>
      <c r="T319" s="2"/>
      <c r="Z319" s="1"/>
      <c r="AC319" s="3"/>
    </row>
    <row r="320" ht="15.75" customHeight="1">
      <c r="E320" s="1"/>
      <c r="H320" s="1"/>
      <c r="K320" s="1"/>
      <c r="N320" s="1"/>
      <c r="Q320" s="1"/>
      <c r="T320" s="2"/>
      <c r="Z320" s="1"/>
      <c r="AC320" s="3"/>
    </row>
    <row r="321" ht="15.75" customHeight="1">
      <c r="E321" s="1"/>
      <c r="H321" s="1"/>
      <c r="K321" s="1"/>
      <c r="N321" s="1"/>
      <c r="Q321" s="1"/>
      <c r="T321" s="2"/>
      <c r="Z321" s="1"/>
      <c r="AC321" s="3"/>
    </row>
    <row r="322" ht="15.75" customHeight="1">
      <c r="E322" s="1"/>
      <c r="H322" s="1"/>
      <c r="K322" s="1"/>
      <c r="N322" s="1"/>
      <c r="Q322" s="1"/>
      <c r="T322" s="2"/>
      <c r="Z322" s="1"/>
      <c r="AC322" s="3"/>
    </row>
    <row r="323" ht="15.75" customHeight="1">
      <c r="E323" s="1"/>
      <c r="H323" s="1"/>
      <c r="K323" s="1"/>
      <c r="N323" s="1"/>
      <c r="Q323" s="1"/>
      <c r="T323" s="2"/>
      <c r="Z323" s="1"/>
      <c r="AC323" s="3"/>
    </row>
    <row r="324" ht="15.75" customHeight="1">
      <c r="E324" s="1"/>
      <c r="H324" s="1"/>
      <c r="K324" s="1"/>
      <c r="N324" s="1"/>
      <c r="Q324" s="1"/>
      <c r="T324" s="2"/>
      <c r="Z324" s="1"/>
      <c r="AC324" s="3"/>
    </row>
    <row r="325" ht="15.75" customHeight="1">
      <c r="E325" s="1"/>
      <c r="H325" s="1"/>
      <c r="K325" s="1"/>
      <c r="N325" s="1"/>
      <c r="Q325" s="1"/>
      <c r="T325" s="2"/>
      <c r="Z325" s="1"/>
      <c r="AC325" s="3"/>
    </row>
    <row r="326" ht="15.75" customHeight="1">
      <c r="E326" s="1"/>
      <c r="H326" s="1"/>
      <c r="K326" s="1"/>
      <c r="N326" s="1"/>
      <c r="Q326" s="1"/>
      <c r="T326" s="2"/>
      <c r="Z326" s="1"/>
      <c r="AC326" s="3"/>
    </row>
    <row r="327" ht="15.75" customHeight="1">
      <c r="E327" s="1"/>
      <c r="H327" s="1"/>
      <c r="K327" s="1"/>
      <c r="N327" s="1"/>
      <c r="Q327" s="1"/>
      <c r="T327" s="2"/>
      <c r="Z327" s="1"/>
      <c r="AC327" s="3"/>
    </row>
    <row r="328" ht="15.75" customHeight="1">
      <c r="E328" s="1"/>
      <c r="H328" s="1"/>
      <c r="K328" s="1"/>
      <c r="N328" s="1"/>
      <c r="Q328" s="1"/>
      <c r="T328" s="2"/>
      <c r="Z328" s="1"/>
      <c r="AC328" s="3"/>
    </row>
    <row r="329" ht="15.75" customHeight="1">
      <c r="E329" s="1"/>
      <c r="H329" s="1"/>
      <c r="K329" s="1"/>
      <c r="N329" s="1"/>
      <c r="Q329" s="1"/>
      <c r="T329" s="2"/>
      <c r="Z329" s="1"/>
      <c r="AC329" s="3"/>
    </row>
    <row r="330" ht="15.75" customHeight="1">
      <c r="E330" s="1"/>
      <c r="H330" s="1"/>
      <c r="K330" s="1"/>
      <c r="N330" s="1"/>
      <c r="Q330" s="1"/>
      <c r="T330" s="2"/>
      <c r="Z330" s="1"/>
      <c r="AC330" s="3"/>
    </row>
    <row r="331" ht="15.75" customHeight="1">
      <c r="E331" s="1"/>
      <c r="H331" s="1"/>
      <c r="K331" s="1"/>
      <c r="N331" s="1"/>
      <c r="Q331" s="1"/>
      <c r="T331" s="2"/>
      <c r="Z331" s="1"/>
      <c r="AC331" s="3"/>
    </row>
    <row r="332" ht="15.75" customHeight="1">
      <c r="E332" s="1"/>
      <c r="H332" s="1"/>
      <c r="K332" s="1"/>
      <c r="N332" s="1"/>
      <c r="Q332" s="1"/>
      <c r="T332" s="2"/>
      <c r="Z332" s="1"/>
      <c r="AC332" s="3"/>
    </row>
    <row r="333" ht="15.75" customHeight="1">
      <c r="E333" s="1"/>
      <c r="H333" s="1"/>
      <c r="K333" s="1"/>
      <c r="N333" s="1"/>
      <c r="Q333" s="1"/>
      <c r="T333" s="2"/>
      <c r="Z333" s="1"/>
      <c r="AC333" s="3"/>
    </row>
    <row r="334" ht="15.75" customHeight="1">
      <c r="E334" s="1"/>
      <c r="H334" s="1"/>
      <c r="K334" s="1"/>
      <c r="N334" s="1"/>
      <c r="Q334" s="1"/>
      <c r="T334" s="2"/>
      <c r="Z334" s="1"/>
      <c r="AC334" s="3"/>
    </row>
    <row r="335" ht="15.75" customHeight="1">
      <c r="E335" s="1"/>
      <c r="H335" s="1"/>
      <c r="K335" s="1"/>
      <c r="N335" s="1"/>
      <c r="Q335" s="1"/>
      <c r="T335" s="2"/>
      <c r="Z335" s="1"/>
      <c r="AC335" s="3"/>
    </row>
    <row r="336" ht="15.75" customHeight="1">
      <c r="E336" s="1"/>
      <c r="H336" s="1"/>
      <c r="K336" s="1"/>
      <c r="N336" s="1"/>
      <c r="Q336" s="1"/>
      <c r="T336" s="2"/>
      <c r="Z336" s="1"/>
      <c r="AC336" s="3"/>
    </row>
    <row r="337" ht="15.75" customHeight="1">
      <c r="E337" s="1"/>
      <c r="H337" s="1"/>
      <c r="K337" s="1"/>
      <c r="N337" s="1"/>
      <c r="Q337" s="1"/>
      <c r="T337" s="2"/>
      <c r="Z337" s="1"/>
      <c r="AC337" s="3"/>
    </row>
    <row r="338" ht="15.75" customHeight="1">
      <c r="E338" s="1"/>
      <c r="H338" s="1"/>
      <c r="K338" s="1"/>
      <c r="N338" s="1"/>
      <c r="Q338" s="1"/>
      <c r="T338" s="2"/>
      <c r="Z338" s="1"/>
      <c r="AC338" s="3"/>
    </row>
    <row r="339" ht="15.75" customHeight="1">
      <c r="E339" s="1"/>
      <c r="H339" s="1"/>
      <c r="K339" s="1"/>
      <c r="N339" s="1"/>
      <c r="Q339" s="1"/>
      <c r="T339" s="2"/>
      <c r="Z339" s="1"/>
      <c r="AC339" s="3"/>
    </row>
    <row r="340" ht="15.75" customHeight="1">
      <c r="E340" s="1"/>
      <c r="H340" s="1"/>
      <c r="K340" s="1"/>
      <c r="N340" s="1"/>
      <c r="Q340" s="1"/>
      <c r="T340" s="2"/>
      <c r="Z340" s="1"/>
      <c r="AC340" s="3"/>
    </row>
    <row r="341" ht="15.75" customHeight="1">
      <c r="E341" s="1"/>
      <c r="H341" s="1"/>
      <c r="K341" s="1"/>
      <c r="N341" s="1"/>
      <c r="Q341" s="1"/>
      <c r="T341" s="2"/>
      <c r="Z341" s="1"/>
      <c r="AC341" s="3"/>
    </row>
    <row r="342" ht="15.75" customHeight="1">
      <c r="E342" s="1"/>
      <c r="H342" s="1"/>
      <c r="K342" s="1"/>
      <c r="N342" s="1"/>
      <c r="Q342" s="1"/>
      <c r="T342" s="2"/>
      <c r="Z342" s="1"/>
      <c r="AC342" s="3"/>
    </row>
    <row r="343" ht="15.75" customHeight="1">
      <c r="E343" s="1"/>
      <c r="H343" s="1"/>
      <c r="K343" s="1"/>
      <c r="N343" s="1"/>
      <c r="Q343" s="1"/>
      <c r="T343" s="2"/>
      <c r="Z343" s="1"/>
      <c r="AC343" s="3"/>
    </row>
    <row r="344" ht="15.75" customHeight="1">
      <c r="E344" s="1"/>
      <c r="H344" s="1"/>
      <c r="K344" s="1"/>
      <c r="N344" s="1"/>
      <c r="Q344" s="1"/>
      <c r="T344" s="2"/>
      <c r="Z344" s="1"/>
      <c r="AC344" s="3"/>
    </row>
    <row r="345" ht="15.75" customHeight="1">
      <c r="E345" s="1"/>
      <c r="H345" s="1"/>
      <c r="K345" s="1"/>
      <c r="N345" s="1"/>
      <c r="Q345" s="1"/>
      <c r="T345" s="2"/>
      <c r="Z345" s="1"/>
      <c r="AC345" s="3"/>
    </row>
    <row r="346" ht="15.75" customHeight="1">
      <c r="E346" s="1"/>
      <c r="H346" s="1"/>
      <c r="K346" s="1"/>
      <c r="N346" s="1"/>
      <c r="Q346" s="1"/>
      <c r="T346" s="2"/>
      <c r="Z346" s="1"/>
      <c r="AC346" s="3"/>
    </row>
    <row r="347" ht="15.75" customHeight="1">
      <c r="E347" s="1"/>
      <c r="H347" s="1"/>
      <c r="K347" s="1"/>
      <c r="N347" s="1"/>
      <c r="Q347" s="1"/>
      <c r="T347" s="2"/>
      <c r="Z347" s="1"/>
      <c r="AC347" s="3"/>
    </row>
    <row r="348" ht="15.75" customHeight="1">
      <c r="E348" s="1"/>
      <c r="H348" s="1"/>
      <c r="K348" s="1"/>
      <c r="N348" s="1"/>
      <c r="Q348" s="1"/>
      <c r="T348" s="2"/>
      <c r="Z348" s="1"/>
      <c r="AC348" s="3"/>
    </row>
    <row r="349" ht="15.75" customHeight="1">
      <c r="E349" s="1"/>
      <c r="H349" s="1"/>
      <c r="K349" s="1"/>
      <c r="N349" s="1"/>
      <c r="Q349" s="1"/>
      <c r="T349" s="2"/>
      <c r="Z349" s="1"/>
      <c r="AC349" s="3"/>
    </row>
    <row r="350" ht="15.75" customHeight="1">
      <c r="E350" s="1"/>
      <c r="H350" s="1"/>
      <c r="K350" s="1"/>
      <c r="N350" s="1"/>
      <c r="Q350" s="1"/>
      <c r="T350" s="2"/>
      <c r="Z350" s="1"/>
      <c r="AC350" s="3"/>
    </row>
    <row r="351" ht="15.75" customHeight="1">
      <c r="E351" s="1"/>
      <c r="H351" s="1"/>
      <c r="K351" s="1"/>
      <c r="N351" s="1"/>
      <c r="Q351" s="1"/>
      <c r="T351" s="2"/>
      <c r="Z351" s="1"/>
      <c r="AC351" s="3"/>
    </row>
    <row r="352" ht="15.75" customHeight="1">
      <c r="E352" s="1"/>
      <c r="H352" s="1"/>
      <c r="K352" s="1"/>
      <c r="N352" s="1"/>
      <c r="Q352" s="1"/>
      <c r="T352" s="2"/>
      <c r="Z352" s="1"/>
      <c r="AC352" s="3"/>
    </row>
    <row r="353" ht="15.75" customHeight="1">
      <c r="E353" s="1"/>
      <c r="H353" s="1"/>
      <c r="K353" s="1"/>
      <c r="N353" s="1"/>
      <c r="Q353" s="1"/>
      <c r="T353" s="2"/>
      <c r="Z353" s="1"/>
      <c r="AC353" s="3"/>
    </row>
    <row r="354" ht="15.75" customHeight="1">
      <c r="E354" s="1"/>
      <c r="H354" s="1"/>
      <c r="K354" s="1"/>
      <c r="N354" s="1"/>
      <c r="Q354" s="1"/>
      <c r="T354" s="2"/>
      <c r="Z354" s="1"/>
      <c r="AC354" s="3"/>
    </row>
    <row r="355" ht="15.75" customHeight="1">
      <c r="E355" s="1"/>
      <c r="H355" s="1"/>
      <c r="K355" s="1"/>
      <c r="N355" s="1"/>
      <c r="Q355" s="1"/>
      <c r="T355" s="2"/>
      <c r="Z355" s="1"/>
      <c r="AC355" s="3"/>
    </row>
    <row r="356" ht="15.75" customHeight="1">
      <c r="E356" s="1"/>
      <c r="H356" s="1"/>
      <c r="K356" s="1"/>
      <c r="N356" s="1"/>
      <c r="Q356" s="1"/>
      <c r="T356" s="2"/>
      <c r="Z356" s="1"/>
      <c r="AC356" s="3"/>
    </row>
    <row r="357" ht="15.75" customHeight="1">
      <c r="E357" s="1"/>
      <c r="H357" s="1"/>
      <c r="K357" s="1"/>
      <c r="N357" s="1"/>
      <c r="Q357" s="1"/>
      <c r="T357" s="2"/>
      <c r="Z357" s="1"/>
      <c r="AC357" s="3"/>
    </row>
    <row r="358" ht="15.75" customHeight="1">
      <c r="E358" s="1"/>
      <c r="H358" s="1"/>
      <c r="K358" s="1"/>
      <c r="N358" s="1"/>
      <c r="Q358" s="1"/>
      <c r="T358" s="2"/>
      <c r="Z358" s="1"/>
      <c r="AC358" s="3"/>
    </row>
    <row r="359" ht="15.75" customHeight="1">
      <c r="E359" s="1"/>
      <c r="H359" s="1"/>
      <c r="K359" s="1"/>
      <c r="N359" s="1"/>
      <c r="Q359" s="1"/>
      <c r="T359" s="2"/>
      <c r="Z359" s="1"/>
      <c r="AC359" s="3"/>
    </row>
    <row r="360" ht="15.75" customHeight="1">
      <c r="E360" s="1"/>
      <c r="H360" s="1"/>
      <c r="K360" s="1"/>
      <c r="N360" s="1"/>
      <c r="Q360" s="1"/>
      <c r="T360" s="2"/>
      <c r="Z360" s="1"/>
      <c r="AC360" s="3"/>
    </row>
    <row r="361" ht="15.75" customHeight="1">
      <c r="E361" s="1"/>
      <c r="H361" s="1"/>
      <c r="K361" s="1"/>
      <c r="N361" s="1"/>
      <c r="Q361" s="1"/>
      <c r="T361" s="2"/>
      <c r="Z361" s="1"/>
      <c r="AC361" s="3"/>
    </row>
    <row r="362" ht="15.75" customHeight="1">
      <c r="E362" s="1"/>
      <c r="H362" s="1"/>
      <c r="K362" s="1"/>
      <c r="N362" s="1"/>
      <c r="Q362" s="1"/>
      <c r="T362" s="2"/>
      <c r="Z362" s="1"/>
      <c r="AC362" s="3"/>
    </row>
    <row r="363" ht="15.75" customHeight="1">
      <c r="E363" s="1"/>
      <c r="H363" s="1"/>
      <c r="K363" s="1"/>
      <c r="N363" s="1"/>
      <c r="Q363" s="1"/>
      <c r="T363" s="2"/>
      <c r="Z363" s="1"/>
      <c r="AC363" s="3"/>
    </row>
    <row r="364" ht="15.75" customHeight="1">
      <c r="E364" s="1"/>
      <c r="H364" s="1"/>
      <c r="K364" s="1"/>
      <c r="N364" s="1"/>
      <c r="Q364" s="1"/>
      <c r="T364" s="2"/>
      <c r="Z364" s="1"/>
      <c r="AC364" s="3"/>
    </row>
    <row r="365" ht="15.75" customHeight="1">
      <c r="E365" s="1"/>
      <c r="H365" s="1"/>
      <c r="K365" s="1"/>
      <c r="N365" s="1"/>
      <c r="Q365" s="1"/>
      <c r="T365" s="2"/>
      <c r="Z365" s="1"/>
      <c r="AC365" s="3"/>
    </row>
    <row r="366" ht="15.75" customHeight="1">
      <c r="E366" s="1"/>
      <c r="H366" s="1"/>
      <c r="K366" s="1"/>
      <c r="N366" s="1"/>
      <c r="Q366" s="1"/>
      <c r="T366" s="2"/>
      <c r="Z366" s="1"/>
      <c r="AC366" s="3"/>
    </row>
    <row r="367" ht="15.75" customHeight="1">
      <c r="E367" s="1"/>
      <c r="H367" s="1"/>
      <c r="K367" s="1"/>
      <c r="N367" s="1"/>
      <c r="Q367" s="1"/>
      <c r="T367" s="2"/>
      <c r="Z367" s="1"/>
      <c r="AC367" s="3"/>
    </row>
    <row r="368" ht="15.75" customHeight="1">
      <c r="E368" s="1"/>
      <c r="H368" s="1"/>
      <c r="K368" s="1"/>
      <c r="N368" s="1"/>
      <c r="Q368" s="1"/>
      <c r="T368" s="2"/>
      <c r="Z368" s="1"/>
      <c r="AC368" s="3"/>
    </row>
    <row r="369" ht="15.75" customHeight="1">
      <c r="E369" s="1"/>
      <c r="H369" s="1"/>
      <c r="K369" s="1"/>
      <c r="N369" s="1"/>
      <c r="Q369" s="1"/>
      <c r="T369" s="2"/>
      <c r="Z369" s="1"/>
      <c r="AC369" s="3"/>
    </row>
    <row r="370" ht="15.75" customHeight="1">
      <c r="E370" s="1"/>
      <c r="H370" s="1"/>
      <c r="K370" s="1"/>
      <c r="N370" s="1"/>
      <c r="Q370" s="1"/>
      <c r="T370" s="2"/>
      <c r="Z370" s="1"/>
      <c r="AC370" s="3"/>
    </row>
    <row r="371" ht="15.75" customHeight="1">
      <c r="E371" s="1"/>
      <c r="H371" s="1"/>
      <c r="K371" s="1"/>
      <c r="N371" s="1"/>
      <c r="Q371" s="1"/>
      <c r="T371" s="2"/>
      <c r="Z371" s="1"/>
      <c r="AC371" s="3"/>
    </row>
    <row r="372" ht="15.75" customHeight="1">
      <c r="E372" s="1"/>
      <c r="H372" s="1"/>
      <c r="K372" s="1"/>
      <c r="N372" s="1"/>
      <c r="Q372" s="1"/>
      <c r="T372" s="2"/>
      <c r="Z372" s="1"/>
      <c r="AC372" s="3"/>
    </row>
    <row r="373" ht="15.75" customHeight="1">
      <c r="E373" s="1"/>
      <c r="H373" s="1"/>
      <c r="K373" s="1"/>
      <c r="N373" s="1"/>
      <c r="Q373" s="1"/>
      <c r="T373" s="2"/>
      <c r="Z373" s="1"/>
      <c r="AC373" s="3"/>
    </row>
    <row r="374" ht="15.75" customHeight="1">
      <c r="E374" s="1"/>
      <c r="H374" s="1"/>
      <c r="K374" s="1"/>
      <c r="N374" s="1"/>
      <c r="Q374" s="1"/>
      <c r="T374" s="2"/>
      <c r="Z374" s="1"/>
      <c r="AC374" s="3"/>
    </row>
    <row r="375" ht="15.75" customHeight="1">
      <c r="E375" s="1"/>
      <c r="H375" s="1"/>
      <c r="K375" s="1"/>
      <c r="N375" s="1"/>
      <c r="Q375" s="1"/>
      <c r="T375" s="2"/>
      <c r="Z375" s="1"/>
      <c r="AC375" s="3"/>
    </row>
    <row r="376" ht="15.75" customHeight="1">
      <c r="E376" s="1"/>
      <c r="H376" s="1"/>
      <c r="K376" s="1"/>
      <c r="N376" s="1"/>
      <c r="Q376" s="1"/>
      <c r="T376" s="2"/>
      <c r="Z376" s="1"/>
      <c r="AC376" s="3"/>
    </row>
    <row r="377" ht="15.75" customHeight="1">
      <c r="E377" s="1"/>
      <c r="H377" s="1"/>
      <c r="K377" s="1"/>
      <c r="N377" s="1"/>
      <c r="Q377" s="1"/>
      <c r="T377" s="2"/>
      <c r="Z377" s="1"/>
      <c r="AC377" s="3"/>
    </row>
    <row r="378" ht="15.75" customHeight="1">
      <c r="E378" s="1"/>
      <c r="H378" s="1"/>
      <c r="K378" s="1"/>
      <c r="N378" s="1"/>
      <c r="Q378" s="1"/>
      <c r="T378" s="2"/>
      <c r="Z378" s="1"/>
      <c r="AC378" s="3"/>
    </row>
    <row r="379" ht="15.75" customHeight="1">
      <c r="E379" s="1"/>
      <c r="H379" s="1"/>
      <c r="K379" s="1"/>
      <c r="N379" s="1"/>
      <c r="Q379" s="1"/>
      <c r="T379" s="2"/>
      <c r="Z379" s="1"/>
      <c r="AC379" s="3"/>
    </row>
    <row r="380" ht="15.75" customHeight="1">
      <c r="E380" s="1"/>
      <c r="H380" s="1"/>
      <c r="K380" s="1"/>
      <c r="N380" s="1"/>
      <c r="Q380" s="1"/>
      <c r="T380" s="2"/>
      <c r="Z380" s="1"/>
      <c r="AC380" s="3"/>
    </row>
    <row r="381" ht="15.75" customHeight="1">
      <c r="E381" s="1"/>
      <c r="H381" s="1"/>
      <c r="K381" s="1"/>
      <c r="N381" s="1"/>
      <c r="Q381" s="1"/>
      <c r="T381" s="2"/>
      <c r="Z381" s="1"/>
      <c r="AC381" s="3"/>
    </row>
    <row r="382" ht="15.75" customHeight="1">
      <c r="E382" s="1"/>
      <c r="H382" s="1"/>
      <c r="K382" s="1"/>
      <c r="N382" s="1"/>
      <c r="Q382" s="1"/>
      <c r="T382" s="2"/>
      <c r="Z382" s="1"/>
      <c r="AC382" s="3"/>
    </row>
    <row r="383" ht="15.75" customHeight="1">
      <c r="E383" s="1"/>
      <c r="H383" s="1"/>
      <c r="K383" s="1"/>
      <c r="N383" s="1"/>
      <c r="Q383" s="1"/>
      <c r="T383" s="2"/>
      <c r="Z383" s="1"/>
      <c r="AC383" s="3"/>
    </row>
    <row r="384" ht="15.75" customHeight="1">
      <c r="E384" s="1"/>
      <c r="H384" s="1"/>
      <c r="K384" s="1"/>
      <c r="N384" s="1"/>
      <c r="Q384" s="1"/>
      <c r="T384" s="2"/>
      <c r="Z384" s="1"/>
      <c r="AC384" s="3"/>
    </row>
    <row r="385" ht="15.75" customHeight="1">
      <c r="E385" s="1"/>
      <c r="H385" s="1"/>
      <c r="K385" s="1"/>
      <c r="N385" s="1"/>
      <c r="Q385" s="1"/>
      <c r="T385" s="2"/>
      <c r="Z385" s="1"/>
      <c r="AC385" s="3"/>
    </row>
    <row r="386" ht="15.75" customHeight="1">
      <c r="E386" s="1"/>
      <c r="H386" s="1"/>
      <c r="K386" s="1"/>
      <c r="N386" s="1"/>
      <c r="Q386" s="1"/>
      <c r="T386" s="2"/>
      <c r="Z386" s="1"/>
      <c r="AC386" s="3"/>
    </row>
    <row r="387" ht="15.75" customHeight="1">
      <c r="E387" s="1"/>
      <c r="H387" s="1"/>
      <c r="K387" s="1"/>
      <c r="N387" s="1"/>
      <c r="Q387" s="1"/>
      <c r="T387" s="2"/>
      <c r="Z387" s="1"/>
      <c r="AC387" s="3"/>
    </row>
    <row r="388" ht="15.75" customHeight="1">
      <c r="E388" s="1"/>
      <c r="H388" s="1"/>
      <c r="K388" s="1"/>
      <c r="N388" s="1"/>
      <c r="Q388" s="1"/>
      <c r="T388" s="2"/>
      <c r="Z388" s="1"/>
      <c r="AC388" s="3"/>
    </row>
    <row r="389" ht="15.75" customHeight="1">
      <c r="E389" s="1"/>
      <c r="H389" s="1"/>
      <c r="K389" s="1"/>
      <c r="N389" s="1"/>
      <c r="Q389" s="1"/>
      <c r="T389" s="2"/>
      <c r="Z389" s="1"/>
      <c r="AC389" s="3"/>
    </row>
    <row r="390" ht="15.75" customHeight="1">
      <c r="E390" s="1"/>
      <c r="H390" s="1"/>
      <c r="K390" s="1"/>
      <c r="N390" s="1"/>
      <c r="Q390" s="1"/>
      <c r="T390" s="2"/>
      <c r="Z390" s="1"/>
      <c r="AC390" s="3"/>
    </row>
    <row r="391" ht="15.75" customHeight="1">
      <c r="E391" s="1"/>
      <c r="H391" s="1"/>
      <c r="K391" s="1"/>
      <c r="N391" s="1"/>
      <c r="Q391" s="1"/>
      <c r="T391" s="2"/>
      <c r="Z391" s="1"/>
      <c r="AC391" s="3"/>
    </row>
    <row r="392" ht="15.75" customHeight="1">
      <c r="E392" s="1"/>
      <c r="H392" s="1"/>
      <c r="K392" s="1"/>
      <c r="N392" s="1"/>
      <c r="Q392" s="1"/>
      <c r="T392" s="2"/>
      <c r="Z392" s="1"/>
      <c r="AC392" s="3"/>
    </row>
    <row r="393" ht="15.75" customHeight="1">
      <c r="E393" s="1"/>
      <c r="H393" s="1"/>
      <c r="K393" s="1"/>
      <c r="N393" s="1"/>
      <c r="Q393" s="1"/>
      <c r="T393" s="2"/>
      <c r="Z393" s="1"/>
      <c r="AC393" s="3"/>
    </row>
    <row r="394" ht="15.75" customHeight="1">
      <c r="E394" s="1"/>
      <c r="H394" s="1"/>
      <c r="K394" s="1"/>
      <c r="N394" s="1"/>
      <c r="Q394" s="1"/>
      <c r="T394" s="2"/>
      <c r="Z394" s="1"/>
      <c r="AC394" s="3"/>
    </row>
    <row r="395" ht="15.75" customHeight="1">
      <c r="E395" s="1"/>
      <c r="H395" s="1"/>
      <c r="K395" s="1"/>
      <c r="N395" s="1"/>
      <c r="Q395" s="1"/>
      <c r="T395" s="2"/>
      <c r="Z395" s="1"/>
      <c r="AC395" s="3"/>
    </row>
    <row r="396" ht="15.75" customHeight="1">
      <c r="E396" s="1"/>
      <c r="H396" s="1"/>
      <c r="K396" s="1"/>
      <c r="N396" s="1"/>
      <c r="Q396" s="1"/>
      <c r="T396" s="2"/>
      <c r="Z396" s="1"/>
      <c r="AC396" s="3"/>
    </row>
    <row r="397" ht="15.75" customHeight="1">
      <c r="E397" s="1"/>
      <c r="H397" s="1"/>
      <c r="K397" s="1"/>
      <c r="N397" s="1"/>
      <c r="Q397" s="1"/>
      <c r="T397" s="2"/>
      <c r="Z397" s="1"/>
      <c r="AC397" s="3"/>
    </row>
    <row r="398" ht="15.75" customHeight="1">
      <c r="E398" s="1"/>
      <c r="H398" s="1"/>
      <c r="K398" s="1"/>
      <c r="N398" s="1"/>
      <c r="Q398" s="1"/>
      <c r="T398" s="2"/>
      <c r="Z398" s="1"/>
      <c r="AC398" s="3"/>
    </row>
    <row r="399" ht="15.75" customHeight="1">
      <c r="E399" s="1"/>
      <c r="H399" s="1"/>
      <c r="K399" s="1"/>
      <c r="N399" s="1"/>
      <c r="Q399" s="1"/>
      <c r="T399" s="2"/>
      <c r="Z399" s="1"/>
      <c r="AC399" s="3"/>
    </row>
    <row r="400" ht="15.75" customHeight="1">
      <c r="E400" s="1"/>
      <c r="H400" s="1"/>
      <c r="K400" s="1"/>
      <c r="N400" s="1"/>
      <c r="Q400" s="1"/>
      <c r="T400" s="2"/>
      <c r="Z400" s="1"/>
      <c r="AC400" s="3"/>
    </row>
    <row r="401" ht="15.75" customHeight="1">
      <c r="E401" s="1"/>
      <c r="H401" s="1"/>
      <c r="K401" s="1"/>
      <c r="N401" s="1"/>
      <c r="Q401" s="1"/>
      <c r="T401" s="2"/>
      <c r="Z401" s="1"/>
      <c r="AC401" s="3"/>
    </row>
    <row r="402" ht="15.75" customHeight="1">
      <c r="E402" s="1"/>
      <c r="H402" s="1"/>
      <c r="K402" s="1"/>
      <c r="N402" s="1"/>
      <c r="Q402" s="1"/>
      <c r="T402" s="2"/>
      <c r="Z402" s="1"/>
      <c r="AC402" s="3"/>
    </row>
    <row r="403" ht="15.75" customHeight="1">
      <c r="E403" s="1"/>
      <c r="H403" s="1"/>
      <c r="K403" s="1"/>
      <c r="N403" s="1"/>
      <c r="Q403" s="1"/>
      <c r="T403" s="2"/>
      <c r="Z403" s="1"/>
      <c r="AC403" s="3"/>
    </row>
    <row r="404" ht="15.75" customHeight="1">
      <c r="E404" s="1"/>
      <c r="H404" s="1"/>
      <c r="K404" s="1"/>
      <c r="N404" s="1"/>
      <c r="Q404" s="1"/>
      <c r="T404" s="2"/>
      <c r="Z404" s="1"/>
      <c r="AC404" s="3"/>
    </row>
    <row r="405" ht="15.75" customHeight="1">
      <c r="E405" s="1"/>
      <c r="H405" s="1"/>
      <c r="K405" s="1"/>
      <c r="N405" s="1"/>
      <c r="Q405" s="1"/>
      <c r="T405" s="2"/>
      <c r="Z405" s="1"/>
      <c r="AC405" s="3"/>
    </row>
    <row r="406" ht="15.75" customHeight="1">
      <c r="E406" s="1"/>
      <c r="H406" s="1"/>
      <c r="K406" s="1"/>
      <c r="N406" s="1"/>
      <c r="Q406" s="1"/>
      <c r="T406" s="2"/>
      <c r="Z406" s="1"/>
      <c r="AC406" s="3"/>
    </row>
    <row r="407" ht="15.75" customHeight="1">
      <c r="E407" s="1"/>
      <c r="H407" s="1"/>
      <c r="K407" s="1"/>
      <c r="N407" s="1"/>
      <c r="Q407" s="1"/>
      <c r="T407" s="2"/>
      <c r="Z407" s="1"/>
      <c r="AC407" s="3"/>
    </row>
    <row r="408" ht="15.75" customHeight="1">
      <c r="E408" s="1"/>
      <c r="H408" s="1"/>
      <c r="K408" s="1"/>
      <c r="N408" s="1"/>
      <c r="Q408" s="1"/>
      <c r="T408" s="2"/>
      <c r="Z408" s="1"/>
      <c r="AC408" s="3"/>
    </row>
    <row r="409" ht="15.75" customHeight="1">
      <c r="E409" s="1"/>
      <c r="H409" s="1"/>
      <c r="K409" s="1"/>
      <c r="N409" s="1"/>
      <c r="Q409" s="1"/>
      <c r="T409" s="2"/>
      <c r="Z409" s="1"/>
      <c r="AC409" s="3"/>
    </row>
    <row r="410" ht="15.75" customHeight="1">
      <c r="E410" s="1"/>
      <c r="H410" s="1"/>
      <c r="K410" s="1"/>
      <c r="N410" s="1"/>
      <c r="Q410" s="1"/>
      <c r="T410" s="2"/>
      <c r="Z410" s="1"/>
      <c r="AC410" s="3"/>
    </row>
    <row r="411" ht="15.75" customHeight="1">
      <c r="E411" s="1"/>
      <c r="H411" s="1"/>
      <c r="K411" s="1"/>
      <c r="N411" s="1"/>
      <c r="Q411" s="1"/>
      <c r="T411" s="2"/>
      <c r="Z411" s="1"/>
      <c r="AC411" s="3"/>
    </row>
    <row r="412" ht="15.75" customHeight="1">
      <c r="E412" s="1"/>
      <c r="H412" s="1"/>
      <c r="K412" s="1"/>
      <c r="N412" s="1"/>
      <c r="Q412" s="1"/>
      <c r="T412" s="2"/>
      <c r="Z412" s="1"/>
      <c r="AC412" s="3"/>
    </row>
    <row r="413" ht="15.75" customHeight="1">
      <c r="E413" s="1"/>
      <c r="H413" s="1"/>
      <c r="K413" s="1"/>
      <c r="N413" s="1"/>
      <c r="Q413" s="1"/>
      <c r="T413" s="2"/>
      <c r="Z413" s="1"/>
      <c r="AC413" s="3"/>
    </row>
    <row r="414" ht="15.75" customHeight="1">
      <c r="E414" s="1"/>
      <c r="H414" s="1"/>
      <c r="K414" s="1"/>
      <c r="N414" s="1"/>
      <c r="Q414" s="1"/>
      <c r="T414" s="2"/>
      <c r="Z414" s="1"/>
      <c r="AC414" s="3"/>
    </row>
    <row r="415" ht="15.75" customHeight="1">
      <c r="E415" s="1"/>
      <c r="H415" s="1"/>
      <c r="K415" s="1"/>
      <c r="N415" s="1"/>
      <c r="Q415" s="1"/>
      <c r="T415" s="2"/>
      <c r="Z415" s="1"/>
      <c r="AC415" s="3"/>
    </row>
    <row r="416" ht="15.75" customHeight="1">
      <c r="E416" s="1"/>
      <c r="H416" s="1"/>
      <c r="K416" s="1"/>
      <c r="N416" s="1"/>
      <c r="Q416" s="1"/>
      <c r="T416" s="2"/>
      <c r="Z416" s="1"/>
      <c r="AC416" s="3"/>
    </row>
    <row r="417" ht="15.75" customHeight="1">
      <c r="E417" s="1"/>
      <c r="H417" s="1"/>
      <c r="K417" s="1"/>
      <c r="N417" s="1"/>
      <c r="Q417" s="1"/>
      <c r="T417" s="2"/>
      <c r="Z417" s="1"/>
      <c r="AC417" s="3"/>
    </row>
    <row r="418" ht="15.75" customHeight="1">
      <c r="E418" s="1"/>
      <c r="H418" s="1"/>
      <c r="K418" s="1"/>
      <c r="N418" s="1"/>
      <c r="Q418" s="1"/>
      <c r="T418" s="2"/>
      <c r="Z418" s="1"/>
      <c r="AC418" s="3"/>
    </row>
    <row r="419" ht="15.75" customHeight="1">
      <c r="E419" s="1"/>
      <c r="H419" s="1"/>
      <c r="K419" s="1"/>
      <c r="N419" s="1"/>
      <c r="Q419" s="1"/>
      <c r="T419" s="2"/>
      <c r="Z419" s="1"/>
      <c r="AC419" s="3"/>
    </row>
    <row r="420" ht="15.75" customHeight="1">
      <c r="E420" s="1"/>
      <c r="H420" s="1"/>
      <c r="K420" s="1"/>
      <c r="N420" s="1"/>
      <c r="Q420" s="1"/>
      <c r="T420" s="2"/>
      <c r="Z420" s="1"/>
      <c r="AC420" s="3"/>
    </row>
    <row r="421" ht="15.75" customHeight="1">
      <c r="E421" s="1"/>
      <c r="H421" s="1"/>
      <c r="K421" s="1"/>
      <c r="N421" s="1"/>
      <c r="Q421" s="1"/>
      <c r="T421" s="2"/>
      <c r="Z421" s="1"/>
      <c r="AC421" s="3"/>
    </row>
    <row r="422" ht="15.75" customHeight="1">
      <c r="E422" s="1"/>
      <c r="H422" s="1"/>
      <c r="K422" s="1"/>
      <c r="N422" s="1"/>
      <c r="Q422" s="1"/>
      <c r="T422" s="2"/>
      <c r="Z422" s="1"/>
      <c r="AC422" s="3"/>
    </row>
    <row r="423" ht="15.75" customHeight="1">
      <c r="E423" s="1"/>
      <c r="H423" s="1"/>
      <c r="K423" s="1"/>
      <c r="N423" s="1"/>
      <c r="Q423" s="1"/>
      <c r="T423" s="2"/>
      <c r="Z423" s="1"/>
      <c r="AC423" s="3"/>
    </row>
    <row r="424" ht="15.75" customHeight="1">
      <c r="E424" s="1"/>
      <c r="H424" s="1"/>
      <c r="K424" s="1"/>
      <c r="N424" s="1"/>
      <c r="Q424" s="1"/>
      <c r="T424" s="2"/>
      <c r="Z424" s="1"/>
      <c r="AC424" s="3"/>
    </row>
    <row r="425" ht="15.75" customHeight="1">
      <c r="E425" s="1"/>
      <c r="H425" s="1"/>
      <c r="K425" s="1"/>
      <c r="N425" s="1"/>
      <c r="Q425" s="1"/>
      <c r="T425" s="2"/>
      <c r="Z425" s="1"/>
      <c r="AC425" s="3"/>
    </row>
    <row r="426" ht="15.75" customHeight="1">
      <c r="E426" s="1"/>
      <c r="H426" s="1"/>
      <c r="K426" s="1"/>
      <c r="N426" s="1"/>
      <c r="Q426" s="1"/>
      <c r="T426" s="2"/>
      <c r="Z426" s="1"/>
      <c r="AC426" s="3"/>
    </row>
    <row r="427" ht="15.75" customHeight="1">
      <c r="E427" s="1"/>
      <c r="H427" s="1"/>
      <c r="K427" s="1"/>
      <c r="N427" s="1"/>
      <c r="Q427" s="1"/>
      <c r="T427" s="2"/>
      <c r="Z427" s="1"/>
      <c r="AC427" s="3"/>
    </row>
    <row r="428" ht="15.75" customHeight="1">
      <c r="E428" s="1"/>
      <c r="H428" s="1"/>
      <c r="K428" s="1"/>
      <c r="N428" s="1"/>
      <c r="Q428" s="1"/>
      <c r="T428" s="2"/>
      <c r="Z428" s="1"/>
      <c r="AC428" s="3"/>
    </row>
    <row r="429" ht="15.75" customHeight="1">
      <c r="E429" s="1"/>
      <c r="H429" s="1"/>
      <c r="K429" s="1"/>
      <c r="N429" s="1"/>
      <c r="Q429" s="1"/>
      <c r="T429" s="2"/>
      <c r="Z429" s="1"/>
      <c r="AC429" s="3"/>
    </row>
    <row r="430" ht="15.75" customHeight="1">
      <c r="E430" s="1"/>
      <c r="H430" s="1"/>
      <c r="K430" s="1"/>
      <c r="N430" s="1"/>
      <c r="Q430" s="1"/>
      <c r="T430" s="2"/>
      <c r="Z430" s="1"/>
      <c r="AC430" s="3"/>
    </row>
    <row r="431" ht="15.75" customHeight="1">
      <c r="E431" s="1"/>
      <c r="H431" s="1"/>
      <c r="K431" s="1"/>
      <c r="N431" s="1"/>
      <c r="Q431" s="1"/>
      <c r="T431" s="2"/>
      <c r="Z431" s="1"/>
      <c r="AC431" s="3"/>
    </row>
    <row r="432" ht="15.75" customHeight="1">
      <c r="E432" s="1"/>
      <c r="H432" s="1"/>
      <c r="K432" s="1"/>
      <c r="N432" s="1"/>
      <c r="Q432" s="1"/>
      <c r="T432" s="2"/>
      <c r="Z432" s="1"/>
      <c r="AC432" s="3"/>
    </row>
    <row r="433" ht="15.75" customHeight="1">
      <c r="E433" s="1"/>
      <c r="H433" s="1"/>
      <c r="K433" s="1"/>
      <c r="N433" s="1"/>
      <c r="Q433" s="1"/>
      <c r="T433" s="2"/>
      <c r="Z433" s="1"/>
      <c r="AC433" s="3"/>
    </row>
    <row r="434" ht="15.75" customHeight="1">
      <c r="E434" s="1"/>
      <c r="H434" s="1"/>
      <c r="K434" s="1"/>
      <c r="N434" s="1"/>
      <c r="Q434" s="1"/>
      <c r="T434" s="2"/>
      <c r="Z434" s="1"/>
      <c r="AC434" s="3"/>
    </row>
    <row r="435" ht="15.75" customHeight="1">
      <c r="E435" s="1"/>
      <c r="H435" s="1"/>
      <c r="K435" s="1"/>
      <c r="N435" s="1"/>
      <c r="Q435" s="1"/>
      <c r="T435" s="2"/>
      <c r="Z435" s="1"/>
      <c r="AC435" s="3"/>
    </row>
    <row r="436" ht="15.75" customHeight="1">
      <c r="E436" s="1"/>
      <c r="H436" s="1"/>
      <c r="K436" s="1"/>
      <c r="N436" s="1"/>
      <c r="Q436" s="1"/>
      <c r="T436" s="2"/>
      <c r="Z436" s="1"/>
      <c r="AC436" s="3"/>
    </row>
    <row r="437" ht="15.75" customHeight="1">
      <c r="E437" s="1"/>
      <c r="H437" s="1"/>
      <c r="K437" s="1"/>
      <c r="N437" s="1"/>
      <c r="Q437" s="1"/>
      <c r="T437" s="2"/>
      <c r="Z437" s="1"/>
      <c r="AC437" s="3"/>
    </row>
    <row r="438" ht="15.75" customHeight="1">
      <c r="E438" s="1"/>
      <c r="H438" s="1"/>
      <c r="K438" s="1"/>
      <c r="N438" s="1"/>
      <c r="Q438" s="1"/>
      <c r="T438" s="2"/>
      <c r="Z438" s="1"/>
      <c r="AC438" s="3"/>
    </row>
    <row r="439" ht="15.75" customHeight="1">
      <c r="E439" s="1"/>
      <c r="H439" s="1"/>
      <c r="K439" s="1"/>
      <c r="N439" s="1"/>
      <c r="Q439" s="1"/>
      <c r="T439" s="2"/>
      <c r="Z439" s="1"/>
      <c r="AC439" s="3"/>
    </row>
    <row r="440" ht="15.75" customHeight="1">
      <c r="E440" s="1"/>
      <c r="H440" s="1"/>
      <c r="K440" s="1"/>
      <c r="N440" s="1"/>
      <c r="Q440" s="1"/>
      <c r="T440" s="2"/>
      <c r="Z440" s="1"/>
      <c r="AC440" s="3"/>
    </row>
    <row r="441" ht="15.75" customHeight="1">
      <c r="E441" s="1"/>
      <c r="H441" s="1"/>
      <c r="K441" s="1"/>
      <c r="N441" s="1"/>
      <c r="Q441" s="1"/>
      <c r="T441" s="2"/>
      <c r="Z441" s="1"/>
      <c r="AC441" s="3"/>
    </row>
    <row r="442" ht="15.75" customHeight="1">
      <c r="E442" s="1"/>
      <c r="H442" s="1"/>
      <c r="K442" s="1"/>
      <c r="N442" s="1"/>
      <c r="Q442" s="1"/>
      <c r="T442" s="2"/>
      <c r="Z442" s="1"/>
      <c r="AC442" s="3"/>
    </row>
    <row r="443" ht="15.75" customHeight="1">
      <c r="E443" s="1"/>
      <c r="H443" s="1"/>
      <c r="K443" s="1"/>
      <c r="N443" s="1"/>
      <c r="Q443" s="1"/>
      <c r="T443" s="2"/>
      <c r="Z443" s="1"/>
      <c r="AC443" s="3"/>
    </row>
    <row r="444" ht="15.75" customHeight="1">
      <c r="E444" s="1"/>
      <c r="H444" s="1"/>
      <c r="K444" s="1"/>
      <c r="N444" s="1"/>
      <c r="Q444" s="1"/>
      <c r="T444" s="2"/>
      <c r="Z444" s="1"/>
      <c r="AC444" s="3"/>
    </row>
    <row r="445" ht="15.75" customHeight="1">
      <c r="E445" s="1"/>
      <c r="H445" s="1"/>
      <c r="K445" s="1"/>
      <c r="N445" s="1"/>
      <c r="Q445" s="1"/>
      <c r="T445" s="2"/>
      <c r="Z445" s="1"/>
      <c r="AC445" s="3"/>
    </row>
    <row r="446" ht="15.75" customHeight="1">
      <c r="E446" s="1"/>
      <c r="H446" s="1"/>
      <c r="K446" s="1"/>
      <c r="N446" s="1"/>
      <c r="Q446" s="1"/>
      <c r="T446" s="2"/>
      <c r="Z446" s="1"/>
      <c r="AC446" s="3"/>
    </row>
    <row r="447" ht="15.75" customHeight="1">
      <c r="E447" s="1"/>
      <c r="H447" s="1"/>
      <c r="K447" s="1"/>
      <c r="N447" s="1"/>
      <c r="Q447" s="1"/>
      <c r="T447" s="2"/>
      <c r="Z447" s="1"/>
      <c r="AC447" s="3"/>
    </row>
    <row r="448" ht="15.75" customHeight="1">
      <c r="E448" s="1"/>
      <c r="H448" s="1"/>
      <c r="K448" s="1"/>
      <c r="N448" s="1"/>
      <c r="Q448" s="1"/>
      <c r="T448" s="2"/>
      <c r="Z448" s="1"/>
      <c r="AC448" s="3"/>
    </row>
    <row r="449" ht="15.75" customHeight="1">
      <c r="E449" s="1"/>
      <c r="H449" s="1"/>
      <c r="K449" s="1"/>
      <c r="N449" s="1"/>
      <c r="Q449" s="1"/>
      <c r="T449" s="2"/>
      <c r="Z449" s="1"/>
      <c r="AC449" s="3"/>
    </row>
    <row r="450" ht="15.75" customHeight="1">
      <c r="E450" s="1"/>
      <c r="H450" s="1"/>
      <c r="K450" s="1"/>
      <c r="N450" s="1"/>
      <c r="Q450" s="1"/>
      <c r="T450" s="2"/>
      <c r="Z450" s="1"/>
      <c r="AC450" s="3"/>
    </row>
    <row r="451" ht="15.75" customHeight="1">
      <c r="E451" s="1"/>
      <c r="H451" s="1"/>
      <c r="K451" s="1"/>
      <c r="N451" s="1"/>
      <c r="Q451" s="1"/>
      <c r="T451" s="2"/>
      <c r="Z451" s="1"/>
      <c r="AC451" s="3"/>
    </row>
    <row r="452" ht="15.75" customHeight="1">
      <c r="E452" s="1"/>
      <c r="H452" s="1"/>
      <c r="K452" s="1"/>
      <c r="N452" s="1"/>
      <c r="Q452" s="1"/>
      <c r="T452" s="2"/>
      <c r="Z452" s="1"/>
      <c r="AC452" s="3"/>
    </row>
    <row r="453" ht="15.75" customHeight="1">
      <c r="E453" s="1"/>
      <c r="H453" s="1"/>
      <c r="K453" s="1"/>
      <c r="N453" s="1"/>
      <c r="Q453" s="1"/>
      <c r="T453" s="2"/>
      <c r="Z453" s="1"/>
      <c r="AC453" s="3"/>
    </row>
    <row r="454" ht="15.75" customHeight="1">
      <c r="E454" s="1"/>
      <c r="H454" s="1"/>
      <c r="K454" s="1"/>
      <c r="N454" s="1"/>
      <c r="Q454" s="1"/>
      <c r="T454" s="2"/>
      <c r="Z454" s="1"/>
      <c r="AC454" s="3"/>
    </row>
    <row r="455" ht="15.75" customHeight="1">
      <c r="E455" s="1"/>
      <c r="H455" s="1"/>
      <c r="K455" s="1"/>
      <c r="N455" s="1"/>
      <c r="Q455" s="1"/>
      <c r="T455" s="2"/>
      <c r="Z455" s="1"/>
      <c r="AC455" s="3"/>
    </row>
    <row r="456" ht="15.75" customHeight="1">
      <c r="E456" s="1"/>
      <c r="H456" s="1"/>
      <c r="K456" s="1"/>
      <c r="N456" s="1"/>
      <c r="Q456" s="1"/>
      <c r="T456" s="2"/>
      <c r="Z456" s="1"/>
      <c r="AC456" s="3"/>
    </row>
    <row r="457" ht="15.75" customHeight="1">
      <c r="E457" s="1"/>
      <c r="H457" s="1"/>
      <c r="K457" s="1"/>
      <c r="N457" s="1"/>
      <c r="Q457" s="1"/>
      <c r="T457" s="2"/>
      <c r="Z457" s="1"/>
      <c r="AC457" s="3"/>
    </row>
    <row r="458" ht="15.75" customHeight="1">
      <c r="E458" s="1"/>
      <c r="H458" s="1"/>
      <c r="K458" s="1"/>
      <c r="N458" s="1"/>
      <c r="Q458" s="1"/>
      <c r="T458" s="2"/>
      <c r="Z458" s="1"/>
      <c r="AC458" s="3"/>
    </row>
    <row r="459" ht="15.75" customHeight="1">
      <c r="E459" s="1"/>
      <c r="H459" s="1"/>
      <c r="K459" s="1"/>
      <c r="N459" s="1"/>
      <c r="Q459" s="1"/>
      <c r="T459" s="2"/>
      <c r="Z459" s="1"/>
      <c r="AC459" s="3"/>
    </row>
    <row r="460" ht="15.75" customHeight="1">
      <c r="E460" s="1"/>
      <c r="H460" s="1"/>
      <c r="K460" s="1"/>
      <c r="N460" s="1"/>
      <c r="Q460" s="1"/>
      <c r="T460" s="2"/>
      <c r="Z460" s="1"/>
      <c r="AC460" s="3"/>
    </row>
    <row r="461" ht="15.75" customHeight="1">
      <c r="E461" s="1"/>
      <c r="H461" s="1"/>
      <c r="K461" s="1"/>
      <c r="N461" s="1"/>
      <c r="Q461" s="1"/>
      <c r="T461" s="2"/>
      <c r="Z461" s="1"/>
      <c r="AC461" s="3"/>
    </row>
    <row r="462" ht="15.75" customHeight="1">
      <c r="E462" s="1"/>
      <c r="H462" s="1"/>
      <c r="K462" s="1"/>
      <c r="N462" s="1"/>
      <c r="Q462" s="1"/>
      <c r="T462" s="2"/>
      <c r="Z462" s="1"/>
      <c r="AC462" s="3"/>
    </row>
    <row r="463" ht="15.75" customHeight="1">
      <c r="E463" s="1"/>
      <c r="H463" s="1"/>
      <c r="K463" s="1"/>
      <c r="N463" s="1"/>
      <c r="Q463" s="1"/>
      <c r="T463" s="2"/>
      <c r="Z463" s="1"/>
      <c r="AC463" s="3"/>
    </row>
    <row r="464" ht="15.75" customHeight="1">
      <c r="E464" s="1"/>
      <c r="H464" s="1"/>
      <c r="K464" s="1"/>
      <c r="N464" s="1"/>
      <c r="Q464" s="1"/>
      <c r="T464" s="2"/>
      <c r="Z464" s="1"/>
      <c r="AC464" s="3"/>
    </row>
    <row r="465" ht="15.75" customHeight="1">
      <c r="E465" s="1"/>
      <c r="H465" s="1"/>
      <c r="K465" s="1"/>
      <c r="N465" s="1"/>
      <c r="Q465" s="1"/>
      <c r="T465" s="2"/>
      <c r="Z465" s="1"/>
      <c r="AC465" s="3"/>
    </row>
    <row r="466" ht="15.75" customHeight="1">
      <c r="E466" s="1"/>
      <c r="H466" s="1"/>
      <c r="K466" s="1"/>
      <c r="N466" s="1"/>
      <c r="Q466" s="1"/>
      <c r="T466" s="2"/>
      <c r="Z466" s="1"/>
      <c r="AC466" s="3"/>
    </row>
    <row r="467" ht="15.75" customHeight="1">
      <c r="E467" s="1"/>
      <c r="H467" s="1"/>
      <c r="K467" s="1"/>
      <c r="N467" s="1"/>
      <c r="Q467" s="1"/>
      <c r="T467" s="2"/>
      <c r="Z467" s="1"/>
      <c r="AC467" s="3"/>
    </row>
    <row r="468" ht="15.75" customHeight="1">
      <c r="E468" s="1"/>
      <c r="H468" s="1"/>
      <c r="K468" s="1"/>
      <c r="N468" s="1"/>
      <c r="Q468" s="1"/>
      <c r="T468" s="2"/>
      <c r="Z468" s="1"/>
      <c r="AC468" s="3"/>
    </row>
    <row r="469" ht="15.75" customHeight="1">
      <c r="E469" s="1"/>
      <c r="H469" s="1"/>
      <c r="K469" s="1"/>
      <c r="N469" s="1"/>
      <c r="Q469" s="1"/>
      <c r="T469" s="2"/>
      <c r="Z469" s="1"/>
      <c r="AC469" s="3"/>
    </row>
    <row r="470" ht="15.75" customHeight="1">
      <c r="E470" s="1"/>
      <c r="H470" s="1"/>
      <c r="K470" s="1"/>
      <c r="N470" s="1"/>
      <c r="Q470" s="1"/>
      <c r="T470" s="2"/>
      <c r="Z470" s="1"/>
      <c r="AC470" s="3"/>
    </row>
    <row r="471" ht="15.75" customHeight="1">
      <c r="E471" s="1"/>
      <c r="H471" s="1"/>
      <c r="K471" s="1"/>
      <c r="N471" s="1"/>
      <c r="Q471" s="1"/>
      <c r="T471" s="2"/>
      <c r="Z471" s="1"/>
      <c r="AC471" s="3"/>
    </row>
    <row r="472" ht="15.75" customHeight="1">
      <c r="E472" s="1"/>
      <c r="H472" s="1"/>
      <c r="K472" s="1"/>
      <c r="N472" s="1"/>
      <c r="Q472" s="1"/>
      <c r="T472" s="2"/>
      <c r="Z472" s="1"/>
      <c r="AC472" s="3"/>
    </row>
    <row r="473" ht="15.75" customHeight="1">
      <c r="E473" s="1"/>
      <c r="H473" s="1"/>
      <c r="K473" s="1"/>
      <c r="N473" s="1"/>
      <c r="Q473" s="1"/>
      <c r="T473" s="2"/>
      <c r="Z473" s="1"/>
      <c r="AC473" s="3"/>
    </row>
    <row r="474" ht="15.75" customHeight="1">
      <c r="E474" s="1"/>
      <c r="H474" s="1"/>
      <c r="K474" s="1"/>
      <c r="N474" s="1"/>
      <c r="Q474" s="1"/>
      <c r="T474" s="2"/>
      <c r="Z474" s="1"/>
      <c r="AC474" s="3"/>
    </row>
    <row r="475" ht="15.75" customHeight="1">
      <c r="E475" s="1"/>
      <c r="H475" s="1"/>
      <c r="K475" s="1"/>
      <c r="N475" s="1"/>
      <c r="Q475" s="1"/>
      <c r="T475" s="2"/>
      <c r="Z475" s="1"/>
      <c r="AC475" s="3"/>
    </row>
    <row r="476" ht="15.75" customHeight="1">
      <c r="E476" s="1"/>
      <c r="H476" s="1"/>
      <c r="K476" s="1"/>
      <c r="N476" s="1"/>
      <c r="Q476" s="1"/>
      <c r="T476" s="2"/>
      <c r="Z476" s="1"/>
      <c r="AC476" s="3"/>
    </row>
    <row r="477" ht="15.75" customHeight="1">
      <c r="E477" s="1"/>
      <c r="H477" s="1"/>
      <c r="K477" s="1"/>
      <c r="N477" s="1"/>
      <c r="Q477" s="1"/>
      <c r="T477" s="2"/>
      <c r="Z477" s="1"/>
      <c r="AC477" s="3"/>
    </row>
    <row r="478" ht="15.75" customHeight="1">
      <c r="E478" s="1"/>
      <c r="H478" s="1"/>
      <c r="K478" s="1"/>
      <c r="N478" s="1"/>
      <c r="Q478" s="1"/>
      <c r="T478" s="2"/>
      <c r="Z478" s="1"/>
      <c r="AC478" s="3"/>
    </row>
    <row r="479" ht="15.75" customHeight="1">
      <c r="E479" s="1"/>
      <c r="H479" s="1"/>
      <c r="K479" s="1"/>
      <c r="N479" s="1"/>
      <c r="Q479" s="1"/>
      <c r="T479" s="2"/>
      <c r="Z479" s="1"/>
      <c r="AC479" s="3"/>
    </row>
    <row r="480" ht="15.75" customHeight="1">
      <c r="E480" s="1"/>
      <c r="H480" s="1"/>
      <c r="K480" s="1"/>
      <c r="N480" s="1"/>
      <c r="Q480" s="1"/>
      <c r="T480" s="2"/>
      <c r="Z480" s="1"/>
      <c r="AC480" s="3"/>
    </row>
    <row r="481" ht="15.75" customHeight="1">
      <c r="E481" s="1"/>
      <c r="H481" s="1"/>
      <c r="K481" s="1"/>
      <c r="N481" s="1"/>
      <c r="Q481" s="1"/>
      <c r="T481" s="2"/>
      <c r="Z481" s="1"/>
      <c r="AC481" s="3"/>
    </row>
    <row r="482" ht="15.75" customHeight="1">
      <c r="E482" s="1"/>
      <c r="H482" s="1"/>
      <c r="K482" s="1"/>
      <c r="N482" s="1"/>
      <c r="Q482" s="1"/>
      <c r="T482" s="2"/>
      <c r="Z482" s="1"/>
      <c r="AC482" s="3"/>
    </row>
    <row r="483" ht="15.75" customHeight="1">
      <c r="E483" s="1"/>
      <c r="H483" s="1"/>
      <c r="K483" s="1"/>
      <c r="N483" s="1"/>
      <c r="Q483" s="1"/>
      <c r="T483" s="2"/>
      <c r="Z483" s="1"/>
      <c r="AC483" s="3"/>
    </row>
    <row r="484" ht="15.75" customHeight="1">
      <c r="E484" s="1"/>
      <c r="H484" s="1"/>
      <c r="K484" s="1"/>
      <c r="N484" s="1"/>
      <c r="Q484" s="1"/>
      <c r="T484" s="2"/>
      <c r="Z484" s="1"/>
      <c r="AC484" s="3"/>
    </row>
    <row r="485" ht="15.75" customHeight="1">
      <c r="E485" s="1"/>
      <c r="H485" s="1"/>
      <c r="K485" s="1"/>
      <c r="N485" s="1"/>
      <c r="Q485" s="1"/>
      <c r="T485" s="2"/>
      <c r="Z485" s="1"/>
      <c r="AC485" s="3"/>
    </row>
    <row r="486" ht="15.75" customHeight="1">
      <c r="E486" s="1"/>
      <c r="H486" s="1"/>
      <c r="K486" s="1"/>
      <c r="N486" s="1"/>
      <c r="Q486" s="1"/>
      <c r="T486" s="2"/>
      <c r="Z486" s="1"/>
      <c r="AC486" s="3"/>
    </row>
    <row r="487" ht="15.75" customHeight="1">
      <c r="E487" s="1"/>
      <c r="H487" s="1"/>
      <c r="K487" s="1"/>
      <c r="N487" s="1"/>
      <c r="Q487" s="1"/>
      <c r="T487" s="2"/>
      <c r="Z487" s="1"/>
      <c r="AC487" s="3"/>
    </row>
    <row r="488" ht="15.75" customHeight="1">
      <c r="E488" s="1"/>
      <c r="H488" s="1"/>
      <c r="K488" s="1"/>
      <c r="N488" s="1"/>
      <c r="Q488" s="1"/>
      <c r="T488" s="2"/>
      <c r="Z488" s="1"/>
      <c r="AC488" s="3"/>
    </row>
    <row r="489" ht="15.75" customHeight="1">
      <c r="E489" s="1"/>
      <c r="H489" s="1"/>
      <c r="K489" s="1"/>
      <c r="N489" s="1"/>
      <c r="Q489" s="1"/>
      <c r="T489" s="2"/>
      <c r="Z489" s="1"/>
      <c r="AC489" s="3"/>
    </row>
    <row r="490" ht="15.75" customHeight="1">
      <c r="E490" s="1"/>
      <c r="H490" s="1"/>
      <c r="K490" s="1"/>
      <c r="N490" s="1"/>
      <c r="Q490" s="1"/>
      <c r="T490" s="2"/>
      <c r="Z490" s="1"/>
      <c r="AC490" s="3"/>
    </row>
    <row r="491" ht="15.75" customHeight="1">
      <c r="E491" s="1"/>
      <c r="H491" s="1"/>
      <c r="K491" s="1"/>
      <c r="N491" s="1"/>
      <c r="Q491" s="1"/>
      <c r="T491" s="2"/>
      <c r="Z491" s="1"/>
      <c r="AC491" s="3"/>
    </row>
    <row r="492" ht="15.75" customHeight="1">
      <c r="E492" s="1"/>
      <c r="H492" s="1"/>
      <c r="K492" s="1"/>
      <c r="N492" s="1"/>
      <c r="Q492" s="1"/>
      <c r="T492" s="2"/>
      <c r="Z492" s="1"/>
      <c r="AC492" s="3"/>
    </row>
    <row r="493" ht="15.75" customHeight="1">
      <c r="E493" s="1"/>
      <c r="H493" s="1"/>
      <c r="K493" s="1"/>
      <c r="N493" s="1"/>
      <c r="Q493" s="1"/>
      <c r="T493" s="2"/>
      <c r="Z493" s="1"/>
      <c r="AC493" s="3"/>
    </row>
    <row r="494" ht="15.75" customHeight="1">
      <c r="E494" s="1"/>
      <c r="H494" s="1"/>
      <c r="K494" s="1"/>
      <c r="N494" s="1"/>
      <c r="Q494" s="1"/>
      <c r="T494" s="2"/>
      <c r="Z494" s="1"/>
      <c r="AC494" s="3"/>
    </row>
    <row r="495" ht="15.75" customHeight="1">
      <c r="E495" s="1"/>
      <c r="H495" s="1"/>
      <c r="K495" s="1"/>
      <c r="N495" s="1"/>
      <c r="Q495" s="1"/>
      <c r="T495" s="2"/>
      <c r="Z495" s="1"/>
      <c r="AC495" s="3"/>
    </row>
    <row r="496" ht="15.75" customHeight="1">
      <c r="E496" s="1"/>
      <c r="H496" s="1"/>
      <c r="K496" s="1"/>
      <c r="N496" s="1"/>
      <c r="Q496" s="1"/>
      <c r="T496" s="2"/>
      <c r="Z496" s="1"/>
      <c r="AC496" s="3"/>
    </row>
    <row r="497" ht="15.75" customHeight="1">
      <c r="E497" s="1"/>
      <c r="H497" s="1"/>
      <c r="K497" s="1"/>
      <c r="N497" s="1"/>
      <c r="Q497" s="1"/>
      <c r="T497" s="2"/>
      <c r="Z497" s="1"/>
      <c r="AC497" s="3"/>
    </row>
    <row r="498" ht="15.75" customHeight="1">
      <c r="E498" s="1"/>
      <c r="H498" s="1"/>
      <c r="K498" s="1"/>
      <c r="N498" s="1"/>
      <c r="Q498" s="1"/>
      <c r="T498" s="2"/>
      <c r="Z498" s="1"/>
      <c r="AC498" s="3"/>
    </row>
    <row r="499" ht="15.75" customHeight="1">
      <c r="E499" s="1"/>
      <c r="H499" s="1"/>
      <c r="K499" s="1"/>
      <c r="N499" s="1"/>
      <c r="Q499" s="1"/>
      <c r="T499" s="2"/>
      <c r="Z499" s="1"/>
      <c r="AC499" s="3"/>
    </row>
    <row r="500" ht="15.75" customHeight="1">
      <c r="E500" s="1"/>
      <c r="H500" s="1"/>
      <c r="K500" s="1"/>
      <c r="N500" s="1"/>
      <c r="Q500" s="1"/>
      <c r="T500" s="2"/>
      <c r="Z500" s="1"/>
      <c r="AC500" s="3"/>
    </row>
    <row r="501" ht="15.75" customHeight="1">
      <c r="E501" s="1"/>
      <c r="H501" s="1"/>
      <c r="K501" s="1"/>
      <c r="N501" s="1"/>
      <c r="Q501" s="1"/>
      <c r="T501" s="2"/>
      <c r="Z501" s="1"/>
      <c r="AC501" s="3"/>
    </row>
    <row r="502" ht="15.75" customHeight="1">
      <c r="E502" s="1"/>
      <c r="H502" s="1"/>
      <c r="K502" s="1"/>
      <c r="N502" s="1"/>
      <c r="Q502" s="1"/>
      <c r="T502" s="2"/>
      <c r="Z502" s="1"/>
      <c r="AC502" s="3"/>
    </row>
    <row r="503" ht="15.75" customHeight="1">
      <c r="E503" s="1"/>
      <c r="H503" s="1"/>
      <c r="K503" s="1"/>
      <c r="N503" s="1"/>
      <c r="Q503" s="1"/>
      <c r="T503" s="2"/>
      <c r="Z503" s="1"/>
      <c r="AC503" s="3"/>
    </row>
    <row r="504" ht="15.75" customHeight="1">
      <c r="E504" s="1"/>
      <c r="H504" s="1"/>
      <c r="K504" s="1"/>
      <c r="N504" s="1"/>
      <c r="Q504" s="1"/>
      <c r="T504" s="2"/>
      <c r="Z504" s="1"/>
      <c r="AC504" s="3"/>
    </row>
    <row r="505" ht="15.75" customHeight="1">
      <c r="E505" s="1"/>
      <c r="H505" s="1"/>
      <c r="K505" s="1"/>
      <c r="N505" s="1"/>
      <c r="Q505" s="1"/>
      <c r="T505" s="2"/>
      <c r="Z505" s="1"/>
      <c r="AC505" s="3"/>
    </row>
    <row r="506" ht="15.75" customHeight="1">
      <c r="E506" s="1"/>
      <c r="H506" s="1"/>
      <c r="K506" s="1"/>
      <c r="N506" s="1"/>
      <c r="Q506" s="1"/>
      <c r="T506" s="2"/>
      <c r="Z506" s="1"/>
      <c r="AC506" s="3"/>
    </row>
    <row r="507" ht="15.75" customHeight="1">
      <c r="E507" s="1"/>
      <c r="H507" s="1"/>
      <c r="K507" s="1"/>
      <c r="N507" s="1"/>
      <c r="Q507" s="1"/>
      <c r="T507" s="2"/>
      <c r="Z507" s="1"/>
      <c r="AC507" s="3"/>
    </row>
    <row r="508" ht="15.75" customHeight="1">
      <c r="E508" s="1"/>
      <c r="H508" s="1"/>
      <c r="K508" s="1"/>
      <c r="N508" s="1"/>
      <c r="Q508" s="1"/>
      <c r="T508" s="2"/>
      <c r="Z508" s="1"/>
      <c r="AC508" s="3"/>
    </row>
    <row r="509" ht="15.75" customHeight="1">
      <c r="E509" s="1"/>
      <c r="H509" s="1"/>
      <c r="K509" s="1"/>
      <c r="N509" s="1"/>
      <c r="Q509" s="1"/>
      <c r="T509" s="2"/>
      <c r="Z509" s="1"/>
      <c r="AC509" s="3"/>
    </row>
    <row r="510" ht="15.75" customHeight="1">
      <c r="E510" s="1"/>
      <c r="H510" s="1"/>
      <c r="K510" s="1"/>
      <c r="N510" s="1"/>
      <c r="Q510" s="1"/>
      <c r="T510" s="2"/>
      <c r="Z510" s="1"/>
      <c r="AC510" s="3"/>
    </row>
    <row r="511" ht="15.75" customHeight="1">
      <c r="E511" s="1"/>
      <c r="H511" s="1"/>
      <c r="K511" s="1"/>
      <c r="N511" s="1"/>
      <c r="Q511" s="1"/>
      <c r="T511" s="2"/>
      <c r="Z511" s="1"/>
      <c r="AC511" s="3"/>
    </row>
    <row r="512" ht="15.75" customHeight="1">
      <c r="E512" s="1"/>
      <c r="H512" s="1"/>
      <c r="K512" s="1"/>
      <c r="N512" s="1"/>
      <c r="Q512" s="1"/>
      <c r="T512" s="2"/>
      <c r="Z512" s="1"/>
      <c r="AC512" s="3"/>
    </row>
    <row r="513" ht="15.75" customHeight="1">
      <c r="E513" s="1"/>
      <c r="H513" s="1"/>
      <c r="K513" s="1"/>
      <c r="N513" s="1"/>
      <c r="Q513" s="1"/>
      <c r="T513" s="2"/>
      <c r="Z513" s="1"/>
      <c r="AC513" s="3"/>
    </row>
    <row r="514" ht="15.75" customHeight="1">
      <c r="E514" s="1"/>
      <c r="H514" s="1"/>
      <c r="K514" s="1"/>
      <c r="N514" s="1"/>
      <c r="Q514" s="1"/>
      <c r="T514" s="2"/>
      <c r="Z514" s="1"/>
      <c r="AC514" s="3"/>
    </row>
    <row r="515" ht="15.75" customHeight="1">
      <c r="E515" s="1"/>
      <c r="H515" s="1"/>
      <c r="K515" s="1"/>
      <c r="N515" s="1"/>
      <c r="Q515" s="1"/>
      <c r="T515" s="2"/>
      <c r="Z515" s="1"/>
      <c r="AC515" s="3"/>
    </row>
    <row r="516" ht="15.75" customHeight="1">
      <c r="E516" s="1"/>
      <c r="H516" s="1"/>
      <c r="K516" s="1"/>
      <c r="N516" s="1"/>
      <c r="Q516" s="1"/>
      <c r="T516" s="2"/>
      <c r="Z516" s="1"/>
      <c r="AC516" s="3"/>
    </row>
    <row r="517" ht="15.75" customHeight="1">
      <c r="E517" s="1"/>
      <c r="H517" s="1"/>
      <c r="K517" s="1"/>
      <c r="N517" s="1"/>
      <c r="Q517" s="1"/>
      <c r="T517" s="2"/>
      <c r="Z517" s="1"/>
      <c r="AC517" s="3"/>
    </row>
    <row r="518" ht="15.75" customHeight="1">
      <c r="E518" s="1"/>
      <c r="H518" s="1"/>
      <c r="K518" s="1"/>
      <c r="N518" s="1"/>
      <c r="Q518" s="1"/>
      <c r="T518" s="2"/>
      <c r="Z518" s="1"/>
      <c r="AC518" s="3"/>
    </row>
    <row r="519" ht="15.75" customHeight="1">
      <c r="E519" s="1"/>
      <c r="H519" s="1"/>
      <c r="K519" s="1"/>
      <c r="N519" s="1"/>
      <c r="Q519" s="1"/>
      <c r="T519" s="2"/>
      <c r="Z519" s="1"/>
      <c r="AC519" s="3"/>
    </row>
    <row r="520" ht="15.75" customHeight="1">
      <c r="E520" s="1"/>
      <c r="H520" s="1"/>
      <c r="K520" s="1"/>
      <c r="N520" s="1"/>
      <c r="Q520" s="1"/>
      <c r="T520" s="2"/>
      <c r="Z520" s="1"/>
      <c r="AC520" s="3"/>
    </row>
    <row r="521" ht="15.75" customHeight="1">
      <c r="E521" s="1"/>
      <c r="H521" s="1"/>
      <c r="K521" s="1"/>
      <c r="N521" s="1"/>
      <c r="Q521" s="1"/>
      <c r="T521" s="2"/>
      <c r="Z521" s="1"/>
      <c r="AC521" s="3"/>
    </row>
    <row r="522" ht="15.75" customHeight="1">
      <c r="E522" s="1"/>
      <c r="H522" s="1"/>
      <c r="K522" s="1"/>
      <c r="N522" s="1"/>
      <c r="Q522" s="1"/>
      <c r="T522" s="2"/>
      <c r="Z522" s="1"/>
      <c r="AC522" s="3"/>
    </row>
    <row r="523" ht="15.75" customHeight="1">
      <c r="E523" s="1"/>
      <c r="H523" s="1"/>
      <c r="K523" s="1"/>
      <c r="N523" s="1"/>
      <c r="Q523" s="1"/>
      <c r="T523" s="2"/>
      <c r="Z523" s="1"/>
      <c r="AC523" s="3"/>
    </row>
    <row r="524" ht="15.75" customHeight="1">
      <c r="E524" s="1"/>
      <c r="H524" s="1"/>
      <c r="K524" s="1"/>
      <c r="N524" s="1"/>
      <c r="Q524" s="1"/>
      <c r="T524" s="2"/>
      <c r="Z524" s="1"/>
      <c r="AC524" s="3"/>
    </row>
    <row r="525" ht="15.75" customHeight="1">
      <c r="E525" s="1"/>
      <c r="H525" s="1"/>
      <c r="K525" s="1"/>
      <c r="N525" s="1"/>
      <c r="Q525" s="1"/>
      <c r="T525" s="2"/>
      <c r="Z525" s="1"/>
      <c r="AC525" s="3"/>
    </row>
    <row r="526" ht="15.75" customHeight="1">
      <c r="E526" s="1"/>
      <c r="H526" s="1"/>
      <c r="K526" s="1"/>
      <c r="N526" s="1"/>
      <c r="Q526" s="1"/>
      <c r="T526" s="2"/>
      <c r="Z526" s="1"/>
      <c r="AC526" s="3"/>
    </row>
    <row r="527" ht="15.75" customHeight="1">
      <c r="E527" s="1"/>
      <c r="H527" s="1"/>
      <c r="K527" s="1"/>
      <c r="N527" s="1"/>
      <c r="Q527" s="1"/>
      <c r="T527" s="2"/>
      <c r="Z527" s="1"/>
      <c r="AC527" s="3"/>
    </row>
    <row r="528" ht="15.75" customHeight="1">
      <c r="E528" s="1"/>
      <c r="H528" s="1"/>
      <c r="K528" s="1"/>
      <c r="N528" s="1"/>
      <c r="Q528" s="1"/>
      <c r="T528" s="2"/>
      <c r="Z528" s="1"/>
      <c r="AC528" s="3"/>
    </row>
    <row r="529" ht="15.75" customHeight="1">
      <c r="E529" s="1"/>
      <c r="H529" s="1"/>
      <c r="K529" s="1"/>
      <c r="N529" s="1"/>
      <c r="Q529" s="1"/>
      <c r="T529" s="2"/>
      <c r="Z529" s="1"/>
      <c r="AC529" s="3"/>
    </row>
    <row r="530" ht="15.75" customHeight="1">
      <c r="E530" s="1"/>
      <c r="H530" s="1"/>
      <c r="K530" s="1"/>
      <c r="N530" s="1"/>
      <c r="Q530" s="1"/>
      <c r="T530" s="2"/>
      <c r="Z530" s="1"/>
      <c r="AC530" s="3"/>
    </row>
    <row r="531" ht="15.75" customHeight="1">
      <c r="E531" s="1"/>
      <c r="H531" s="1"/>
      <c r="K531" s="1"/>
      <c r="N531" s="1"/>
      <c r="Q531" s="1"/>
      <c r="T531" s="2"/>
      <c r="Z531" s="1"/>
      <c r="AC531" s="3"/>
    </row>
    <row r="532" ht="15.75" customHeight="1">
      <c r="E532" s="1"/>
      <c r="H532" s="1"/>
      <c r="K532" s="1"/>
      <c r="N532" s="1"/>
      <c r="Q532" s="1"/>
      <c r="T532" s="2"/>
      <c r="Z532" s="1"/>
      <c r="AC532" s="3"/>
    </row>
    <row r="533" ht="15.75" customHeight="1">
      <c r="E533" s="1"/>
      <c r="H533" s="1"/>
      <c r="K533" s="1"/>
      <c r="N533" s="1"/>
      <c r="Q533" s="1"/>
      <c r="T533" s="2"/>
      <c r="Z533" s="1"/>
      <c r="AC533" s="3"/>
    </row>
    <row r="534" ht="15.75" customHeight="1">
      <c r="E534" s="1"/>
      <c r="H534" s="1"/>
      <c r="K534" s="1"/>
      <c r="N534" s="1"/>
      <c r="Q534" s="1"/>
      <c r="T534" s="2"/>
      <c r="Z534" s="1"/>
      <c r="AC534" s="3"/>
    </row>
    <row r="535" ht="15.75" customHeight="1">
      <c r="E535" s="1"/>
      <c r="H535" s="1"/>
      <c r="K535" s="1"/>
      <c r="N535" s="1"/>
      <c r="Q535" s="1"/>
      <c r="T535" s="2"/>
      <c r="Z535" s="1"/>
      <c r="AC535" s="3"/>
    </row>
    <row r="536" ht="15.75" customHeight="1">
      <c r="E536" s="1"/>
      <c r="H536" s="1"/>
      <c r="K536" s="1"/>
      <c r="N536" s="1"/>
      <c r="Q536" s="1"/>
      <c r="T536" s="2"/>
      <c r="Z536" s="1"/>
      <c r="AC536" s="3"/>
    </row>
    <row r="537" ht="15.75" customHeight="1">
      <c r="E537" s="1"/>
      <c r="H537" s="1"/>
      <c r="K537" s="1"/>
      <c r="N537" s="1"/>
      <c r="Q537" s="1"/>
      <c r="T537" s="2"/>
      <c r="Z537" s="1"/>
      <c r="AC537" s="3"/>
    </row>
    <row r="538" ht="15.75" customHeight="1">
      <c r="E538" s="1"/>
      <c r="H538" s="1"/>
      <c r="K538" s="1"/>
      <c r="N538" s="1"/>
      <c r="Q538" s="1"/>
      <c r="T538" s="2"/>
      <c r="Z538" s="1"/>
      <c r="AC538" s="3"/>
    </row>
    <row r="539" ht="15.75" customHeight="1">
      <c r="E539" s="1"/>
      <c r="H539" s="1"/>
      <c r="K539" s="1"/>
      <c r="N539" s="1"/>
      <c r="Q539" s="1"/>
      <c r="T539" s="2"/>
      <c r="Z539" s="1"/>
      <c r="AC539" s="3"/>
    </row>
    <row r="540" ht="15.75" customHeight="1">
      <c r="E540" s="1"/>
      <c r="H540" s="1"/>
      <c r="K540" s="1"/>
      <c r="N540" s="1"/>
      <c r="Q540" s="1"/>
      <c r="T540" s="2"/>
      <c r="Z540" s="1"/>
      <c r="AC540" s="3"/>
    </row>
    <row r="541" ht="15.75" customHeight="1">
      <c r="E541" s="1"/>
      <c r="H541" s="1"/>
      <c r="K541" s="1"/>
      <c r="N541" s="1"/>
      <c r="Q541" s="1"/>
      <c r="T541" s="2"/>
      <c r="Z541" s="1"/>
      <c r="AC541" s="3"/>
    </row>
    <row r="542" ht="15.75" customHeight="1">
      <c r="E542" s="1"/>
      <c r="H542" s="1"/>
      <c r="K542" s="1"/>
      <c r="N542" s="1"/>
      <c r="Q542" s="1"/>
      <c r="T542" s="2"/>
      <c r="Z542" s="1"/>
      <c r="AC542" s="3"/>
    </row>
    <row r="543" ht="15.75" customHeight="1">
      <c r="E543" s="1"/>
      <c r="H543" s="1"/>
      <c r="K543" s="1"/>
      <c r="N543" s="1"/>
      <c r="Q543" s="1"/>
      <c r="T543" s="2"/>
      <c r="Z543" s="1"/>
      <c r="AC543" s="3"/>
    </row>
    <row r="544" ht="15.75" customHeight="1">
      <c r="E544" s="1"/>
      <c r="H544" s="1"/>
      <c r="K544" s="1"/>
      <c r="N544" s="1"/>
      <c r="Q544" s="1"/>
      <c r="T544" s="2"/>
      <c r="Z544" s="1"/>
      <c r="AC544" s="3"/>
    </row>
    <row r="545" ht="15.75" customHeight="1">
      <c r="E545" s="1"/>
      <c r="H545" s="1"/>
      <c r="K545" s="1"/>
      <c r="N545" s="1"/>
      <c r="Q545" s="1"/>
      <c r="T545" s="2"/>
      <c r="Z545" s="1"/>
      <c r="AC545" s="3"/>
    </row>
    <row r="546" ht="15.75" customHeight="1">
      <c r="E546" s="1"/>
      <c r="H546" s="1"/>
      <c r="K546" s="1"/>
      <c r="N546" s="1"/>
      <c r="Q546" s="1"/>
      <c r="T546" s="2"/>
      <c r="Z546" s="1"/>
      <c r="AC546" s="3"/>
    </row>
    <row r="547" ht="15.75" customHeight="1">
      <c r="E547" s="1"/>
      <c r="H547" s="1"/>
      <c r="K547" s="1"/>
      <c r="N547" s="1"/>
      <c r="Q547" s="1"/>
      <c r="T547" s="2"/>
      <c r="Z547" s="1"/>
      <c r="AC547" s="3"/>
    </row>
    <row r="548" ht="15.75" customHeight="1">
      <c r="E548" s="1"/>
      <c r="H548" s="1"/>
      <c r="K548" s="1"/>
      <c r="N548" s="1"/>
      <c r="Q548" s="1"/>
      <c r="T548" s="2"/>
      <c r="Z548" s="1"/>
      <c r="AC548" s="3"/>
    </row>
    <row r="549" ht="15.75" customHeight="1">
      <c r="E549" s="1"/>
      <c r="H549" s="1"/>
      <c r="K549" s="1"/>
      <c r="N549" s="1"/>
      <c r="Q549" s="1"/>
      <c r="T549" s="2"/>
      <c r="Z549" s="1"/>
      <c r="AC549" s="3"/>
    </row>
    <row r="550" ht="15.75" customHeight="1">
      <c r="E550" s="1"/>
      <c r="H550" s="1"/>
      <c r="K550" s="1"/>
      <c r="N550" s="1"/>
      <c r="Q550" s="1"/>
      <c r="T550" s="2"/>
      <c r="Z550" s="1"/>
      <c r="AC550" s="3"/>
    </row>
    <row r="551" ht="15.75" customHeight="1">
      <c r="E551" s="1"/>
      <c r="H551" s="1"/>
      <c r="K551" s="1"/>
      <c r="N551" s="1"/>
      <c r="Q551" s="1"/>
      <c r="T551" s="2"/>
      <c r="Z551" s="1"/>
      <c r="AC551" s="3"/>
    </row>
    <row r="552" ht="15.75" customHeight="1">
      <c r="E552" s="1"/>
      <c r="H552" s="1"/>
      <c r="K552" s="1"/>
      <c r="N552" s="1"/>
      <c r="Q552" s="1"/>
      <c r="T552" s="2"/>
      <c r="Z552" s="1"/>
      <c r="AC552" s="3"/>
    </row>
    <row r="553" ht="15.75" customHeight="1">
      <c r="E553" s="1"/>
      <c r="H553" s="1"/>
      <c r="K553" s="1"/>
      <c r="N553" s="1"/>
      <c r="Q553" s="1"/>
      <c r="T553" s="2"/>
      <c r="Z553" s="1"/>
      <c r="AC553" s="3"/>
    </row>
    <row r="554" ht="15.75" customHeight="1">
      <c r="E554" s="1"/>
      <c r="H554" s="1"/>
      <c r="K554" s="1"/>
      <c r="N554" s="1"/>
      <c r="Q554" s="1"/>
      <c r="T554" s="2"/>
      <c r="Z554" s="1"/>
      <c r="AC554" s="3"/>
    </row>
    <row r="555" ht="15.75" customHeight="1">
      <c r="E555" s="1"/>
      <c r="H555" s="1"/>
      <c r="K555" s="1"/>
      <c r="N555" s="1"/>
      <c r="Q555" s="1"/>
      <c r="T555" s="2"/>
      <c r="Z555" s="1"/>
      <c r="AC555" s="3"/>
    </row>
    <row r="556" ht="15.75" customHeight="1">
      <c r="E556" s="1"/>
      <c r="H556" s="1"/>
      <c r="K556" s="1"/>
      <c r="N556" s="1"/>
      <c r="Q556" s="1"/>
      <c r="T556" s="2"/>
      <c r="Z556" s="1"/>
      <c r="AC556" s="3"/>
    </row>
    <row r="557" ht="15.75" customHeight="1">
      <c r="E557" s="1"/>
      <c r="H557" s="1"/>
      <c r="K557" s="1"/>
      <c r="N557" s="1"/>
      <c r="Q557" s="1"/>
      <c r="T557" s="2"/>
      <c r="Z557" s="1"/>
      <c r="AC557" s="3"/>
    </row>
    <row r="558" ht="15.75" customHeight="1">
      <c r="E558" s="1"/>
      <c r="H558" s="1"/>
      <c r="K558" s="1"/>
      <c r="N558" s="1"/>
      <c r="Q558" s="1"/>
      <c r="T558" s="2"/>
      <c r="Z558" s="1"/>
      <c r="AC558" s="3"/>
    </row>
    <row r="559" ht="15.75" customHeight="1">
      <c r="E559" s="1"/>
      <c r="H559" s="1"/>
      <c r="K559" s="1"/>
      <c r="N559" s="1"/>
      <c r="Q559" s="1"/>
      <c r="T559" s="2"/>
      <c r="Z559" s="1"/>
      <c r="AC559" s="3"/>
    </row>
    <row r="560" ht="15.75" customHeight="1">
      <c r="E560" s="1"/>
      <c r="H560" s="1"/>
      <c r="K560" s="1"/>
      <c r="N560" s="1"/>
      <c r="Q560" s="1"/>
      <c r="T560" s="2"/>
      <c r="Z560" s="1"/>
      <c r="AC560" s="3"/>
    </row>
    <row r="561" ht="15.75" customHeight="1">
      <c r="E561" s="1"/>
      <c r="H561" s="1"/>
      <c r="K561" s="1"/>
      <c r="N561" s="1"/>
      <c r="Q561" s="1"/>
      <c r="T561" s="2"/>
      <c r="Z561" s="1"/>
      <c r="AC561" s="3"/>
    </row>
    <row r="562" ht="15.75" customHeight="1">
      <c r="E562" s="1"/>
      <c r="H562" s="1"/>
      <c r="K562" s="1"/>
      <c r="N562" s="1"/>
      <c r="Q562" s="1"/>
      <c r="T562" s="2"/>
      <c r="Z562" s="1"/>
      <c r="AC562" s="3"/>
    </row>
    <row r="563" ht="15.75" customHeight="1">
      <c r="E563" s="1"/>
      <c r="H563" s="1"/>
      <c r="K563" s="1"/>
      <c r="N563" s="1"/>
      <c r="Q563" s="1"/>
      <c r="T563" s="2"/>
      <c r="Z563" s="1"/>
      <c r="AC563" s="3"/>
    </row>
    <row r="564" ht="15.75" customHeight="1">
      <c r="E564" s="1"/>
      <c r="H564" s="1"/>
      <c r="K564" s="1"/>
      <c r="N564" s="1"/>
      <c r="Q564" s="1"/>
      <c r="T564" s="2"/>
      <c r="Z564" s="1"/>
      <c r="AC564" s="3"/>
    </row>
    <row r="565" ht="15.75" customHeight="1">
      <c r="E565" s="1"/>
      <c r="H565" s="1"/>
      <c r="K565" s="1"/>
      <c r="N565" s="1"/>
      <c r="Q565" s="1"/>
      <c r="T565" s="2"/>
      <c r="Z565" s="1"/>
      <c r="AC565" s="3"/>
    </row>
    <row r="566" ht="15.75" customHeight="1">
      <c r="E566" s="1"/>
      <c r="H566" s="1"/>
      <c r="K566" s="1"/>
      <c r="N566" s="1"/>
      <c r="Q566" s="1"/>
      <c r="T566" s="2"/>
      <c r="Z566" s="1"/>
      <c r="AC566" s="3"/>
    </row>
    <row r="567" ht="15.75" customHeight="1">
      <c r="E567" s="1"/>
      <c r="H567" s="1"/>
      <c r="K567" s="1"/>
      <c r="N567" s="1"/>
      <c r="Q567" s="1"/>
      <c r="T567" s="2"/>
      <c r="Z567" s="1"/>
      <c r="AC567" s="3"/>
    </row>
    <row r="568" ht="15.75" customHeight="1">
      <c r="E568" s="1"/>
      <c r="H568" s="1"/>
      <c r="K568" s="1"/>
      <c r="N568" s="1"/>
      <c r="Q568" s="1"/>
      <c r="T568" s="2"/>
      <c r="Z568" s="1"/>
      <c r="AC568" s="3"/>
    </row>
    <row r="569" ht="15.75" customHeight="1">
      <c r="E569" s="1"/>
      <c r="H569" s="1"/>
      <c r="K569" s="1"/>
      <c r="N569" s="1"/>
      <c r="Q569" s="1"/>
      <c r="T569" s="2"/>
      <c r="Z569" s="1"/>
      <c r="AC569" s="3"/>
    </row>
    <row r="570" ht="15.75" customHeight="1">
      <c r="E570" s="1"/>
      <c r="H570" s="1"/>
      <c r="K570" s="1"/>
      <c r="N570" s="1"/>
      <c r="Q570" s="1"/>
      <c r="T570" s="2"/>
      <c r="Z570" s="1"/>
      <c r="AC570" s="3"/>
    </row>
    <row r="571" ht="15.75" customHeight="1">
      <c r="E571" s="1"/>
      <c r="H571" s="1"/>
      <c r="K571" s="1"/>
      <c r="N571" s="1"/>
      <c r="Q571" s="1"/>
      <c r="T571" s="2"/>
      <c r="Z571" s="1"/>
      <c r="AC571" s="3"/>
    </row>
    <row r="572" ht="15.75" customHeight="1">
      <c r="E572" s="1"/>
      <c r="H572" s="1"/>
      <c r="K572" s="1"/>
      <c r="N572" s="1"/>
      <c r="Q572" s="1"/>
      <c r="T572" s="2"/>
      <c r="Z572" s="1"/>
      <c r="AC572" s="3"/>
    </row>
    <row r="573" ht="15.75" customHeight="1">
      <c r="E573" s="1"/>
      <c r="H573" s="1"/>
      <c r="K573" s="1"/>
      <c r="N573" s="1"/>
      <c r="Q573" s="1"/>
      <c r="T573" s="2"/>
      <c r="Z573" s="1"/>
      <c r="AC573" s="3"/>
    </row>
    <row r="574" ht="15.75" customHeight="1">
      <c r="E574" s="1"/>
      <c r="H574" s="1"/>
      <c r="K574" s="1"/>
      <c r="N574" s="1"/>
      <c r="Q574" s="1"/>
      <c r="T574" s="2"/>
      <c r="Z574" s="1"/>
      <c r="AC574" s="3"/>
    </row>
    <row r="575" ht="15.75" customHeight="1">
      <c r="E575" s="1"/>
      <c r="H575" s="1"/>
      <c r="K575" s="1"/>
      <c r="N575" s="1"/>
      <c r="Q575" s="1"/>
      <c r="T575" s="2"/>
      <c r="Z575" s="1"/>
      <c r="AC575" s="3"/>
    </row>
    <row r="576" ht="15.75" customHeight="1">
      <c r="E576" s="1"/>
      <c r="H576" s="1"/>
      <c r="K576" s="1"/>
      <c r="N576" s="1"/>
      <c r="Q576" s="1"/>
      <c r="T576" s="2"/>
      <c r="Z576" s="1"/>
      <c r="AC576" s="3"/>
    </row>
    <row r="577" ht="15.75" customHeight="1">
      <c r="E577" s="1"/>
      <c r="H577" s="1"/>
      <c r="K577" s="1"/>
      <c r="N577" s="1"/>
      <c r="Q577" s="1"/>
      <c r="T577" s="2"/>
      <c r="Z577" s="1"/>
      <c r="AC577" s="3"/>
    </row>
    <row r="578" ht="15.75" customHeight="1">
      <c r="E578" s="1"/>
      <c r="H578" s="1"/>
      <c r="K578" s="1"/>
      <c r="N578" s="1"/>
      <c r="Q578" s="1"/>
      <c r="T578" s="2"/>
      <c r="Z578" s="1"/>
      <c r="AC578" s="3"/>
    </row>
    <row r="579" ht="15.75" customHeight="1">
      <c r="E579" s="1"/>
      <c r="H579" s="1"/>
      <c r="K579" s="1"/>
      <c r="N579" s="1"/>
      <c r="Q579" s="1"/>
      <c r="T579" s="2"/>
      <c r="Z579" s="1"/>
      <c r="AC579" s="3"/>
    </row>
    <row r="580" ht="15.75" customHeight="1">
      <c r="E580" s="1"/>
      <c r="H580" s="1"/>
      <c r="K580" s="1"/>
      <c r="N580" s="1"/>
      <c r="Q580" s="1"/>
      <c r="T580" s="2"/>
      <c r="Z580" s="1"/>
      <c r="AC580" s="3"/>
    </row>
    <row r="581" ht="15.75" customHeight="1">
      <c r="E581" s="1"/>
      <c r="H581" s="1"/>
      <c r="K581" s="1"/>
      <c r="N581" s="1"/>
      <c r="Q581" s="1"/>
      <c r="T581" s="2"/>
      <c r="Z581" s="1"/>
      <c r="AC581" s="3"/>
    </row>
    <row r="582" ht="15.75" customHeight="1">
      <c r="E582" s="1"/>
      <c r="H582" s="1"/>
      <c r="K582" s="1"/>
      <c r="N582" s="1"/>
      <c r="Q582" s="1"/>
      <c r="T582" s="2"/>
      <c r="Z582" s="1"/>
      <c r="AC582" s="3"/>
    </row>
    <row r="583" ht="15.75" customHeight="1">
      <c r="E583" s="1"/>
      <c r="H583" s="1"/>
      <c r="K583" s="1"/>
      <c r="N583" s="1"/>
      <c r="Q583" s="1"/>
      <c r="T583" s="2"/>
      <c r="Z583" s="1"/>
      <c r="AC583" s="3"/>
    </row>
    <row r="584" ht="15.75" customHeight="1">
      <c r="E584" s="1"/>
      <c r="H584" s="1"/>
      <c r="K584" s="1"/>
      <c r="N584" s="1"/>
      <c r="Q584" s="1"/>
      <c r="T584" s="2"/>
      <c r="Z584" s="1"/>
      <c r="AC584" s="3"/>
    </row>
    <row r="585" ht="15.75" customHeight="1">
      <c r="E585" s="1"/>
      <c r="H585" s="1"/>
      <c r="K585" s="1"/>
      <c r="N585" s="1"/>
      <c r="Q585" s="1"/>
      <c r="T585" s="2"/>
      <c r="Z585" s="1"/>
      <c r="AC585" s="3"/>
    </row>
    <row r="586" ht="15.75" customHeight="1">
      <c r="E586" s="1"/>
      <c r="H586" s="1"/>
      <c r="K586" s="1"/>
      <c r="N586" s="1"/>
      <c r="Q586" s="1"/>
      <c r="T586" s="2"/>
      <c r="Z586" s="1"/>
      <c r="AC586" s="3"/>
    </row>
    <row r="587" ht="15.75" customHeight="1">
      <c r="E587" s="1"/>
      <c r="H587" s="1"/>
      <c r="K587" s="1"/>
      <c r="N587" s="1"/>
      <c r="Q587" s="1"/>
      <c r="T587" s="2"/>
      <c r="Z587" s="1"/>
      <c r="AC587" s="3"/>
    </row>
    <row r="588" ht="15.75" customHeight="1">
      <c r="E588" s="1"/>
      <c r="H588" s="1"/>
      <c r="K588" s="1"/>
      <c r="N588" s="1"/>
      <c r="Q588" s="1"/>
      <c r="T588" s="2"/>
      <c r="Z588" s="1"/>
      <c r="AC588" s="3"/>
    </row>
    <row r="589" ht="15.75" customHeight="1">
      <c r="E589" s="1"/>
      <c r="H589" s="1"/>
      <c r="K589" s="1"/>
      <c r="N589" s="1"/>
      <c r="Q589" s="1"/>
      <c r="T589" s="2"/>
      <c r="Z589" s="1"/>
      <c r="AC589" s="3"/>
    </row>
    <row r="590" ht="15.75" customHeight="1">
      <c r="E590" s="1"/>
      <c r="H590" s="1"/>
      <c r="K590" s="1"/>
      <c r="N590" s="1"/>
      <c r="Q590" s="1"/>
      <c r="T590" s="2"/>
      <c r="Z590" s="1"/>
      <c r="AC590" s="3"/>
    </row>
    <row r="591" ht="15.75" customHeight="1">
      <c r="E591" s="1"/>
      <c r="H591" s="1"/>
      <c r="K591" s="1"/>
      <c r="N591" s="1"/>
      <c r="Q591" s="1"/>
      <c r="T591" s="2"/>
      <c r="Z591" s="1"/>
      <c r="AC591" s="3"/>
    </row>
    <row r="592" ht="15.75" customHeight="1">
      <c r="E592" s="1"/>
      <c r="H592" s="1"/>
      <c r="K592" s="1"/>
      <c r="N592" s="1"/>
      <c r="Q592" s="1"/>
      <c r="T592" s="2"/>
      <c r="Z592" s="1"/>
      <c r="AC592" s="3"/>
    </row>
    <row r="593" ht="15.75" customHeight="1">
      <c r="E593" s="1"/>
      <c r="H593" s="1"/>
      <c r="K593" s="1"/>
      <c r="N593" s="1"/>
      <c r="Q593" s="1"/>
      <c r="T593" s="2"/>
      <c r="Z593" s="1"/>
      <c r="AC593" s="3"/>
    </row>
    <row r="594" ht="15.75" customHeight="1">
      <c r="E594" s="1"/>
      <c r="H594" s="1"/>
      <c r="K594" s="1"/>
      <c r="N594" s="1"/>
      <c r="Q594" s="1"/>
      <c r="T594" s="2"/>
      <c r="Z594" s="1"/>
      <c r="AC594" s="3"/>
    </row>
    <row r="595" ht="15.75" customHeight="1">
      <c r="E595" s="1"/>
      <c r="H595" s="1"/>
      <c r="K595" s="1"/>
      <c r="N595" s="1"/>
      <c r="Q595" s="1"/>
      <c r="T595" s="2"/>
      <c r="Z595" s="1"/>
      <c r="AC595" s="3"/>
    </row>
    <row r="596" ht="15.75" customHeight="1">
      <c r="E596" s="1"/>
      <c r="H596" s="1"/>
      <c r="K596" s="1"/>
      <c r="N596" s="1"/>
      <c r="Q596" s="1"/>
      <c r="T596" s="2"/>
      <c r="Z596" s="1"/>
      <c r="AC596" s="3"/>
    </row>
    <row r="597" ht="15.75" customHeight="1">
      <c r="E597" s="1"/>
      <c r="H597" s="1"/>
      <c r="K597" s="1"/>
      <c r="N597" s="1"/>
      <c r="Q597" s="1"/>
      <c r="T597" s="2"/>
      <c r="Z597" s="1"/>
      <c r="AC597" s="3"/>
    </row>
    <row r="598" ht="15.75" customHeight="1">
      <c r="E598" s="1"/>
      <c r="H598" s="1"/>
      <c r="K598" s="1"/>
      <c r="N598" s="1"/>
      <c r="Q598" s="1"/>
      <c r="T598" s="2"/>
      <c r="Z598" s="1"/>
      <c r="AC598" s="3"/>
    </row>
    <row r="599" ht="15.75" customHeight="1">
      <c r="E599" s="1"/>
      <c r="H599" s="1"/>
      <c r="K599" s="1"/>
      <c r="N599" s="1"/>
      <c r="Q599" s="1"/>
      <c r="T599" s="2"/>
      <c r="Z599" s="1"/>
      <c r="AC599" s="3"/>
    </row>
    <row r="600" ht="15.75" customHeight="1">
      <c r="E600" s="1"/>
      <c r="H600" s="1"/>
      <c r="K600" s="1"/>
      <c r="N600" s="1"/>
      <c r="Q600" s="1"/>
      <c r="T600" s="2"/>
      <c r="Z600" s="1"/>
      <c r="AC600" s="3"/>
    </row>
    <row r="601" ht="15.75" customHeight="1">
      <c r="E601" s="1"/>
      <c r="H601" s="1"/>
      <c r="K601" s="1"/>
      <c r="N601" s="1"/>
      <c r="Q601" s="1"/>
      <c r="T601" s="2"/>
      <c r="Z601" s="1"/>
      <c r="AC601" s="3"/>
    </row>
    <row r="602" ht="15.75" customHeight="1">
      <c r="E602" s="1"/>
      <c r="H602" s="1"/>
      <c r="K602" s="1"/>
      <c r="N602" s="1"/>
      <c r="Q602" s="1"/>
      <c r="T602" s="2"/>
      <c r="Z602" s="1"/>
      <c r="AC602" s="3"/>
    </row>
    <row r="603" ht="15.75" customHeight="1">
      <c r="E603" s="1"/>
      <c r="H603" s="1"/>
      <c r="K603" s="1"/>
      <c r="N603" s="1"/>
      <c r="Q603" s="1"/>
      <c r="T603" s="2"/>
      <c r="Z603" s="1"/>
      <c r="AC603" s="3"/>
    </row>
    <row r="604" ht="15.75" customHeight="1">
      <c r="E604" s="1"/>
      <c r="H604" s="1"/>
      <c r="K604" s="1"/>
      <c r="N604" s="1"/>
      <c r="Q604" s="1"/>
      <c r="T604" s="2"/>
      <c r="Z604" s="1"/>
      <c r="AC604" s="3"/>
    </row>
    <row r="605" ht="15.75" customHeight="1">
      <c r="E605" s="1"/>
      <c r="H605" s="1"/>
      <c r="K605" s="1"/>
      <c r="N605" s="1"/>
      <c r="Q605" s="1"/>
      <c r="T605" s="2"/>
      <c r="Z605" s="1"/>
      <c r="AC605" s="3"/>
    </row>
    <row r="606" ht="15.75" customHeight="1">
      <c r="E606" s="1"/>
      <c r="H606" s="1"/>
      <c r="K606" s="1"/>
      <c r="N606" s="1"/>
      <c r="Q606" s="1"/>
      <c r="T606" s="2"/>
      <c r="Z606" s="1"/>
      <c r="AC606" s="3"/>
    </row>
    <row r="607" ht="15.75" customHeight="1">
      <c r="E607" s="1"/>
      <c r="H607" s="1"/>
      <c r="K607" s="1"/>
      <c r="N607" s="1"/>
      <c r="Q607" s="1"/>
      <c r="T607" s="2"/>
      <c r="Z607" s="1"/>
      <c r="AC607" s="3"/>
    </row>
    <row r="608" ht="15.75" customHeight="1">
      <c r="E608" s="1"/>
      <c r="H608" s="1"/>
      <c r="K608" s="1"/>
      <c r="N608" s="1"/>
      <c r="Q608" s="1"/>
      <c r="T608" s="2"/>
      <c r="Z608" s="1"/>
      <c r="AC608" s="3"/>
    </row>
    <row r="609" ht="15.75" customHeight="1">
      <c r="E609" s="1"/>
      <c r="H609" s="1"/>
      <c r="K609" s="1"/>
      <c r="N609" s="1"/>
      <c r="Q609" s="1"/>
      <c r="T609" s="2"/>
      <c r="Z609" s="1"/>
      <c r="AC609" s="3"/>
    </row>
    <row r="610" ht="15.75" customHeight="1">
      <c r="E610" s="1"/>
      <c r="H610" s="1"/>
      <c r="K610" s="1"/>
      <c r="N610" s="1"/>
      <c r="Q610" s="1"/>
      <c r="T610" s="2"/>
      <c r="Z610" s="1"/>
      <c r="AC610" s="3"/>
    </row>
    <row r="611" ht="15.75" customHeight="1">
      <c r="E611" s="1"/>
      <c r="H611" s="1"/>
      <c r="K611" s="1"/>
      <c r="N611" s="1"/>
      <c r="Q611" s="1"/>
      <c r="T611" s="2"/>
      <c r="Z611" s="1"/>
      <c r="AC611" s="3"/>
    </row>
    <row r="612" ht="15.75" customHeight="1">
      <c r="E612" s="1"/>
      <c r="H612" s="1"/>
      <c r="K612" s="1"/>
      <c r="N612" s="1"/>
      <c r="Q612" s="1"/>
      <c r="T612" s="2"/>
      <c r="Z612" s="1"/>
      <c r="AC612" s="3"/>
    </row>
    <row r="613" ht="15.75" customHeight="1">
      <c r="E613" s="1"/>
      <c r="H613" s="1"/>
      <c r="K613" s="1"/>
      <c r="N613" s="1"/>
      <c r="Q613" s="1"/>
      <c r="T613" s="2"/>
      <c r="Z613" s="1"/>
      <c r="AC613" s="3"/>
    </row>
    <row r="614" ht="15.75" customHeight="1">
      <c r="E614" s="1"/>
      <c r="H614" s="1"/>
      <c r="K614" s="1"/>
      <c r="N614" s="1"/>
      <c r="Q614" s="1"/>
      <c r="T614" s="2"/>
      <c r="Z614" s="1"/>
      <c r="AC614" s="3"/>
    </row>
    <row r="615" ht="15.75" customHeight="1">
      <c r="E615" s="1"/>
      <c r="H615" s="1"/>
      <c r="K615" s="1"/>
      <c r="N615" s="1"/>
      <c r="Q615" s="1"/>
      <c r="T615" s="2"/>
      <c r="Z615" s="1"/>
      <c r="AC615" s="3"/>
    </row>
    <row r="616" ht="15.75" customHeight="1">
      <c r="E616" s="1"/>
      <c r="H616" s="1"/>
      <c r="K616" s="1"/>
      <c r="N616" s="1"/>
      <c r="Q616" s="1"/>
      <c r="T616" s="2"/>
      <c r="Z616" s="1"/>
      <c r="AC616" s="3"/>
    </row>
    <row r="617" ht="15.75" customHeight="1">
      <c r="E617" s="1"/>
      <c r="H617" s="1"/>
      <c r="K617" s="1"/>
      <c r="N617" s="1"/>
      <c r="Q617" s="1"/>
      <c r="T617" s="2"/>
      <c r="Z617" s="1"/>
      <c r="AC617" s="3"/>
    </row>
    <row r="618" ht="15.75" customHeight="1">
      <c r="E618" s="1"/>
      <c r="H618" s="1"/>
      <c r="K618" s="1"/>
      <c r="N618" s="1"/>
      <c r="Q618" s="1"/>
      <c r="T618" s="2"/>
      <c r="Z618" s="1"/>
      <c r="AC618" s="3"/>
    </row>
    <row r="619" ht="15.75" customHeight="1">
      <c r="E619" s="1"/>
      <c r="H619" s="1"/>
      <c r="K619" s="1"/>
      <c r="N619" s="1"/>
      <c r="Q619" s="1"/>
      <c r="T619" s="2"/>
      <c r="Z619" s="1"/>
      <c r="AC619" s="3"/>
    </row>
    <row r="620" ht="15.75" customHeight="1">
      <c r="E620" s="1"/>
      <c r="H620" s="1"/>
      <c r="K620" s="1"/>
      <c r="N620" s="1"/>
      <c r="Q620" s="1"/>
      <c r="T620" s="2"/>
      <c r="Z620" s="1"/>
      <c r="AC620" s="3"/>
    </row>
    <row r="621" ht="15.75" customHeight="1">
      <c r="E621" s="1"/>
      <c r="H621" s="1"/>
      <c r="K621" s="1"/>
      <c r="N621" s="1"/>
      <c r="Q621" s="1"/>
      <c r="T621" s="2"/>
      <c r="Z621" s="1"/>
      <c r="AC621" s="3"/>
    </row>
    <row r="622" ht="15.75" customHeight="1">
      <c r="E622" s="1"/>
      <c r="H622" s="1"/>
      <c r="K622" s="1"/>
      <c r="N622" s="1"/>
      <c r="Q622" s="1"/>
      <c r="T622" s="2"/>
      <c r="Z622" s="1"/>
      <c r="AC622" s="3"/>
    </row>
    <row r="623" ht="15.75" customHeight="1">
      <c r="E623" s="1"/>
      <c r="H623" s="1"/>
      <c r="K623" s="1"/>
      <c r="N623" s="1"/>
      <c r="Q623" s="1"/>
      <c r="T623" s="2"/>
      <c r="Z623" s="1"/>
      <c r="AC623" s="3"/>
    </row>
    <row r="624" ht="15.75" customHeight="1">
      <c r="E624" s="1"/>
      <c r="H624" s="1"/>
      <c r="K624" s="1"/>
      <c r="N624" s="1"/>
      <c r="Q624" s="1"/>
      <c r="T624" s="2"/>
      <c r="Z624" s="1"/>
      <c r="AC624" s="3"/>
    </row>
    <row r="625" ht="15.75" customHeight="1">
      <c r="E625" s="1"/>
      <c r="H625" s="1"/>
      <c r="K625" s="1"/>
      <c r="N625" s="1"/>
      <c r="Q625" s="1"/>
      <c r="T625" s="2"/>
      <c r="Z625" s="1"/>
      <c r="AC625" s="3"/>
    </row>
    <row r="626" ht="15.75" customHeight="1">
      <c r="E626" s="1"/>
      <c r="H626" s="1"/>
      <c r="K626" s="1"/>
      <c r="N626" s="1"/>
      <c r="Q626" s="1"/>
      <c r="T626" s="2"/>
      <c r="Z626" s="1"/>
      <c r="AC626" s="3"/>
    </row>
    <row r="627" ht="15.75" customHeight="1">
      <c r="E627" s="1"/>
      <c r="H627" s="1"/>
      <c r="K627" s="1"/>
      <c r="N627" s="1"/>
      <c r="Q627" s="1"/>
      <c r="T627" s="2"/>
      <c r="Z627" s="1"/>
      <c r="AC627" s="3"/>
    </row>
    <row r="628" ht="15.75" customHeight="1">
      <c r="E628" s="1"/>
      <c r="H628" s="1"/>
      <c r="K628" s="1"/>
      <c r="N628" s="1"/>
      <c r="Q628" s="1"/>
      <c r="T628" s="2"/>
      <c r="Z628" s="1"/>
      <c r="AC628" s="3"/>
    </row>
    <row r="629" ht="15.75" customHeight="1">
      <c r="E629" s="1"/>
      <c r="H629" s="1"/>
      <c r="K629" s="1"/>
      <c r="N629" s="1"/>
      <c r="Q629" s="1"/>
      <c r="T629" s="2"/>
      <c r="Z629" s="1"/>
      <c r="AC629" s="3"/>
    </row>
    <row r="630" ht="15.75" customHeight="1">
      <c r="E630" s="1"/>
      <c r="H630" s="1"/>
      <c r="K630" s="1"/>
      <c r="N630" s="1"/>
      <c r="Q630" s="1"/>
      <c r="T630" s="2"/>
      <c r="Z630" s="1"/>
      <c r="AC630" s="3"/>
    </row>
    <row r="631" ht="15.75" customHeight="1">
      <c r="E631" s="1"/>
      <c r="H631" s="1"/>
      <c r="K631" s="1"/>
      <c r="N631" s="1"/>
      <c r="Q631" s="1"/>
      <c r="T631" s="2"/>
      <c r="Z631" s="1"/>
      <c r="AC631" s="3"/>
    </row>
    <row r="632" ht="15.75" customHeight="1">
      <c r="E632" s="1"/>
      <c r="H632" s="1"/>
      <c r="K632" s="1"/>
      <c r="N632" s="1"/>
      <c r="Q632" s="1"/>
      <c r="T632" s="2"/>
      <c r="Z632" s="1"/>
      <c r="AC632" s="3"/>
    </row>
    <row r="633" ht="15.75" customHeight="1">
      <c r="E633" s="1"/>
      <c r="H633" s="1"/>
      <c r="K633" s="1"/>
      <c r="N633" s="1"/>
      <c r="Q633" s="1"/>
      <c r="T633" s="2"/>
      <c r="Z633" s="1"/>
      <c r="AC633" s="3"/>
    </row>
    <row r="634" ht="15.75" customHeight="1">
      <c r="E634" s="1"/>
      <c r="H634" s="1"/>
      <c r="K634" s="1"/>
      <c r="N634" s="1"/>
      <c r="Q634" s="1"/>
      <c r="T634" s="2"/>
      <c r="Z634" s="1"/>
      <c r="AC634" s="3"/>
    </row>
    <row r="635" ht="15.75" customHeight="1">
      <c r="E635" s="1"/>
      <c r="H635" s="1"/>
      <c r="K635" s="1"/>
      <c r="N635" s="1"/>
      <c r="Q635" s="1"/>
      <c r="T635" s="2"/>
      <c r="Z635" s="1"/>
      <c r="AC635" s="3"/>
    </row>
    <row r="636" ht="15.75" customHeight="1">
      <c r="E636" s="1"/>
      <c r="H636" s="1"/>
      <c r="K636" s="1"/>
      <c r="N636" s="1"/>
      <c r="Q636" s="1"/>
      <c r="T636" s="2"/>
      <c r="Z636" s="1"/>
      <c r="AC636" s="3"/>
    </row>
    <row r="637" ht="15.75" customHeight="1">
      <c r="E637" s="1"/>
      <c r="H637" s="1"/>
      <c r="K637" s="1"/>
      <c r="N637" s="1"/>
      <c r="Q637" s="1"/>
      <c r="T637" s="2"/>
      <c r="Z637" s="1"/>
      <c r="AC637" s="3"/>
    </row>
    <row r="638" ht="15.75" customHeight="1">
      <c r="E638" s="1"/>
      <c r="H638" s="1"/>
      <c r="K638" s="1"/>
      <c r="N638" s="1"/>
      <c r="Q638" s="1"/>
      <c r="T638" s="2"/>
      <c r="Z638" s="1"/>
      <c r="AC638" s="3"/>
    </row>
    <row r="639" ht="15.75" customHeight="1">
      <c r="E639" s="1"/>
      <c r="H639" s="1"/>
      <c r="K639" s="1"/>
      <c r="N639" s="1"/>
      <c r="Q639" s="1"/>
      <c r="T639" s="2"/>
      <c r="Z639" s="1"/>
      <c r="AC639" s="3"/>
    </row>
    <row r="640" ht="15.75" customHeight="1">
      <c r="E640" s="1"/>
      <c r="H640" s="1"/>
      <c r="K640" s="1"/>
      <c r="N640" s="1"/>
      <c r="Q640" s="1"/>
      <c r="T640" s="2"/>
      <c r="Z640" s="1"/>
      <c r="AC640" s="3"/>
    </row>
    <row r="641" ht="15.75" customHeight="1">
      <c r="E641" s="1"/>
      <c r="H641" s="1"/>
      <c r="K641" s="1"/>
      <c r="N641" s="1"/>
      <c r="Q641" s="1"/>
      <c r="T641" s="2"/>
      <c r="Z641" s="1"/>
      <c r="AC641" s="3"/>
    </row>
    <row r="642" ht="15.75" customHeight="1">
      <c r="E642" s="1"/>
      <c r="H642" s="1"/>
      <c r="K642" s="1"/>
      <c r="N642" s="1"/>
      <c r="Q642" s="1"/>
      <c r="T642" s="2"/>
      <c r="Z642" s="1"/>
      <c r="AC642" s="3"/>
    </row>
    <row r="643" ht="15.75" customHeight="1">
      <c r="E643" s="1"/>
      <c r="H643" s="1"/>
      <c r="K643" s="1"/>
      <c r="N643" s="1"/>
      <c r="Q643" s="1"/>
      <c r="T643" s="2"/>
      <c r="Z643" s="1"/>
      <c r="AC643" s="3"/>
    </row>
    <row r="644" ht="15.75" customHeight="1">
      <c r="E644" s="1"/>
      <c r="H644" s="1"/>
      <c r="K644" s="1"/>
      <c r="N644" s="1"/>
      <c r="Q644" s="1"/>
      <c r="T644" s="2"/>
      <c r="Z644" s="1"/>
      <c r="AC644" s="3"/>
    </row>
    <row r="645" ht="15.75" customHeight="1">
      <c r="E645" s="1"/>
      <c r="H645" s="1"/>
      <c r="K645" s="1"/>
      <c r="N645" s="1"/>
      <c r="Q645" s="1"/>
      <c r="T645" s="2"/>
      <c r="Z645" s="1"/>
      <c r="AC645" s="3"/>
    </row>
    <row r="646" ht="15.75" customHeight="1">
      <c r="E646" s="1"/>
      <c r="H646" s="1"/>
      <c r="K646" s="1"/>
      <c r="N646" s="1"/>
      <c r="Q646" s="1"/>
      <c r="T646" s="2"/>
      <c r="Z646" s="1"/>
      <c r="AC646" s="3"/>
    </row>
    <row r="647" ht="15.75" customHeight="1">
      <c r="E647" s="1"/>
      <c r="H647" s="1"/>
      <c r="K647" s="1"/>
      <c r="N647" s="1"/>
      <c r="Q647" s="1"/>
      <c r="T647" s="2"/>
      <c r="Z647" s="1"/>
      <c r="AC647" s="3"/>
    </row>
    <row r="648" ht="15.75" customHeight="1">
      <c r="E648" s="1"/>
      <c r="H648" s="1"/>
      <c r="K648" s="1"/>
      <c r="N648" s="1"/>
      <c r="Q648" s="1"/>
      <c r="T648" s="2"/>
      <c r="Z648" s="1"/>
      <c r="AC648" s="3"/>
    </row>
    <row r="649" ht="15.75" customHeight="1">
      <c r="E649" s="1"/>
      <c r="H649" s="1"/>
      <c r="K649" s="1"/>
      <c r="N649" s="1"/>
      <c r="Q649" s="1"/>
      <c r="T649" s="2"/>
      <c r="Z649" s="1"/>
      <c r="AC649" s="3"/>
    </row>
    <row r="650" ht="15.75" customHeight="1">
      <c r="E650" s="1"/>
      <c r="H650" s="1"/>
      <c r="K650" s="1"/>
      <c r="N650" s="1"/>
      <c r="Q650" s="1"/>
      <c r="T650" s="2"/>
      <c r="Z650" s="1"/>
      <c r="AC650" s="3"/>
    </row>
    <row r="651" ht="15.75" customHeight="1">
      <c r="E651" s="1"/>
      <c r="H651" s="1"/>
      <c r="K651" s="1"/>
      <c r="N651" s="1"/>
      <c r="Q651" s="1"/>
      <c r="T651" s="2"/>
      <c r="Z651" s="1"/>
      <c r="AC651" s="3"/>
    </row>
    <row r="652" ht="15.75" customHeight="1">
      <c r="E652" s="1"/>
      <c r="H652" s="1"/>
      <c r="K652" s="1"/>
      <c r="N652" s="1"/>
      <c r="Q652" s="1"/>
      <c r="T652" s="2"/>
      <c r="Z652" s="1"/>
      <c r="AC652" s="3"/>
    </row>
    <row r="653" ht="15.75" customHeight="1">
      <c r="E653" s="1"/>
      <c r="H653" s="1"/>
      <c r="K653" s="1"/>
      <c r="N653" s="1"/>
      <c r="Q653" s="1"/>
      <c r="T653" s="2"/>
      <c r="Z653" s="1"/>
      <c r="AC653" s="3"/>
    </row>
    <row r="654" ht="15.75" customHeight="1">
      <c r="E654" s="1"/>
      <c r="H654" s="1"/>
      <c r="K654" s="1"/>
      <c r="N654" s="1"/>
      <c r="Q654" s="1"/>
      <c r="T654" s="2"/>
      <c r="Z654" s="1"/>
      <c r="AC654" s="3"/>
    </row>
    <row r="655" ht="15.75" customHeight="1">
      <c r="E655" s="1"/>
      <c r="H655" s="1"/>
      <c r="K655" s="1"/>
      <c r="N655" s="1"/>
      <c r="Q655" s="1"/>
      <c r="T655" s="2"/>
      <c r="Z655" s="1"/>
      <c r="AC655" s="3"/>
    </row>
    <row r="656" ht="15.75" customHeight="1">
      <c r="E656" s="1"/>
      <c r="H656" s="1"/>
      <c r="K656" s="1"/>
      <c r="N656" s="1"/>
      <c r="Q656" s="1"/>
      <c r="T656" s="2"/>
      <c r="Z656" s="1"/>
      <c r="AC656" s="3"/>
    </row>
    <row r="657" ht="15.75" customHeight="1">
      <c r="E657" s="1"/>
      <c r="H657" s="1"/>
      <c r="K657" s="1"/>
      <c r="N657" s="1"/>
      <c r="Q657" s="1"/>
      <c r="T657" s="2"/>
      <c r="Z657" s="1"/>
      <c r="AC657" s="3"/>
    </row>
    <row r="658" ht="15.75" customHeight="1">
      <c r="E658" s="1"/>
      <c r="H658" s="1"/>
      <c r="K658" s="1"/>
      <c r="N658" s="1"/>
      <c r="Q658" s="1"/>
      <c r="T658" s="2"/>
      <c r="Z658" s="1"/>
      <c r="AC658" s="3"/>
    </row>
    <row r="659" ht="15.75" customHeight="1">
      <c r="E659" s="1"/>
      <c r="H659" s="1"/>
      <c r="K659" s="1"/>
      <c r="N659" s="1"/>
      <c r="Q659" s="1"/>
      <c r="T659" s="2"/>
      <c r="Z659" s="1"/>
      <c r="AC659" s="3"/>
    </row>
    <row r="660" ht="15.75" customHeight="1">
      <c r="E660" s="1"/>
      <c r="H660" s="1"/>
      <c r="K660" s="1"/>
      <c r="N660" s="1"/>
      <c r="Q660" s="1"/>
      <c r="T660" s="2"/>
      <c r="Z660" s="1"/>
      <c r="AC660" s="3"/>
    </row>
    <row r="661" ht="15.75" customHeight="1">
      <c r="E661" s="1"/>
      <c r="H661" s="1"/>
      <c r="K661" s="1"/>
      <c r="N661" s="1"/>
      <c r="Q661" s="1"/>
      <c r="T661" s="2"/>
      <c r="Z661" s="1"/>
      <c r="AC661" s="3"/>
    </row>
    <row r="662" ht="15.75" customHeight="1">
      <c r="E662" s="1"/>
      <c r="H662" s="1"/>
      <c r="K662" s="1"/>
      <c r="N662" s="1"/>
      <c r="Q662" s="1"/>
      <c r="T662" s="2"/>
      <c r="Z662" s="1"/>
      <c r="AC662" s="3"/>
    </row>
    <row r="663" ht="15.75" customHeight="1">
      <c r="E663" s="1"/>
      <c r="H663" s="1"/>
      <c r="K663" s="1"/>
      <c r="N663" s="1"/>
      <c r="Q663" s="1"/>
      <c r="T663" s="2"/>
      <c r="Z663" s="1"/>
      <c r="AC663" s="3"/>
    </row>
    <row r="664" ht="15.75" customHeight="1">
      <c r="E664" s="1"/>
      <c r="H664" s="1"/>
      <c r="K664" s="1"/>
      <c r="N664" s="1"/>
      <c r="Q664" s="1"/>
      <c r="T664" s="2"/>
      <c r="Z664" s="1"/>
      <c r="AC664" s="3"/>
    </row>
    <row r="665" ht="15.75" customHeight="1">
      <c r="E665" s="1"/>
      <c r="H665" s="1"/>
      <c r="K665" s="1"/>
      <c r="N665" s="1"/>
      <c r="Q665" s="1"/>
      <c r="T665" s="2"/>
      <c r="Z665" s="1"/>
      <c r="AC665" s="3"/>
    </row>
    <row r="666" ht="15.75" customHeight="1">
      <c r="E666" s="1"/>
      <c r="H666" s="1"/>
      <c r="K666" s="1"/>
      <c r="N666" s="1"/>
      <c r="Q666" s="1"/>
      <c r="T666" s="2"/>
      <c r="Z666" s="1"/>
      <c r="AC666" s="3"/>
    </row>
    <row r="667" ht="15.75" customHeight="1">
      <c r="E667" s="1"/>
      <c r="H667" s="1"/>
      <c r="K667" s="1"/>
      <c r="N667" s="1"/>
      <c r="Q667" s="1"/>
      <c r="T667" s="2"/>
      <c r="Z667" s="1"/>
      <c r="AC667" s="3"/>
    </row>
    <row r="668" ht="15.75" customHeight="1">
      <c r="E668" s="1"/>
      <c r="H668" s="1"/>
      <c r="K668" s="1"/>
      <c r="N668" s="1"/>
      <c r="Q668" s="1"/>
      <c r="T668" s="2"/>
      <c r="Z668" s="1"/>
      <c r="AC668" s="3"/>
    </row>
    <row r="669" ht="15.75" customHeight="1">
      <c r="E669" s="1"/>
      <c r="H669" s="1"/>
      <c r="K669" s="1"/>
      <c r="N669" s="1"/>
      <c r="Q669" s="1"/>
      <c r="T669" s="2"/>
      <c r="Z669" s="1"/>
      <c r="AC669" s="3"/>
    </row>
    <row r="670" ht="15.75" customHeight="1">
      <c r="E670" s="1"/>
      <c r="H670" s="1"/>
      <c r="K670" s="1"/>
      <c r="N670" s="1"/>
      <c r="Q670" s="1"/>
      <c r="T670" s="2"/>
      <c r="Z670" s="1"/>
      <c r="AC670" s="3"/>
    </row>
    <row r="671" ht="15.75" customHeight="1">
      <c r="E671" s="1"/>
      <c r="H671" s="1"/>
      <c r="K671" s="1"/>
      <c r="N671" s="1"/>
      <c r="Q671" s="1"/>
      <c r="T671" s="2"/>
      <c r="Z671" s="1"/>
      <c r="AC671" s="3"/>
    </row>
    <row r="672" ht="15.75" customHeight="1">
      <c r="E672" s="1"/>
      <c r="H672" s="1"/>
      <c r="K672" s="1"/>
      <c r="N672" s="1"/>
      <c r="Q672" s="1"/>
      <c r="T672" s="2"/>
      <c r="Z672" s="1"/>
      <c r="AC672" s="3"/>
    </row>
    <row r="673" ht="15.75" customHeight="1">
      <c r="E673" s="1"/>
      <c r="H673" s="1"/>
      <c r="K673" s="1"/>
      <c r="N673" s="1"/>
      <c r="Q673" s="1"/>
      <c r="T673" s="2"/>
      <c r="Z673" s="1"/>
      <c r="AC673" s="3"/>
    </row>
    <row r="674" ht="15.75" customHeight="1">
      <c r="E674" s="1"/>
      <c r="H674" s="1"/>
      <c r="K674" s="1"/>
      <c r="N674" s="1"/>
      <c r="Q674" s="1"/>
      <c r="T674" s="2"/>
      <c r="Z674" s="1"/>
      <c r="AC674" s="3"/>
    </row>
    <row r="675" ht="15.75" customHeight="1">
      <c r="E675" s="1"/>
      <c r="H675" s="1"/>
      <c r="K675" s="1"/>
      <c r="N675" s="1"/>
      <c r="Q675" s="1"/>
      <c r="T675" s="2"/>
      <c r="Z675" s="1"/>
      <c r="AC675" s="3"/>
    </row>
    <row r="676" ht="15.75" customHeight="1">
      <c r="E676" s="1"/>
      <c r="H676" s="1"/>
      <c r="K676" s="1"/>
      <c r="N676" s="1"/>
      <c r="Q676" s="1"/>
      <c r="T676" s="2"/>
      <c r="Z676" s="1"/>
      <c r="AC676" s="3"/>
    </row>
    <row r="677" ht="15.75" customHeight="1">
      <c r="E677" s="1"/>
      <c r="H677" s="1"/>
      <c r="K677" s="1"/>
      <c r="N677" s="1"/>
      <c r="Q677" s="1"/>
      <c r="T677" s="2"/>
      <c r="Z677" s="1"/>
      <c r="AC677" s="3"/>
    </row>
    <row r="678" ht="15.75" customHeight="1">
      <c r="E678" s="1"/>
      <c r="H678" s="1"/>
      <c r="K678" s="1"/>
      <c r="N678" s="1"/>
      <c r="Q678" s="1"/>
      <c r="T678" s="2"/>
      <c r="Z678" s="1"/>
      <c r="AC678" s="3"/>
    </row>
    <row r="679" ht="15.75" customHeight="1">
      <c r="E679" s="1"/>
      <c r="H679" s="1"/>
      <c r="K679" s="1"/>
      <c r="N679" s="1"/>
      <c r="Q679" s="1"/>
      <c r="T679" s="2"/>
      <c r="Z679" s="1"/>
      <c r="AC679" s="3"/>
    </row>
    <row r="680" ht="15.75" customHeight="1">
      <c r="E680" s="1"/>
      <c r="H680" s="1"/>
      <c r="K680" s="1"/>
      <c r="N680" s="1"/>
      <c r="Q680" s="1"/>
      <c r="T680" s="2"/>
      <c r="Z680" s="1"/>
      <c r="AC680" s="3"/>
    </row>
    <row r="681" ht="15.75" customHeight="1">
      <c r="E681" s="1"/>
      <c r="H681" s="1"/>
      <c r="K681" s="1"/>
      <c r="N681" s="1"/>
      <c r="Q681" s="1"/>
      <c r="T681" s="2"/>
      <c r="Z681" s="1"/>
      <c r="AC681" s="3"/>
    </row>
    <row r="682" ht="15.75" customHeight="1">
      <c r="E682" s="1"/>
      <c r="H682" s="1"/>
      <c r="K682" s="1"/>
      <c r="N682" s="1"/>
      <c r="Q682" s="1"/>
      <c r="T682" s="2"/>
      <c r="Z682" s="1"/>
      <c r="AC682" s="3"/>
    </row>
    <row r="683" ht="15.75" customHeight="1">
      <c r="E683" s="1"/>
      <c r="H683" s="1"/>
      <c r="K683" s="1"/>
      <c r="N683" s="1"/>
      <c r="Q683" s="1"/>
      <c r="T683" s="2"/>
      <c r="Z683" s="1"/>
      <c r="AC683" s="3"/>
    </row>
    <row r="684" ht="15.75" customHeight="1">
      <c r="E684" s="1"/>
      <c r="H684" s="1"/>
      <c r="K684" s="1"/>
      <c r="N684" s="1"/>
      <c r="Q684" s="1"/>
      <c r="T684" s="2"/>
      <c r="Z684" s="1"/>
      <c r="AC684" s="3"/>
    </row>
    <row r="685" ht="15.75" customHeight="1">
      <c r="E685" s="1"/>
      <c r="H685" s="1"/>
      <c r="K685" s="1"/>
      <c r="N685" s="1"/>
      <c r="Q685" s="1"/>
      <c r="T685" s="2"/>
      <c r="Z685" s="1"/>
      <c r="AC685" s="3"/>
    </row>
    <row r="686" ht="15.75" customHeight="1">
      <c r="E686" s="1"/>
      <c r="H686" s="1"/>
      <c r="K686" s="1"/>
      <c r="N686" s="1"/>
      <c r="Q686" s="1"/>
      <c r="T686" s="2"/>
      <c r="Z686" s="1"/>
      <c r="AC686" s="3"/>
    </row>
    <row r="687" ht="15.75" customHeight="1">
      <c r="E687" s="1"/>
      <c r="H687" s="1"/>
      <c r="K687" s="1"/>
      <c r="N687" s="1"/>
      <c r="Q687" s="1"/>
      <c r="T687" s="2"/>
      <c r="Z687" s="1"/>
      <c r="AC687" s="3"/>
    </row>
    <row r="688" ht="15.75" customHeight="1">
      <c r="E688" s="1"/>
      <c r="H688" s="1"/>
      <c r="K688" s="1"/>
      <c r="N688" s="1"/>
      <c r="Q688" s="1"/>
      <c r="T688" s="2"/>
      <c r="Z688" s="1"/>
      <c r="AC688" s="3"/>
    </row>
    <row r="689" ht="15.75" customHeight="1">
      <c r="E689" s="1"/>
      <c r="H689" s="1"/>
      <c r="K689" s="1"/>
      <c r="N689" s="1"/>
      <c r="Q689" s="1"/>
      <c r="T689" s="2"/>
      <c r="Z689" s="1"/>
      <c r="AC689" s="3"/>
    </row>
    <row r="690" ht="15.75" customHeight="1">
      <c r="E690" s="1"/>
      <c r="H690" s="1"/>
      <c r="K690" s="1"/>
      <c r="N690" s="1"/>
      <c r="Q690" s="1"/>
      <c r="T690" s="2"/>
      <c r="Z690" s="1"/>
      <c r="AC690" s="3"/>
    </row>
    <row r="691" ht="15.75" customHeight="1">
      <c r="E691" s="1"/>
      <c r="H691" s="1"/>
      <c r="K691" s="1"/>
      <c r="N691" s="1"/>
      <c r="Q691" s="1"/>
      <c r="T691" s="2"/>
      <c r="Z691" s="1"/>
      <c r="AC691" s="3"/>
    </row>
    <row r="692" ht="15.75" customHeight="1">
      <c r="E692" s="1"/>
      <c r="H692" s="1"/>
      <c r="K692" s="1"/>
      <c r="N692" s="1"/>
      <c r="Q692" s="1"/>
      <c r="T692" s="2"/>
      <c r="Z692" s="1"/>
      <c r="AC692" s="3"/>
    </row>
    <row r="693" ht="15.75" customHeight="1">
      <c r="E693" s="1"/>
      <c r="H693" s="1"/>
      <c r="K693" s="1"/>
      <c r="N693" s="1"/>
      <c r="Q693" s="1"/>
      <c r="T693" s="2"/>
      <c r="Z693" s="1"/>
      <c r="AC693" s="3"/>
    </row>
    <row r="694" ht="15.75" customHeight="1">
      <c r="E694" s="1"/>
      <c r="H694" s="1"/>
      <c r="K694" s="1"/>
      <c r="N694" s="1"/>
      <c r="Q694" s="1"/>
      <c r="T694" s="2"/>
      <c r="Z694" s="1"/>
      <c r="AC694" s="3"/>
    </row>
    <row r="695" ht="15.75" customHeight="1">
      <c r="E695" s="1"/>
      <c r="H695" s="1"/>
      <c r="K695" s="1"/>
      <c r="N695" s="1"/>
      <c r="Q695" s="1"/>
      <c r="T695" s="2"/>
      <c r="Z695" s="1"/>
      <c r="AC695" s="3"/>
    </row>
    <row r="696" ht="15.75" customHeight="1">
      <c r="E696" s="1"/>
      <c r="H696" s="1"/>
      <c r="K696" s="1"/>
      <c r="N696" s="1"/>
      <c r="Q696" s="1"/>
      <c r="T696" s="2"/>
      <c r="Z696" s="1"/>
      <c r="AC696" s="3"/>
    </row>
    <row r="697" ht="15.75" customHeight="1">
      <c r="E697" s="1"/>
      <c r="H697" s="1"/>
      <c r="K697" s="1"/>
      <c r="N697" s="1"/>
      <c r="Q697" s="1"/>
      <c r="T697" s="2"/>
      <c r="Z697" s="1"/>
      <c r="AC697" s="3"/>
    </row>
    <row r="698" ht="15.75" customHeight="1">
      <c r="E698" s="1"/>
      <c r="H698" s="1"/>
      <c r="K698" s="1"/>
      <c r="N698" s="1"/>
      <c r="Q698" s="1"/>
      <c r="T698" s="2"/>
      <c r="Z698" s="1"/>
      <c r="AC698" s="3"/>
    </row>
    <row r="699" ht="15.75" customHeight="1">
      <c r="E699" s="1"/>
      <c r="H699" s="1"/>
      <c r="K699" s="1"/>
      <c r="N699" s="1"/>
      <c r="Q699" s="1"/>
      <c r="T699" s="2"/>
      <c r="Z699" s="1"/>
      <c r="AC699" s="3"/>
    </row>
    <row r="700" ht="15.75" customHeight="1">
      <c r="E700" s="1"/>
      <c r="H700" s="1"/>
      <c r="K700" s="1"/>
      <c r="N700" s="1"/>
      <c r="Q700" s="1"/>
      <c r="T700" s="2"/>
      <c r="Z700" s="1"/>
      <c r="AC700" s="3"/>
    </row>
    <row r="701" ht="15.75" customHeight="1">
      <c r="E701" s="1"/>
      <c r="H701" s="1"/>
      <c r="K701" s="1"/>
      <c r="N701" s="1"/>
      <c r="Q701" s="1"/>
      <c r="T701" s="2"/>
      <c r="Z701" s="1"/>
      <c r="AC701" s="3"/>
    </row>
    <row r="702" ht="15.75" customHeight="1">
      <c r="E702" s="1"/>
      <c r="H702" s="1"/>
      <c r="K702" s="1"/>
      <c r="N702" s="1"/>
      <c r="Q702" s="1"/>
      <c r="T702" s="2"/>
      <c r="Z702" s="1"/>
      <c r="AC702" s="3"/>
    </row>
    <row r="703" ht="15.75" customHeight="1">
      <c r="E703" s="1"/>
      <c r="H703" s="1"/>
      <c r="K703" s="1"/>
      <c r="N703" s="1"/>
      <c r="Q703" s="1"/>
      <c r="T703" s="2"/>
      <c r="Z703" s="1"/>
      <c r="AC703" s="3"/>
    </row>
    <row r="704" ht="15.75" customHeight="1">
      <c r="E704" s="1"/>
      <c r="H704" s="1"/>
      <c r="K704" s="1"/>
      <c r="N704" s="1"/>
      <c r="Q704" s="1"/>
      <c r="T704" s="2"/>
      <c r="Z704" s="1"/>
      <c r="AC704" s="3"/>
    </row>
    <row r="705" ht="15.75" customHeight="1">
      <c r="E705" s="1"/>
      <c r="H705" s="1"/>
      <c r="K705" s="1"/>
      <c r="N705" s="1"/>
      <c r="Q705" s="1"/>
      <c r="T705" s="2"/>
      <c r="Z705" s="1"/>
      <c r="AC705" s="3"/>
    </row>
    <row r="706" ht="15.75" customHeight="1">
      <c r="E706" s="1"/>
      <c r="H706" s="1"/>
      <c r="K706" s="1"/>
      <c r="N706" s="1"/>
      <c r="Q706" s="1"/>
      <c r="T706" s="2"/>
      <c r="Z706" s="1"/>
      <c r="AC706" s="3"/>
    </row>
    <row r="707" ht="15.75" customHeight="1">
      <c r="E707" s="1"/>
      <c r="H707" s="1"/>
      <c r="K707" s="1"/>
      <c r="N707" s="1"/>
      <c r="Q707" s="1"/>
      <c r="T707" s="2"/>
      <c r="Z707" s="1"/>
      <c r="AC707" s="3"/>
    </row>
    <row r="708" ht="15.75" customHeight="1">
      <c r="E708" s="1"/>
      <c r="H708" s="1"/>
      <c r="K708" s="1"/>
      <c r="N708" s="1"/>
      <c r="Q708" s="1"/>
      <c r="T708" s="2"/>
      <c r="Z708" s="1"/>
      <c r="AC708" s="3"/>
    </row>
    <row r="709" ht="15.75" customHeight="1">
      <c r="E709" s="1"/>
      <c r="H709" s="1"/>
      <c r="K709" s="1"/>
      <c r="N709" s="1"/>
      <c r="Q709" s="1"/>
      <c r="T709" s="2"/>
      <c r="Z709" s="1"/>
      <c r="AC709" s="3"/>
    </row>
    <row r="710" ht="15.75" customHeight="1">
      <c r="E710" s="1"/>
      <c r="H710" s="1"/>
      <c r="K710" s="1"/>
      <c r="N710" s="1"/>
      <c r="Q710" s="1"/>
      <c r="T710" s="2"/>
      <c r="Z710" s="1"/>
      <c r="AC710" s="3"/>
    </row>
    <row r="711" ht="15.75" customHeight="1">
      <c r="E711" s="1"/>
      <c r="H711" s="1"/>
      <c r="K711" s="1"/>
      <c r="N711" s="1"/>
      <c r="Q711" s="1"/>
      <c r="T711" s="2"/>
      <c r="Z711" s="1"/>
      <c r="AC711" s="3"/>
    </row>
    <row r="712" ht="15.75" customHeight="1">
      <c r="E712" s="1"/>
      <c r="H712" s="1"/>
      <c r="K712" s="1"/>
      <c r="N712" s="1"/>
      <c r="Q712" s="1"/>
      <c r="T712" s="2"/>
      <c r="Z712" s="1"/>
      <c r="AC712" s="3"/>
    </row>
    <row r="713" ht="15.75" customHeight="1">
      <c r="E713" s="1"/>
      <c r="H713" s="1"/>
      <c r="K713" s="1"/>
      <c r="N713" s="1"/>
      <c r="Q713" s="1"/>
      <c r="T713" s="2"/>
      <c r="Z713" s="1"/>
      <c r="AC713" s="3"/>
    </row>
    <row r="714" ht="15.75" customHeight="1">
      <c r="E714" s="1"/>
      <c r="H714" s="1"/>
      <c r="K714" s="1"/>
      <c r="N714" s="1"/>
      <c r="Q714" s="1"/>
      <c r="T714" s="2"/>
      <c r="Z714" s="1"/>
      <c r="AC714" s="3"/>
    </row>
    <row r="715" ht="15.75" customHeight="1">
      <c r="E715" s="1"/>
      <c r="H715" s="1"/>
      <c r="K715" s="1"/>
      <c r="N715" s="1"/>
      <c r="Q715" s="1"/>
      <c r="T715" s="2"/>
      <c r="Z715" s="1"/>
      <c r="AC715" s="3"/>
    </row>
    <row r="716" ht="15.75" customHeight="1">
      <c r="E716" s="1"/>
      <c r="H716" s="1"/>
      <c r="K716" s="1"/>
      <c r="N716" s="1"/>
      <c r="Q716" s="1"/>
      <c r="T716" s="2"/>
      <c r="Z716" s="1"/>
      <c r="AC716" s="3"/>
    </row>
    <row r="717" ht="15.75" customHeight="1">
      <c r="E717" s="1"/>
      <c r="H717" s="1"/>
      <c r="K717" s="1"/>
      <c r="N717" s="1"/>
      <c r="Q717" s="1"/>
      <c r="T717" s="2"/>
      <c r="Z717" s="1"/>
      <c r="AC717" s="3"/>
    </row>
    <row r="718" ht="15.75" customHeight="1">
      <c r="E718" s="1"/>
      <c r="H718" s="1"/>
      <c r="K718" s="1"/>
      <c r="N718" s="1"/>
      <c r="Q718" s="1"/>
      <c r="T718" s="2"/>
      <c r="Z718" s="1"/>
      <c r="AC718" s="3"/>
    </row>
    <row r="719" ht="15.75" customHeight="1">
      <c r="E719" s="1"/>
      <c r="H719" s="1"/>
      <c r="K719" s="1"/>
      <c r="N719" s="1"/>
      <c r="Q719" s="1"/>
      <c r="T719" s="2"/>
      <c r="Z719" s="1"/>
      <c r="AC719" s="3"/>
    </row>
    <row r="720" ht="15.75" customHeight="1">
      <c r="E720" s="1"/>
      <c r="H720" s="1"/>
      <c r="K720" s="1"/>
      <c r="N720" s="1"/>
      <c r="Q720" s="1"/>
      <c r="T720" s="2"/>
      <c r="Z720" s="1"/>
      <c r="AC720" s="3"/>
    </row>
    <row r="721" ht="15.75" customHeight="1">
      <c r="E721" s="1"/>
      <c r="H721" s="1"/>
      <c r="K721" s="1"/>
      <c r="N721" s="1"/>
      <c r="Q721" s="1"/>
      <c r="T721" s="2"/>
      <c r="Z721" s="1"/>
      <c r="AC721" s="3"/>
    </row>
    <row r="722" ht="15.75" customHeight="1">
      <c r="E722" s="1"/>
      <c r="H722" s="1"/>
      <c r="K722" s="1"/>
      <c r="N722" s="1"/>
      <c r="Q722" s="1"/>
      <c r="T722" s="2"/>
      <c r="Z722" s="1"/>
      <c r="AC722" s="3"/>
    </row>
    <row r="723" ht="15.75" customHeight="1">
      <c r="E723" s="1"/>
      <c r="H723" s="1"/>
      <c r="K723" s="1"/>
      <c r="N723" s="1"/>
      <c r="Q723" s="1"/>
      <c r="T723" s="2"/>
      <c r="Z723" s="1"/>
      <c r="AC723" s="3"/>
    </row>
    <row r="724" ht="15.75" customHeight="1">
      <c r="E724" s="1"/>
      <c r="H724" s="1"/>
      <c r="K724" s="1"/>
      <c r="N724" s="1"/>
      <c r="Q724" s="1"/>
      <c r="T724" s="2"/>
      <c r="Z724" s="1"/>
      <c r="AC724" s="3"/>
    </row>
    <row r="725" ht="15.75" customHeight="1">
      <c r="E725" s="1"/>
      <c r="H725" s="1"/>
      <c r="K725" s="1"/>
      <c r="N725" s="1"/>
      <c r="Q725" s="1"/>
      <c r="T725" s="2"/>
      <c r="Z725" s="1"/>
      <c r="AC725" s="3"/>
    </row>
    <row r="726" ht="15.75" customHeight="1">
      <c r="E726" s="1"/>
      <c r="H726" s="1"/>
      <c r="K726" s="1"/>
      <c r="N726" s="1"/>
      <c r="Q726" s="1"/>
      <c r="T726" s="2"/>
      <c r="Z726" s="1"/>
      <c r="AC726" s="3"/>
    </row>
    <row r="727" ht="15.75" customHeight="1">
      <c r="E727" s="1"/>
      <c r="H727" s="1"/>
      <c r="K727" s="1"/>
      <c r="N727" s="1"/>
      <c r="Q727" s="1"/>
      <c r="T727" s="2"/>
      <c r="Z727" s="1"/>
      <c r="AC727" s="3"/>
    </row>
    <row r="728" ht="15.75" customHeight="1">
      <c r="E728" s="1"/>
      <c r="H728" s="1"/>
      <c r="K728" s="1"/>
      <c r="N728" s="1"/>
      <c r="Q728" s="1"/>
      <c r="T728" s="2"/>
      <c r="Z728" s="1"/>
      <c r="AC728" s="3"/>
    </row>
    <row r="729" ht="15.75" customHeight="1">
      <c r="E729" s="1"/>
      <c r="H729" s="1"/>
      <c r="K729" s="1"/>
      <c r="N729" s="1"/>
      <c r="Q729" s="1"/>
      <c r="T729" s="2"/>
      <c r="Z729" s="1"/>
      <c r="AC729" s="3"/>
    </row>
    <row r="730" ht="15.75" customHeight="1">
      <c r="E730" s="1"/>
      <c r="H730" s="1"/>
      <c r="K730" s="1"/>
      <c r="N730" s="1"/>
      <c r="Q730" s="1"/>
      <c r="T730" s="2"/>
      <c r="Z730" s="1"/>
      <c r="AC730" s="3"/>
    </row>
    <row r="731" ht="15.75" customHeight="1">
      <c r="E731" s="1"/>
      <c r="H731" s="1"/>
      <c r="K731" s="1"/>
      <c r="N731" s="1"/>
      <c r="Q731" s="1"/>
      <c r="T731" s="2"/>
      <c r="Z731" s="1"/>
      <c r="AC731" s="3"/>
    </row>
    <row r="732" ht="15.75" customHeight="1">
      <c r="E732" s="1"/>
      <c r="H732" s="1"/>
      <c r="K732" s="1"/>
      <c r="N732" s="1"/>
      <c r="Q732" s="1"/>
      <c r="T732" s="2"/>
      <c r="Z732" s="1"/>
      <c r="AC732" s="3"/>
    </row>
    <row r="733" ht="15.75" customHeight="1">
      <c r="E733" s="1"/>
      <c r="H733" s="1"/>
      <c r="K733" s="1"/>
      <c r="N733" s="1"/>
      <c r="Q733" s="1"/>
      <c r="T733" s="2"/>
      <c r="Z733" s="1"/>
      <c r="AC733" s="3"/>
    </row>
    <row r="734" ht="15.75" customHeight="1">
      <c r="E734" s="1"/>
      <c r="H734" s="1"/>
      <c r="K734" s="1"/>
      <c r="N734" s="1"/>
      <c r="Q734" s="1"/>
      <c r="T734" s="2"/>
      <c r="Z734" s="1"/>
      <c r="AC734" s="3"/>
    </row>
    <row r="735" ht="15.75" customHeight="1">
      <c r="E735" s="1"/>
      <c r="H735" s="1"/>
      <c r="K735" s="1"/>
      <c r="N735" s="1"/>
      <c r="Q735" s="1"/>
      <c r="T735" s="2"/>
      <c r="Z735" s="1"/>
      <c r="AC735" s="3"/>
    </row>
    <row r="736" ht="15.75" customHeight="1">
      <c r="E736" s="1"/>
      <c r="H736" s="1"/>
      <c r="K736" s="1"/>
      <c r="N736" s="1"/>
      <c r="Q736" s="1"/>
      <c r="T736" s="2"/>
      <c r="Z736" s="1"/>
      <c r="AC736" s="3"/>
    </row>
    <row r="737" ht="15.75" customHeight="1">
      <c r="E737" s="1"/>
      <c r="H737" s="1"/>
      <c r="K737" s="1"/>
      <c r="N737" s="1"/>
      <c r="Q737" s="1"/>
      <c r="T737" s="2"/>
      <c r="Z737" s="1"/>
      <c r="AC737" s="3"/>
    </row>
    <row r="738" ht="15.75" customHeight="1">
      <c r="E738" s="1"/>
      <c r="H738" s="1"/>
      <c r="K738" s="1"/>
      <c r="N738" s="1"/>
      <c r="Q738" s="1"/>
      <c r="T738" s="2"/>
      <c r="Z738" s="1"/>
      <c r="AC738" s="3"/>
    </row>
    <row r="739" ht="15.75" customHeight="1">
      <c r="E739" s="1"/>
      <c r="H739" s="1"/>
      <c r="K739" s="1"/>
      <c r="N739" s="1"/>
      <c r="Q739" s="1"/>
      <c r="T739" s="2"/>
      <c r="Z739" s="1"/>
      <c r="AC739" s="3"/>
    </row>
    <row r="740" ht="15.75" customHeight="1">
      <c r="E740" s="1"/>
      <c r="H740" s="1"/>
      <c r="K740" s="1"/>
      <c r="N740" s="1"/>
      <c r="Q740" s="1"/>
      <c r="T740" s="2"/>
      <c r="Z740" s="1"/>
      <c r="AC740" s="3"/>
    </row>
    <row r="741" ht="15.75" customHeight="1">
      <c r="E741" s="1"/>
      <c r="H741" s="1"/>
      <c r="K741" s="1"/>
      <c r="N741" s="1"/>
      <c r="Q741" s="1"/>
      <c r="T741" s="2"/>
      <c r="Z741" s="1"/>
      <c r="AC741" s="3"/>
    </row>
    <row r="742" ht="15.75" customHeight="1">
      <c r="E742" s="1"/>
      <c r="H742" s="1"/>
      <c r="K742" s="1"/>
      <c r="N742" s="1"/>
      <c r="Q742" s="1"/>
      <c r="T742" s="2"/>
      <c r="Z742" s="1"/>
      <c r="AC742" s="3"/>
    </row>
    <row r="743" ht="15.75" customHeight="1">
      <c r="E743" s="1"/>
      <c r="H743" s="1"/>
      <c r="K743" s="1"/>
      <c r="N743" s="1"/>
      <c r="Q743" s="1"/>
      <c r="T743" s="2"/>
      <c r="Z743" s="1"/>
      <c r="AC743" s="3"/>
    </row>
    <row r="744" ht="15.75" customHeight="1">
      <c r="E744" s="1"/>
      <c r="H744" s="1"/>
      <c r="K744" s="1"/>
      <c r="N744" s="1"/>
      <c r="Q744" s="1"/>
      <c r="T744" s="2"/>
      <c r="Z744" s="1"/>
      <c r="AC744" s="3"/>
    </row>
    <row r="745" ht="15.75" customHeight="1">
      <c r="E745" s="1"/>
      <c r="H745" s="1"/>
      <c r="K745" s="1"/>
      <c r="N745" s="1"/>
      <c r="Q745" s="1"/>
      <c r="T745" s="2"/>
      <c r="Z745" s="1"/>
      <c r="AC745" s="3"/>
    </row>
    <row r="746" ht="15.75" customHeight="1">
      <c r="E746" s="1"/>
      <c r="H746" s="1"/>
      <c r="K746" s="1"/>
      <c r="N746" s="1"/>
      <c r="Q746" s="1"/>
      <c r="T746" s="2"/>
      <c r="Z746" s="1"/>
      <c r="AC746" s="3"/>
    </row>
    <row r="747" ht="15.75" customHeight="1">
      <c r="E747" s="1"/>
      <c r="H747" s="1"/>
      <c r="K747" s="1"/>
      <c r="N747" s="1"/>
      <c r="Q747" s="1"/>
      <c r="T747" s="2"/>
      <c r="Z747" s="1"/>
      <c r="AC747" s="3"/>
    </row>
    <row r="748" ht="15.75" customHeight="1">
      <c r="E748" s="1"/>
      <c r="H748" s="1"/>
      <c r="K748" s="1"/>
      <c r="N748" s="1"/>
      <c r="Q748" s="1"/>
      <c r="T748" s="2"/>
      <c r="Z748" s="1"/>
      <c r="AC748" s="3"/>
    </row>
    <row r="749" ht="15.75" customHeight="1">
      <c r="E749" s="1"/>
      <c r="H749" s="1"/>
      <c r="K749" s="1"/>
      <c r="N749" s="1"/>
      <c r="Q749" s="1"/>
      <c r="T749" s="2"/>
      <c r="Z749" s="1"/>
      <c r="AC749" s="3"/>
    </row>
    <row r="750" ht="15.75" customHeight="1">
      <c r="E750" s="1"/>
      <c r="H750" s="1"/>
      <c r="K750" s="1"/>
      <c r="N750" s="1"/>
      <c r="Q750" s="1"/>
      <c r="T750" s="2"/>
      <c r="Z750" s="1"/>
      <c r="AC750" s="3"/>
    </row>
    <row r="751" ht="15.75" customHeight="1">
      <c r="E751" s="1"/>
      <c r="H751" s="1"/>
      <c r="K751" s="1"/>
      <c r="N751" s="1"/>
      <c r="Q751" s="1"/>
      <c r="T751" s="2"/>
      <c r="Z751" s="1"/>
      <c r="AC751" s="3"/>
    </row>
    <row r="752" ht="15.75" customHeight="1">
      <c r="E752" s="1"/>
      <c r="H752" s="1"/>
      <c r="K752" s="1"/>
      <c r="N752" s="1"/>
      <c r="Q752" s="1"/>
      <c r="T752" s="2"/>
      <c r="Z752" s="1"/>
      <c r="AC752" s="3"/>
    </row>
    <row r="753" ht="15.75" customHeight="1">
      <c r="E753" s="1"/>
      <c r="H753" s="1"/>
      <c r="K753" s="1"/>
      <c r="N753" s="1"/>
      <c r="Q753" s="1"/>
      <c r="T753" s="2"/>
      <c r="Z753" s="1"/>
      <c r="AC753" s="3"/>
    </row>
    <row r="754" ht="15.75" customHeight="1">
      <c r="E754" s="1"/>
      <c r="H754" s="1"/>
      <c r="K754" s="1"/>
      <c r="N754" s="1"/>
      <c r="Q754" s="1"/>
      <c r="T754" s="2"/>
      <c r="Z754" s="1"/>
      <c r="AC754" s="3"/>
    </row>
    <row r="755" ht="15.75" customHeight="1">
      <c r="E755" s="1"/>
      <c r="H755" s="1"/>
      <c r="K755" s="1"/>
      <c r="N755" s="1"/>
      <c r="Q755" s="1"/>
      <c r="T755" s="2"/>
      <c r="Z755" s="1"/>
      <c r="AC755" s="3"/>
    </row>
    <row r="756" ht="15.75" customHeight="1">
      <c r="E756" s="1"/>
      <c r="H756" s="1"/>
      <c r="K756" s="1"/>
      <c r="N756" s="1"/>
      <c r="Q756" s="1"/>
      <c r="T756" s="2"/>
      <c r="Z756" s="1"/>
      <c r="AC756" s="3"/>
    </row>
    <row r="757" ht="15.75" customHeight="1">
      <c r="E757" s="1"/>
      <c r="H757" s="1"/>
      <c r="K757" s="1"/>
      <c r="N757" s="1"/>
      <c r="Q757" s="1"/>
      <c r="T757" s="2"/>
      <c r="Z757" s="1"/>
      <c r="AC757" s="3"/>
    </row>
    <row r="758" ht="15.75" customHeight="1">
      <c r="E758" s="1"/>
      <c r="H758" s="1"/>
      <c r="K758" s="1"/>
      <c r="N758" s="1"/>
      <c r="Q758" s="1"/>
      <c r="T758" s="2"/>
      <c r="Z758" s="1"/>
      <c r="AC758" s="3"/>
    </row>
    <row r="759" ht="15.75" customHeight="1">
      <c r="E759" s="1"/>
      <c r="H759" s="1"/>
      <c r="K759" s="1"/>
      <c r="N759" s="1"/>
      <c r="Q759" s="1"/>
      <c r="T759" s="2"/>
      <c r="Z759" s="1"/>
      <c r="AC759" s="3"/>
    </row>
    <row r="760" ht="15.75" customHeight="1">
      <c r="E760" s="1"/>
      <c r="H760" s="1"/>
      <c r="K760" s="1"/>
      <c r="N760" s="1"/>
      <c r="Q760" s="1"/>
      <c r="T760" s="2"/>
      <c r="Z760" s="1"/>
      <c r="AC760" s="3"/>
    </row>
    <row r="761" ht="15.75" customHeight="1">
      <c r="E761" s="1"/>
      <c r="H761" s="1"/>
      <c r="K761" s="1"/>
      <c r="N761" s="1"/>
      <c r="Q761" s="1"/>
      <c r="T761" s="2"/>
      <c r="Z761" s="1"/>
      <c r="AC761" s="3"/>
    </row>
    <row r="762" ht="15.75" customHeight="1">
      <c r="E762" s="1"/>
      <c r="H762" s="1"/>
      <c r="K762" s="1"/>
      <c r="N762" s="1"/>
      <c r="Q762" s="1"/>
      <c r="T762" s="2"/>
      <c r="Z762" s="1"/>
      <c r="AC762" s="3"/>
    </row>
    <row r="763" ht="15.75" customHeight="1">
      <c r="E763" s="1"/>
      <c r="H763" s="1"/>
      <c r="K763" s="1"/>
      <c r="N763" s="1"/>
      <c r="Q763" s="1"/>
      <c r="T763" s="2"/>
      <c r="Z763" s="1"/>
      <c r="AC763" s="3"/>
    </row>
    <row r="764" ht="15.75" customHeight="1">
      <c r="E764" s="1"/>
      <c r="H764" s="1"/>
      <c r="K764" s="1"/>
      <c r="N764" s="1"/>
      <c r="Q764" s="1"/>
      <c r="T764" s="2"/>
      <c r="Z764" s="1"/>
      <c r="AC764" s="3"/>
    </row>
    <row r="765" ht="15.75" customHeight="1">
      <c r="E765" s="1"/>
      <c r="H765" s="1"/>
      <c r="K765" s="1"/>
      <c r="N765" s="1"/>
      <c r="Q765" s="1"/>
      <c r="T765" s="2"/>
      <c r="Z765" s="1"/>
      <c r="AC765" s="3"/>
    </row>
    <row r="766" ht="15.75" customHeight="1">
      <c r="E766" s="1"/>
      <c r="H766" s="1"/>
      <c r="K766" s="1"/>
      <c r="N766" s="1"/>
      <c r="Q766" s="1"/>
      <c r="T766" s="2"/>
      <c r="Z766" s="1"/>
      <c r="AC766" s="3"/>
    </row>
    <row r="767" ht="15.75" customHeight="1">
      <c r="E767" s="1"/>
      <c r="H767" s="1"/>
      <c r="K767" s="1"/>
      <c r="N767" s="1"/>
      <c r="Q767" s="1"/>
      <c r="T767" s="2"/>
      <c r="Z767" s="1"/>
      <c r="AC767" s="3"/>
    </row>
    <row r="768" ht="15.75" customHeight="1">
      <c r="E768" s="1"/>
      <c r="H768" s="1"/>
      <c r="K768" s="1"/>
      <c r="N768" s="1"/>
      <c r="Q768" s="1"/>
      <c r="T768" s="2"/>
      <c r="Z768" s="1"/>
      <c r="AC768" s="3"/>
    </row>
    <row r="769" ht="15.75" customHeight="1">
      <c r="E769" s="1"/>
      <c r="H769" s="1"/>
      <c r="K769" s="1"/>
      <c r="N769" s="1"/>
      <c r="Q769" s="1"/>
      <c r="T769" s="2"/>
      <c r="Z769" s="1"/>
      <c r="AC769" s="3"/>
    </row>
    <row r="770" ht="15.75" customHeight="1">
      <c r="E770" s="1"/>
      <c r="H770" s="1"/>
      <c r="K770" s="1"/>
      <c r="N770" s="1"/>
      <c r="Q770" s="1"/>
      <c r="T770" s="2"/>
      <c r="Z770" s="1"/>
      <c r="AC770" s="3"/>
    </row>
    <row r="771" ht="15.75" customHeight="1">
      <c r="E771" s="1"/>
      <c r="H771" s="1"/>
      <c r="K771" s="1"/>
      <c r="N771" s="1"/>
      <c r="Q771" s="1"/>
      <c r="T771" s="2"/>
      <c r="Z771" s="1"/>
      <c r="AC771" s="3"/>
    </row>
    <row r="772" ht="15.75" customHeight="1">
      <c r="E772" s="1"/>
      <c r="H772" s="1"/>
      <c r="K772" s="1"/>
      <c r="N772" s="1"/>
      <c r="Q772" s="1"/>
      <c r="T772" s="2"/>
      <c r="Z772" s="1"/>
      <c r="AC772" s="3"/>
    </row>
    <row r="773" ht="15.75" customHeight="1">
      <c r="E773" s="1"/>
      <c r="H773" s="1"/>
      <c r="K773" s="1"/>
      <c r="N773" s="1"/>
      <c r="Q773" s="1"/>
      <c r="T773" s="2"/>
      <c r="Z773" s="1"/>
      <c r="AC773" s="3"/>
    </row>
    <row r="774" ht="15.75" customHeight="1">
      <c r="E774" s="1"/>
      <c r="H774" s="1"/>
      <c r="K774" s="1"/>
      <c r="N774" s="1"/>
      <c r="Q774" s="1"/>
      <c r="T774" s="2"/>
      <c r="Z774" s="1"/>
      <c r="AC774" s="3"/>
    </row>
    <row r="775" ht="15.75" customHeight="1">
      <c r="E775" s="1"/>
      <c r="H775" s="1"/>
      <c r="K775" s="1"/>
      <c r="N775" s="1"/>
      <c r="Q775" s="1"/>
      <c r="T775" s="2"/>
      <c r="Z775" s="1"/>
      <c r="AC775" s="3"/>
    </row>
    <row r="776" ht="15.75" customHeight="1">
      <c r="E776" s="1"/>
      <c r="H776" s="1"/>
      <c r="K776" s="1"/>
      <c r="N776" s="1"/>
      <c r="Q776" s="1"/>
      <c r="T776" s="2"/>
      <c r="Z776" s="1"/>
      <c r="AC776" s="3"/>
    </row>
    <row r="777" ht="15.75" customHeight="1">
      <c r="E777" s="1"/>
      <c r="H777" s="1"/>
      <c r="K777" s="1"/>
      <c r="N777" s="1"/>
      <c r="Q777" s="1"/>
      <c r="T777" s="2"/>
      <c r="Z777" s="1"/>
      <c r="AC777" s="3"/>
    </row>
    <row r="778" ht="15.75" customHeight="1">
      <c r="E778" s="1"/>
      <c r="H778" s="1"/>
      <c r="K778" s="1"/>
      <c r="N778" s="1"/>
      <c r="Q778" s="1"/>
      <c r="T778" s="2"/>
      <c r="Z778" s="1"/>
      <c r="AC778" s="3"/>
    </row>
    <row r="779" ht="15.75" customHeight="1">
      <c r="E779" s="1"/>
      <c r="H779" s="1"/>
      <c r="K779" s="1"/>
      <c r="N779" s="1"/>
      <c r="Q779" s="1"/>
      <c r="T779" s="2"/>
      <c r="Z779" s="1"/>
      <c r="AC779" s="3"/>
    </row>
    <row r="780" ht="15.75" customHeight="1">
      <c r="E780" s="1"/>
      <c r="H780" s="1"/>
      <c r="K780" s="1"/>
      <c r="N780" s="1"/>
      <c r="Q780" s="1"/>
      <c r="T780" s="2"/>
      <c r="Z780" s="1"/>
      <c r="AC780" s="3"/>
    </row>
    <row r="781" ht="15.75" customHeight="1">
      <c r="E781" s="1"/>
      <c r="H781" s="1"/>
      <c r="K781" s="1"/>
      <c r="N781" s="1"/>
      <c r="Q781" s="1"/>
      <c r="T781" s="2"/>
      <c r="Z781" s="1"/>
      <c r="AC781" s="3"/>
    </row>
    <row r="782" ht="15.75" customHeight="1">
      <c r="E782" s="1"/>
      <c r="H782" s="1"/>
      <c r="K782" s="1"/>
      <c r="N782" s="1"/>
      <c r="Q782" s="1"/>
      <c r="T782" s="2"/>
      <c r="Z782" s="1"/>
      <c r="AC782" s="3"/>
    </row>
    <row r="783" ht="15.75" customHeight="1">
      <c r="E783" s="1"/>
      <c r="H783" s="1"/>
      <c r="K783" s="1"/>
      <c r="N783" s="1"/>
      <c r="Q783" s="1"/>
      <c r="T783" s="2"/>
      <c r="Z783" s="1"/>
      <c r="AC783" s="3"/>
    </row>
    <row r="784" ht="15.75" customHeight="1">
      <c r="E784" s="1"/>
      <c r="H784" s="1"/>
      <c r="K784" s="1"/>
      <c r="N784" s="1"/>
      <c r="Q784" s="1"/>
      <c r="T784" s="2"/>
      <c r="Z784" s="1"/>
      <c r="AC784" s="3"/>
    </row>
    <row r="785" ht="15.75" customHeight="1">
      <c r="E785" s="1"/>
      <c r="H785" s="1"/>
      <c r="K785" s="1"/>
      <c r="N785" s="1"/>
      <c r="Q785" s="1"/>
      <c r="T785" s="2"/>
      <c r="Z785" s="1"/>
      <c r="AC785" s="3"/>
    </row>
    <row r="786" ht="15.75" customHeight="1">
      <c r="E786" s="1"/>
      <c r="H786" s="1"/>
      <c r="K786" s="1"/>
      <c r="N786" s="1"/>
      <c r="Q786" s="1"/>
      <c r="T786" s="2"/>
      <c r="Z786" s="1"/>
      <c r="AC786" s="3"/>
    </row>
    <row r="787" ht="15.75" customHeight="1">
      <c r="E787" s="1"/>
      <c r="H787" s="1"/>
      <c r="K787" s="1"/>
      <c r="N787" s="1"/>
      <c r="Q787" s="1"/>
      <c r="T787" s="2"/>
      <c r="Z787" s="1"/>
      <c r="AC787" s="3"/>
    </row>
    <row r="788" ht="15.75" customHeight="1">
      <c r="E788" s="1"/>
      <c r="H788" s="1"/>
      <c r="K788" s="1"/>
      <c r="N788" s="1"/>
      <c r="Q788" s="1"/>
      <c r="T788" s="2"/>
      <c r="Z788" s="1"/>
      <c r="AC788" s="3"/>
    </row>
    <row r="789" ht="15.75" customHeight="1">
      <c r="E789" s="1"/>
      <c r="H789" s="1"/>
      <c r="K789" s="1"/>
      <c r="N789" s="1"/>
      <c r="Q789" s="1"/>
      <c r="T789" s="2"/>
      <c r="Z789" s="1"/>
      <c r="AC789" s="3"/>
    </row>
    <row r="790" ht="15.75" customHeight="1">
      <c r="E790" s="1"/>
      <c r="H790" s="1"/>
      <c r="K790" s="1"/>
      <c r="N790" s="1"/>
      <c r="Q790" s="1"/>
      <c r="T790" s="2"/>
      <c r="Z790" s="1"/>
      <c r="AC790" s="3"/>
    </row>
    <row r="791" ht="15.75" customHeight="1">
      <c r="E791" s="1"/>
      <c r="H791" s="1"/>
      <c r="K791" s="1"/>
      <c r="N791" s="1"/>
      <c r="Q791" s="1"/>
      <c r="T791" s="2"/>
      <c r="Z791" s="1"/>
      <c r="AC791" s="3"/>
    </row>
    <row r="792" ht="15.75" customHeight="1">
      <c r="E792" s="1"/>
      <c r="H792" s="1"/>
      <c r="K792" s="1"/>
      <c r="N792" s="1"/>
      <c r="Q792" s="1"/>
      <c r="T792" s="2"/>
      <c r="Z792" s="1"/>
      <c r="AC792" s="3"/>
    </row>
    <row r="793" ht="15.75" customHeight="1">
      <c r="E793" s="1"/>
      <c r="H793" s="1"/>
      <c r="K793" s="1"/>
      <c r="N793" s="1"/>
      <c r="Q793" s="1"/>
      <c r="T793" s="2"/>
      <c r="Z793" s="1"/>
      <c r="AC793" s="3"/>
    </row>
    <row r="794" ht="15.75" customHeight="1">
      <c r="E794" s="1"/>
      <c r="H794" s="1"/>
      <c r="K794" s="1"/>
      <c r="N794" s="1"/>
      <c r="Q794" s="1"/>
      <c r="T794" s="2"/>
      <c r="Z794" s="1"/>
      <c r="AC794" s="3"/>
    </row>
    <row r="795" ht="15.75" customHeight="1">
      <c r="E795" s="1"/>
      <c r="H795" s="1"/>
      <c r="K795" s="1"/>
      <c r="N795" s="1"/>
      <c r="Q795" s="1"/>
      <c r="T795" s="2"/>
      <c r="Z795" s="1"/>
      <c r="AC795" s="3"/>
    </row>
    <row r="796" ht="15.75" customHeight="1">
      <c r="E796" s="1"/>
      <c r="H796" s="1"/>
      <c r="K796" s="1"/>
      <c r="N796" s="1"/>
      <c r="Q796" s="1"/>
      <c r="T796" s="2"/>
      <c r="Z796" s="1"/>
      <c r="AC796" s="3"/>
    </row>
    <row r="797" ht="15.75" customHeight="1">
      <c r="E797" s="1"/>
      <c r="H797" s="1"/>
      <c r="K797" s="1"/>
      <c r="N797" s="1"/>
      <c r="Q797" s="1"/>
      <c r="T797" s="2"/>
      <c r="Z797" s="1"/>
      <c r="AC797" s="3"/>
    </row>
    <row r="798" ht="15.75" customHeight="1">
      <c r="E798" s="1"/>
      <c r="H798" s="1"/>
      <c r="K798" s="1"/>
      <c r="N798" s="1"/>
      <c r="Q798" s="1"/>
      <c r="T798" s="2"/>
      <c r="Z798" s="1"/>
      <c r="AC798" s="3"/>
    </row>
    <row r="799" ht="15.75" customHeight="1">
      <c r="E799" s="1"/>
      <c r="H799" s="1"/>
      <c r="K799" s="1"/>
      <c r="N799" s="1"/>
      <c r="Q799" s="1"/>
      <c r="T799" s="2"/>
      <c r="Z799" s="1"/>
      <c r="AC799" s="3"/>
    </row>
    <row r="800" ht="15.75" customHeight="1">
      <c r="E800" s="1"/>
      <c r="H800" s="1"/>
      <c r="K800" s="1"/>
      <c r="N800" s="1"/>
      <c r="Q800" s="1"/>
      <c r="T800" s="2"/>
      <c r="Z800" s="1"/>
      <c r="AC800" s="3"/>
    </row>
    <row r="801" ht="15.75" customHeight="1">
      <c r="E801" s="1"/>
      <c r="H801" s="1"/>
      <c r="K801" s="1"/>
      <c r="N801" s="1"/>
      <c r="Q801" s="1"/>
      <c r="T801" s="2"/>
      <c r="Z801" s="1"/>
      <c r="AC801" s="3"/>
    </row>
    <row r="802" ht="15.75" customHeight="1">
      <c r="E802" s="1"/>
      <c r="H802" s="1"/>
      <c r="K802" s="1"/>
      <c r="N802" s="1"/>
      <c r="Q802" s="1"/>
      <c r="T802" s="2"/>
      <c r="Z802" s="1"/>
      <c r="AC802" s="3"/>
    </row>
    <row r="803" ht="15.75" customHeight="1">
      <c r="E803" s="1"/>
      <c r="H803" s="1"/>
      <c r="K803" s="1"/>
      <c r="N803" s="1"/>
      <c r="Q803" s="1"/>
      <c r="T803" s="2"/>
      <c r="Z803" s="1"/>
      <c r="AC803" s="3"/>
    </row>
    <row r="804" ht="15.75" customHeight="1">
      <c r="E804" s="1"/>
      <c r="H804" s="1"/>
      <c r="K804" s="1"/>
      <c r="N804" s="1"/>
      <c r="Q804" s="1"/>
      <c r="T804" s="2"/>
      <c r="Z804" s="1"/>
      <c r="AC804" s="3"/>
    </row>
    <row r="805" ht="15.75" customHeight="1">
      <c r="E805" s="1"/>
      <c r="H805" s="1"/>
      <c r="K805" s="1"/>
      <c r="N805" s="1"/>
      <c r="Q805" s="1"/>
      <c r="T805" s="2"/>
      <c r="Z805" s="1"/>
      <c r="AC805" s="3"/>
    </row>
    <row r="806" ht="15.75" customHeight="1">
      <c r="E806" s="1"/>
      <c r="H806" s="1"/>
      <c r="K806" s="1"/>
      <c r="N806" s="1"/>
      <c r="Q806" s="1"/>
      <c r="T806" s="2"/>
      <c r="Z806" s="1"/>
      <c r="AC806" s="3"/>
    </row>
    <row r="807" ht="15.75" customHeight="1">
      <c r="E807" s="1"/>
      <c r="H807" s="1"/>
      <c r="K807" s="1"/>
      <c r="N807" s="1"/>
      <c r="Q807" s="1"/>
      <c r="T807" s="2"/>
      <c r="Z807" s="1"/>
      <c r="AC807" s="3"/>
    </row>
    <row r="808" ht="15.75" customHeight="1">
      <c r="E808" s="1"/>
      <c r="H808" s="1"/>
      <c r="K808" s="1"/>
      <c r="N808" s="1"/>
      <c r="Q808" s="1"/>
      <c r="T808" s="2"/>
      <c r="Z808" s="1"/>
      <c r="AC808" s="3"/>
    </row>
    <row r="809" ht="15.75" customHeight="1">
      <c r="E809" s="1"/>
      <c r="H809" s="1"/>
      <c r="K809" s="1"/>
      <c r="N809" s="1"/>
      <c r="Q809" s="1"/>
      <c r="T809" s="2"/>
      <c r="Z809" s="1"/>
      <c r="AC809" s="3"/>
    </row>
    <row r="810" ht="15.75" customHeight="1">
      <c r="E810" s="1"/>
      <c r="H810" s="1"/>
      <c r="K810" s="1"/>
      <c r="N810" s="1"/>
      <c r="Q810" s="1"/>
      <c r="T810" s="2"/>
      <c r="Z810" s="1"/>
      <c r="AC810" s="3"/>
    </row>
    <row r="811" ht="15.75" customHeight="1">
      <c r="E811" s="1"/>
      <c r="H811" s="1"/>
      <c r="K811" s="1"/>
      <c r="N811" s="1"/>
      <c r="Q811" s="1"/>
      <c r="T811" s="2"/>
      <c r="Z811" s="1"/>
      <c r="AC811" s="3"/>
    </row>
    <row r="812" ht="15.75" customHeight="1">
      <c r="E812" s="1"/>
      <c r="H812" s="1"/>
      <c r="K812" s="1"/>
      <c r="N812" s="1"/>
      <c r="Q812" s="1"/>
      <c r="T812" s="2"/>
      <c r="Z812" s="1"/>
      <c r="AC812" s="3"/>
    </row>
    <row r="813" ht="15.75" customHeight="1">
      <c r="E813" s="1"/>
      <c r="H813" s="1"/>
      <c r="K813" s="1"/>
      <c r="N813" s="1"/>
      <c r="Q813" s="1"/>
      <c r="T813" s="2"/>
      <c r="Z813" s="1"/>
      <c r="AC813" s="3"/>
    </row>
    <row r="814" ht="15.75" customHeight="1">
      <c r="E814" s="1"/>
      <c r="H814" s="1"/>
      <c r="K814" s="1"/>
      <c r="N814" s="1"/>
      <c r="Q814" s="1"/>
      <c r="T814" s="2"/>
      <c r="Z814" s="1"/>
      <c r="AC814" s="3"/>
    </row>
    <row r="815" ht="15.75" customHeight="1">
      <c r="E815" s="1"/>
      <c r="H815" s="1"/>
      <c r="K815" s="1"/>
      <c r="N815" s="1"/>
      <c r="Q815" s="1"/>
      <c r="T815" s="2"/>
      <c r="Z815" s="1"/>
      <c r="AC815" s="3"/>
    </row>
    <row r="816" ht="15.75" customHeight="1">
      <c r="E816" s="1"/>
      <c r="H816" s="1"/>
      <c r="K816" s="1"/>
      <c r="N816" s="1"/>
      <c r="Q816" s="1"/>
      <c r="T816" s="2"/>
      <c r="Z816" s="1"/>
      <c r="AC816" s="3"/>
    </row>
    <row r="817" ht="15.75" customHeight="1">
      <c r="E817" s="1"/>
      <c r="H817" s="1"/>
      <c r="K817" s="1"/>
      <c r="N817" s="1"/>
      <c r="Q817" s="1"/>
      <c r="T817" s="2"/>
      <c r="Z817" s="1"/>
      <c r="AC817" s="3"/>
    </row>
    <row r="818" ht="15.75" customHeight="1">
      <c r="E818" s="1"/>
      <c r="H818" s="1"/>
      <c r="K818" s="1"/>
      <c r="N818" s="1"/>
      <c r="Q818" s="1"/>
      <c r="T818" s="2"/>
      <c r="Z818" s="1"/>
      <c r="AC818" s="3"/>
    </row>
    <row r="819" ht="15.75" customHeight="1">
      <c r="E819" s="1"/>
      <c r="H819" s="1"/>
      <c r="K819" s="1"/>
      <c r="N819" s="1"/>
      <c r="Q819" s="1"/>
      <c r="T819" s="2"/>
      <c r="Z819" s="1"/>
      <c r="AC819" s="3"/>
    </row>
    <row r="820" ht="15.75" customHeight="1">
      <c r="E820" s="1"/>
      <c r="H820" s="1"/>
      <c r="K820" s="1"/>
      <c r="N820" s="1"/>
      <c r="Q820" s="1"/>
      <c r="T820" s="2"/>
      <c r="Z820" s="1"/>
      <c r="AC820" s="3"/>
    </row>
    <row r="821" ht="15.75" customHeight="1">
      <c r="E821" s="1"/>
      <c r="H821" s="1"/>
      <c r="K821" s="1"/>
      <c r="N821" s="1"/>
      <c r="Q821" s="1"/>
      <c r="T821" s="2"/>
      <c r="Z821" s="1"/>
      <c r="AC821" s="3"/>
    </row>
    <row r="822" ht="15.75" customHeight="1">
      <c r="E822" s="1"/>
      <c r="H822" s="1"/>
      <c r="K822" s="1"/>
      <c r="N822" s="1"/>
      <c r="Q822" s="1"/>
      <c r="T822" s="2"/>
      <c r="Z822" s="1"/>
      <c r="AC822" s="3"/>
    </row>
    <row r="823" ht="15.75" customHeight="1">
      <c r="E823" s="1"/>
      <c r="H823" s="1"/>
      <c r="K823" s="1"/>
      <c r="N823" s="1"/>
      <c r="Q823" s="1"/>
      <c r="T823" s="2"/>
      <c r="Z823" s="1"/>
      <c r="AC823" s="3"/>
    </row>
    <row r="824" ht="15.75" customHeight="1">
      <c r="E824" s="1"/>
      <c r="H824" s="1"/>
      <c r="K824" s="1"/>
      <c r="N824" s="1"/>
      <c r="Q824" s="1"/>
      <c r="T824" s="2"/>
      <c r="Z824" s="1"/>
      <c r="AC824" s="3"/>
    </row>
    <row r="825" ht="15.75" customHeight="1">
      <c r="E825" s="1"/>
      <c r="H825" s="1"/>
      <c r="K825" s="1"/>
      <c r="N825" s="1"/>
      <c r="Q825" s="1"/>
      <c r="T825" s="2"/>
      <c r="Z825" s="1"/>
      <c r="AC825" s="3"/>
    </row>
    <row r="826" ht="15.75" customHeight="1">
      <c r="E826" s="1"/>
      <c r="H826" s="1"/>
      <c r="K826" s="1"/>
      <c r="N826" s="1"/>
      <c r="Q826" s="1"/>
      <c r="T826" s="2"/>
      <c r="Z826" s="1"/>
      <c r="AC826" s="3"/>
    </row>
    <row r="827" ht="15.75" customHeight="1">
      <c r="E827" s="1"/>
      <c r="H827" s="1"/>
      <c r="K827" s="1"/>
      <c r="N827" s="1"/>
      <c r="Q827" s="1"/>
      <c r="T827" s="2"/>
      <c r="Z827" s="1"/>
      <c r="AC827" s="3"/>
    </row>
    <row r="828" ht="15.75" customHeight="1">
      <c r="E828" s="1"/>
      <c r="H828" s="1"/>
      <c r="K828" s="1"/>
      <c r="N828" s="1"/>
      <c r="Q828" s="1"/>
      <c r="T828" s="2"/>
      <c r="Z828" s="1"/>
      <c r="AC828" s="3"/>
    </row>
    <row r="829" ht="15.75" customHeight="1">
      <c r="E829" s="1"/>
      <c r="H829" s="1"/>
      <c r="K829" s="1"/>
      <c r="N829" s="1"/>
      <c r="Q829" s="1"/>
      <c r="T829" s="2"/>
      <c r="Z829" s="1"/>
      <c r="AC829" s="3"/>
    </row>
    <row r="830" ht="15.75" customHeight="1">
      <c r="E830" s="1"/>
      <c r="H830" s="1"/>
      <c r="K830" s="1"/>
      <c r="N830" s="1"/>
      <c r="Q830" s="1"/>
      <c r="T830" s="2"/>
      <c r="Z830" s="1"/>
      <c r="AC830" s="3"/>
    </row>
    <row r="831" ht="15.75" customHeight="1">
      <c r="E831" s="1"/>
      <c r="H831" s="1"/>
      <c r="K831" s="1"/>
      <c r="N831" s="1"/>
      <c r="Q831" s="1"/>
      <c r="T831" s="2"/>
      <c r="Z831" s="1"/>
      <c r="AC831" s="3"/>
    </row>
    <row r="832" ht="15.75" customHeight="1">
      <c r="E832" s="1"/>
      <c r="H832" s="1"/>
      <c r="K832" s="1"/>
      <c r="N832" s="1"/>
      <c r="Q832" s="1"/>
      <c r="T832" s="2"/>
      <c r="Z832" s="1"/>
      <c r="AC832" s="3"/>
    </row>
    <row r="833" ht="15.75" customHeight="1">
      <c r="E833" s="1"/>
      <c r="H833" s="1"/>
      <c r="K833" s="1"/>
      <c r="N833" s="1"/>
      <c r="Q833" s="1"/>
      <c r="T833" s="2"/>
      <c r="Z833" s="1"/>
      <c r="AC833" s="3"/>
    </row>
    <row r="834" ht="15.75" customHeight="1">
      <c r="E834" s="1"/>
      <c r="H834" s="1"/>
      <c r="K834" s="1"/>
      <c r="N834" s="1"/>
      <c r="Q834" s="1"/>
      <c r="T834" s="2"/>
      <c r="Z834" s="1"/>
      <c r="AC834" s="3"/>
    </row>
    <row r="835" ht="15.75" customHeight="1">
      <c r="E835" s="1"/>
      <c r="H835" s="1"/>
      <c r="K835" s="1"/>
      <c r="N835" s="1"/>
      <c r="Q835" s="1"/>
      <c r="T835" s="2"/>
      <c r="Z835" s="1"/>
      <c r="AC835" s="3"/>
    </row>
    <row r="836" ht="15.75" customHeight="1">
      <c r="E836" s="1"/>
      <c r="H836" s="1"/>
      <c r="K836" s="1"/>
      <c r="N836" s="1"/>
      <c r="Q836" s="1"/>
      <c r="T836" s="2"/>
      <c r="Z836" s="1"/>
      <c r="AC836" s="3"/>
    </row>
    <row r="837" ht="15.75" customHeight="1">
      <c r="E837" s="1"/>
      <c r="H837" s="1"/>
      <c r="K837" s="1"/>
      <c r="N837" s="1"/>
      <c r="Q837" s="1"/>
      <c r="T837" s="2"/>
      <c r="Z837" s="1"/>
      <c r="AC837" s="3"/>
    </row>
    <row r="838" ht="15.75" customHeight="1">
      <c r="E838" s="1"/>
      <c r="H838" s="1"/>
      <c r="K838" s="1"/>
      <c r="N838" s="1"/>
      <c r="Q838" s="1"/>
      <c r="T838" s="2"/>
      <c r="Z838" s="1"/>
      <c r="AC838" s="3"/>
    </row>
    <row r="839" ht="15.75" customHeight="1">
      <c r="E839" s="1"/>
      <c r="H839" s="1"/>
      <c r="K839" s="1"/>
      <c r="N839" s="1"/>
      <c r="Q839" s="1"/>
      <c r="T839" s="2"/>
      <c r="Z839" s="1"/>
      <c r="AC839" s="3"/>
    </row>
    <row r="840" ht="15.75" customHeight="1">
      <c r="E840" s="1"/>
      <c r="H840" s="1"/>
      <c r="K840" s="1"/>
      <c r="N840" s="1"/>
      <c r="Q840" s="1"/>
      <c r="T840" s="2"/>
      <c r="Z840" s="1"/>
      <c r="AC840" s="3"/>
    </row>
    <row r="841" ht="15.75" customHeight="1">
      <c r="E841" s="1"/>
      <c r="H841" s="1"/>
      <c r="K841" s="1"/>
      <c r="N841" s="1"/>
      <c r="Q841" s="1"/>
      <c r="T841" s="2"/>
      <c r="Z841" s="1"/>
      <c r="AC841" s="3"/>
    </row>
    <row r="842" ht="15.75" customHeight="1">
      <c r="E842" s="1"/>
      <c r="H842" s="1"/>
      <c r="K842" s="1"/>
      <c r="N842" s="1"/>
      <c r="Q842" s="1"/>
      <c r="T842" s="2"/>
      <c r="Z842" s="1"/>
      <c r="AC842" s="3"/>
    </row>
    <row r="843" ht="15.75" customHeight="1">
      <c r="E843" s="1"/>
      <c r="H843" s="1"/>
      <c r="K843" s="1"/>
      <c r="N843" s="1"/>
      <c r="Q843" s="1"/>
      <c r="T843" s="2"/>
      <c r="Z843" s="1"/>
      <c r="AC843" s="3"/>
    </row>
    <row r="844" ht="15.75" customHeight="1">
      <c r="E844" s="1"/>
      <c r="H844" s="1"/>
      <c r="K844" s="1"/>
      <c r="N844" s="1"/>
      <c r="Q844" s="1"/>
      <c r="T844" s="2"/>
      <c r="Z844" s="1"/>
      <c r="AC844" s="3"/>
    </row>
    <row r="845" ht="15.75" customHeight="1">
      <c r="E845" s="1"/>
      <c r="H845" s="1"/>
      <c r="K845" s="1"/>
      <c r="N845" s="1"/>
      <c r="Q845" s="1"/>
      <c r="T845" s="2"/>
      <c r="Z845" s="1"/>
      <c r="AC845" s="3"/>
    </row>
    <row r="846" ht="15.75" customHeight="1">
      <c r="E846" s="1"/>
      <c r="H846" s="1"/>
      <c r="K846" s="1"/>
      <c r="N846" s="1"/>
      <c r="Q846" s="1"/>
      <c r="T846" s="2"/>
      <c r="Z846" s="1"/>
      <c r="AC846" s="3"/>
    </row>
    <row r="847" ht="15.75" customHeight="1">
      <c r="E847" s="1"/>
      <c r="H847" s="1"/>
      <c r="K847" s="1"/>
      <c r="N847" s="1"/>
      <c r="Q847" s="1"/>
      <c r="T847" s="2"/>
      <c r="Z847" s="1"/>
      <c r="AC847" s="3"/>
    </row>
    <row r="848" ht="15.75" customHeight="1">
      <c r="E848" s="1"/>
      <c r="H848" s="1"/>
      <c r="K848" s="1"/>
      <c r="N848" s="1"/>
      <c r="Q848" s="1"/>
      <c r="T848" s="2"/>
      <c r="Z848" s="1"/>
      <c r="AC848" s="3"/>
    </row>
    <row r="849" ht="15.75" customHeight="1">
      <c r="E849" s="1"/>
      <c r="H849" s="1"/>
      <c r="K849" s="1"/>
      <c r="N849" s="1"/>
      <c r="Q849" s="1"/>
      <c r="T849" s="2"/>
      <c r="Z849" s="1"/>
      <c r="AC849" s="3"/>
    </row>
    <row r="850" ht="15.75" customHeight="1">
      <c r="E850" s="1"/>
      <c r="H850" s="1"/>
      <c r="K850" s="1"/>
      <c r="N850" s="1"/>
      <c r="Q850" s="1"/>
      <c r="T850" s="2"/>
      <c r="Z850" s="1"/>
      <c r="AC850" s="3"/>
    </row>
    <row r="851" ht="15.75" customHeight="1">
      <c r="E851" s="1"/>
      <c r="H851" s="1"/>
      <c r="K851" s="1"/>
      <c r="N851" s="1"/>
      <c r="Q851" s="1"/>
      <c r="T851" s="2"/>
      <c r="Z851" s="1"/>
      <c r="AC851" s="3"/>
    </row>
    <row r="852" ht="15.75" customHeight="1">
      <c r="E852" s="1"/>
      <c r="H852" s="1"/>
      <c r="K852" s="1"/>
      <c r="N852" s="1"/>
      <c r="Q852" s="1"/>
      <c r="T852" s="2"/>
      <c r="Z852" s="1"/>
      <c r="AC852" s="3"/>
    </row>
    <row r="853" ht="15.75" customHeight="1">
      <c r="E853" s="1"/>
      <c r="H853" s="1"/>
      <c r="K853" s="1"/>
      <c r="N853" s="1"/>
      <c r="Q853" s="1"/>
      <c r="T853" s="2"/>
      <c r="Z853" s="1"/>
      <c r="AC853" s="3"/>
    </row>
    <row r="854" ht="15.75" customHeight="1">
      <c r="E854" s="1"/>
      <c r="H854" s="1"/>
      <c r="K854" s="1"/>
      <c r="N854" s="1"/>
      <c r="Q854" s="1"/>
      <c r="T854" s="2"/>
      <c r="Z854" s="1"/>
      <c r="AC854" s="3"/>
    </row>
    <row r="855" ht="15.75" customHeight="1">
      <c r="E855" s="1"/>
      <c r="H855" s="1"/>
      <c r="K855" s="1"/>
      <c r="N855" s="1"/>
      <c r="Q855" s="1"/>
      <c r="T855" s="2"/>
      <c r="Z855" s="1"/>
      <c r="AC855" s="3"/>
    </row>
    <row r="856" ht="15.75" customHeight="1">
      <c r="E856" s="1"/>
      <c r="H856" s="1"/>
      <c r="K856" s="1"/>
      <c r="N856" s="1"/>
      <c r="Q856" s="1"/>
      <c r="T856" s="2"/>
      <c r="Z856" s="1"/>
      <c r="AC856" s="3"/>
    </row>
    <row r="857" ht="15.75" customHeight="1">
      <c r="E857" s="1"/>
      <c r="H857" s="1"/>
      <c r="K857" s="1"/>
      <c r="N857" s="1"/>
      <c r="Q857" s="1"/>
      <c r="T857" s="2"/>
      <c r="Z857" s="1"/>
      <c r="AC857" s="3"/>
    </row>
    <row r="858" ht="15.75" customHeight="1">
      <c r="E858" s="1"/>
      <c r="H858" s="1"/>
      <c r="K858" s="1"/>
      <c r="N858" s="1"/>
      <c r="Q858" s="1"/>
      <c r="T858" s="2"/>
      <c r="Z858" s="1"/>
      <c r="AC858" s="3"/>
    </row>
    <row r="859" ht="15.75" customHeight="1">
      <c r="E859" s="1"/>
      <c r="H859" s="1"/>
      <c r="K859" s="1"/>
      <c r="N859" s="1"/>
      <c r="Q859" s="1"/>
      <c r="T859" s="2"/>
      <c r="Z859" s="1"/>
      <c r="AC859" s="3"/>
    </row>
    <row r="860" ht="15.75" customHeight="1">
      <c r="E860" s="1"/>
      <c r="H860" s="1"/>
      <c r="K860" s="1"/>
      <c r="N860" s="1"/>
      <c r="Q860" s="1"/>
      <c r="T860" s="2"/>
      <c r="Z860" s="1"/>
      <c r="AC860" s="3"/>
    </row>
    <row r="861" ht="15.75" customHeight="1">
      <c r="E861" s="1"/>
      <c r="H861" s="1"/>
      <c r="K861" s="1"/>
      <c r="N861" s="1"/>
      <c r="Q861" s="1"/>
      <c r="T861" s="2"/>
      <c r="Z861" s="1"/>
      <c r="AC861" s="3"/>
    </row>
    <row r="862" ht="15.75" customHeight="1">
      <c r="E862" s="1"/>
      <c r="H862" s="1"/>
      <c r="K862" s="1"/>
      <c r="N862" s="1"/>
      <c r="Q862" s="1"/>
      <c r="T862" s="2"/>
      <c r="Z862" s="1"/>
      <c r="AC862" s="3"/>
    </row>
    <row r="863" ht="15.75" customHeight="1">
      <c r="E863" s="1"/>
      <c r="H863" s="1"/>
      <c r="K863" s="1"/>
      <c r="N863" s="1"/>
      <c r="Q863" s="1"/>
      <c r="T863" s="2"/>
      <c r="Z863" s="1"/>
      <c r="AC863" s="3"/>
    </row>
    <row r="864" ht="15.75" customHeight="1">
      <c r="E864" s="1"/>
      <c r="H864" s="1"/>
      <c r="K864" s="1"/>
      <c r="N864" s="1"/>
      <c r="Q864" s="1"/>
      <c r="T864" s="2"/>
      <c r="Z864" s="1"/>
      <c r="AC864" s="3"/>
    </row>
    <row r="865" ht="15.75" customHeight="1">
      <c r="E865" s="1"/>
      <c r="H865" s="1"/>
      <c r="K865" s="1"/>
      <c r="N865" s="1"/>
      <c r="Q865" s="1"/>
      <c r="T865" s="2"/>
      <c r="Z865" s="1"/>
      <c r="AC865" s="3"/>
    </row>
    <row r="866" ht="15.75" customHeight="1">
      <c r="E866" s="1"/>
      <c r="H866" s="1"/>
      <c r="K866" s="1"/>
      <c r="N866" s="1"/>
      <c r="Q866" s="1"/>
      <c r="T866" s="2"/>
      <c r="Z866" s="1"/>
      <c r="AC866" s="3"/>
    </row>
    <row r="867" ht="15.75" customHeight="1">
      <c r="E867" s="1"/>
      <c r="H867" s="1"/>
      <c r="K867" s="1"/>
      <c r="N867" s="1"/>
      <c r="Q867" s="1"/>
      <c r="T867" s="2"/>
      <c r="Z867" s="1"/>
      <c r="AC867" s="3"/>
    </row>
    <row r="868" ht="15.75" customHeight="1">
      <c r="E868" s="1"/>
      <c r="H868" s="1"/>
      <c r="K868" s="1"/>
      <c r="N868" s="1"/>
      <c r="Q868" s="1"/>
      <c r="T868" s="2"/>
      <c r="Z868" s="1"/>
      <c r="AC868" s="3"/>
    </row>
    <row r="869" ht="15.75" customHeight="1">
      <c r="E869" s="1"/>
      <c r="H869" s="1"/>
      <c r="K869" s="1"/>
      <c r="N869" s="1"/>
      <c r="Q869" s="1"/>
      <c r="T869" s="2"/>
      <c r="Z869" s="1"/>
      <c r="AC869" s="3"/>
    </row>
    <row r="870" ht="15.75" customHeight="1">
      <c r="E870" s="1"/>
      <c r="H870" s="1"/>
      <c r="K870" s="1"/>
      <c r="N870" s="1"/>
      <c r="Q870" s="1"/>
      <c r="T870" s="2"/>
      <c r="Z870" s="1"/>
      <c r="AC870" s="3"/>
    </row>
    <row r="871" ht="15.75" customHeight="1">
      <c r="E871" s="1"/>
      <c r="H871" s="1"/>
      <c r="K871" s="1"/>
      <c r="N871" s="1"/>
      <c r="Q871" s="1"/>
      <c r="T871" s="2"/>
      <c r="Z871" s="1"/>
      <c r="AC871" s="3"/>
    </row>
    <row r="872" ht="15.75" customHeight="1">
      <c r="E872" s="1"/>
      <c r="H872" s="1"/>
      <c r="K872" s="1"/>
      <c r="N872" s="1"/>
      <c r="Q872" s="1"/>
      <c r="T872" s="2"/>
      <c r="Z872" s="1"/>
      <c r="AC872" s="3"/>
    </row>
    <row r="873" ht="15.75" customHeight="1">
      <c r="E873" s="1"/>
      <c r="H873" s="1"/>
      <c r="K873" s="1"/>
      <c r="N873" s="1"/>
      <c r="Q873" s="1"/>
      <c r="T873" s="2"/>
      <c r="Z873" s="1"/>
      <c r="AC873" s="3"/>
    </row>
    <row r="874" ht="15.75" customHeight="1">
      <c r="E874" s="1"/>
      <c r="H874" s="1"/>
      <c r="K874" s="1"/>
      <c r="N874" s="1"/>
      <c r="Q874" s="1"/>
      <c r="T874" s="2"/>
      <c r="Z874" s="1"/>
      <c r="AC874" s="3"/>
    </row>
    <row r="875" ht="15.75" customHeight="1">
      <c r="E875" s="1"/>
      <c r="H875" s="1"/>
      <c r="K875" s="1"/>
      <c r="N875" s="1"/>
      <c r="Q875" s="1"/>
      <c r="T875" s="2"/>
      <c r="Z875" s="1"/>
      <c r="AC875" s="3"/>
    </row>
    <row r="876" ht="15.75" customHeight="1">
      <c r="E876" s="1"/>
      <c r="H876" s="1"/>
      <c r="K876" s="1"/>
      <c r="N876" s="1"/>
      <c r="Q876" s="1"/>
      <c r="T876" s="2"/>
      <c r="Z876" s="1"/>
      <c r="AC876" s="3"/>
    </row>
    <row r="877" ht="15.75" customHeight="1">
      <c r="E877" s="1"/>
      <c r="H877" s="1"/>
      <c r="K877" s="1"/>
      <c r="N877" s="1"/>
      <c r="Q877" s="1"/>
      <c r="T877" s="2"/>
      <c r="Z877" s="1"/>
      <c r="AC877" s="3"/>
    </row>
    <row r="878" ht="15.75" customHeight="1">
      <c r="E878" s="1"/>
      <c r="H878" s="1"/>
      <c r="K878" s="1"/>
      <c r="N878" s="1"/>
      <c r="Q878" s="1"/>
      <c r="T878" s="2"/>
      <c r="Z878" s="1"/>
      <c r="AC878" s="3"/>
    </row>
    <row r="879" ht="15.75" customHeight="1">
      <c r="E879" s="1"/>
      <c r="H879" s="1"/>
      <c r="K879" s="1"/>
      <c r="N879" s="1"/>
      <c r="Q879" s="1"/>
      <c r="T879" s="2"/>
      <c r="Z879" s="1"/>
      <c r="AC879" s="3"/>
    </row>
    <row r="880" ht="15.75" customHeight="1">
      <c r="E880" s="1"/>
      <c r="H880" s="1"/>
      <c r="K880" s="1"/>
      <c r="N880" s="1"/>
      <c r="Q880" s="1"/>
      <c r="T880" s="2"/>
      <c r="Z880" s="1"/>
      <c r="AC880" s="3"/>
    </row>
    <row r="881" ht="15.75" customHeight="1">
      <c r="E881" s="1"/>
      <c r="H881" s="1"/>
      <c r="K881" s="1"/>
      <c r="N881" s="1"/>
      <c r="Q881" s="1"/>
      <c r="T881" s="2"/>
      <c r="Z881" s="1"/>
      <c r="AC881" s="3"/>
    </row>
    <row r="882" ht="15.75" customHeight="1">
      <c r="E882" s="1"/>
      <c r="H882" s="1"/>
      <c r="K882" s="1"/>
      <c r="N882" s="1"/>
      <c r="Q882" s="1"/>
      <c r="T882" s="2"/>
      <c r="Z882" s="1"/>
      <c r="AC882" s="3"/>
    </row>
    <row r="883" ht="15.75" customHeight="1">
      <c r="E883" s="1"/>
      <c r="H883" s="1"/>
      <c r="K883" s="1"/>
      <c r="N883" s="1"/>
      <c r="Q883" s="1"/>
      <c r="T883" s="2"/>
      <c r="Z883" s="1"/>
      <c r="AC883" s="3"/>
    </row>
    <row r="884" ht="15.75" customHeight="1">
      <c r="E884" s="1"/>
      <c r="H884" s="1"/>
      <c r="K884" s="1"/>
      <c r="N884" s="1"/>
      <c r="Q884" s="1"/>
      <c r="T884" s="2"/>
      <c r="Z884" s="1"/>
      <c r="AC884" s="3"/>
    </row>
    <row r="885" ht="15.75" customHeight="1">
      <c r="E885" s="1"/>
      <c r="H885" s="1"/>
      <c r="K885" s="1"/>
      <c r="N885" s="1"/>
      <c r="Q885" s="1"/>
      <c r="T885" s="2"/>
      <c r="Z885" s="1"/>
      <c r="AC885" s="3"/>
    </row>
    <row r="886" ht="15.75" customHeight="1">
      <c r="E886" s="1"/>
      <c r="H886" s="1"/>
      <c r="K886" s="1"/>
      <c r="N886" s="1"/>
      <c r="Q886" s="1"/>
      <c r="T886" s="2"/>
      <c r="Z886" s="1"/>
      <c r="AC886" s="3"/>
    </row>
    <row r="887" ht="15.75" customHeight="1">
      <c r="E887" s="1"/>
      <c r="H887" s="1"/>
      <c r="K887" s="1"/>
      <c r="N887" s="1"/>
      <c r="Q887" s="1"/>
      <c r="T887" s="2"/>
      <c r="Z887" s="1"/>
      <c r="AC887" s="3"/>
    </row>
    <row r="888" ht="15.75" customHeight="1">
      <c r="E888" s="1"/>
      <c r="H888" s="1"/>
      <c r="K888" s="1"/>
      <c r="N888" s="1"/>
      <c r="Q888" s="1"/>
      <c r="T888" s="2"/>
      <c r="Z888" s="1"/>
      <c r="AC888" s="3"/>
    </row>
    <row r="889" ht="15.75" customHeight="1">
      <c r="E889" s="1"/>
      <c r="H889" s="1"/>
      <c r="K889" s="1"/>
      <c r="N889" s="1"/>
      <c r="Q889" s="1"/>
      <c r="T889" s="2"/>
      <c r="Z889" s="1"/>
      <c r="AC889" s="3"/>
    </row>
    <row r="890" ht="15.75" customHeight="1">
      <c r="E890" s="1"/>
      <c r="H890" s="1"/>
      <c r="K890" s="1"/>
      <c r="N890" s="1"/>
      <c r="Q890" s="1"/>
      <c r="T890" s="2"/>
      <c r="Z890" s="1"/>
      <c r="AC890" s="3"/>
    </row>
    <row r="891" ht="15.75" customHeight="1">
      <c r="E891" s="1"/>
      <c r="H891" s="1"/>
      <c r="K891" s="1"/>
      <c r="N891" s="1"/>
      <c r="Q891" s="1"/>
      <c r="T891" s="2"/>
      <c r="Z891" s="1"/>
      <c r="AC891" s="3"/>
    </row>
    <row r="892" ht="15.75" customHeight="1">
      <c r="E892" s="1"/>
      <c r="H892" s="1"/>
      <c r="K892" s="1"/>
      <c r="N892" s="1"/>
      <c r="Q892" s="1"/>
      <c r="T892" s="2"/>
      <c r="Z892" s="1"/>
      <c r="AC892" s="3"/>
    </row>
    <row r="893" ht="15.75" customHeight="1">
      <c r="E893" s="1"/>
      <c r="H893" s="1"/>
      <c r="K893" s="1"/>
      <c r="N893" s="1"/>
      <c r="Q893" s="1"/>
      <c r="T893" s="2"/>
      <c r="Z893" s="1"/>
      <c r="AC893" s="3"/>
    </row>
    <row r="894" ht="15.75" customHeight="1">
      <c r="E894" s="1"/>
      <c r="H894" s="1"/>
      <c r="K894" s="1"/>
      <c r="N894" s="1"/>
      <c r="Q894" s="1"/>
      <c r="T894" s="2"/>
      <c r="Z894" s="1"/>
      <c r="AC894" s="3"/>
    </row>
    <row r="895" ht="15.75" customHeight="1">
      <c r="E895" s="1"/>
      <c r="H895" s="1"/>
      <c r="K895" s="1"/>
      <c r="N895" s="1"/>
      <c r="Q895" s="1"/>
      <c r="T895" s="2"/>
      <c r="Z895" s="1"/>
      <c r="AC895" s="3"/>
    </row>
    <row r="896" ht="15.75" customHeight="1">
      <c r="E896" s="1"/>
      <c r="H896" s="1"/>
      <c r="K896" s="1"/>
      <c r="N896" s="1"/>
      <c r="Q896" s="1"/>
      <c r="T896" s="2"/>
      <c r="Z896" s="1"/>
      <c r="AC896" s="3"/>
    </row>
    <row r="897" ht="15.75" customHeight="1">
      <c r="E897" s="1"/>
      <c r="H897" s="1"/>
      <c r="K897" s="1"/>
      <c r="N897" s="1"/>
      <c r="Q897" s="1"/>
      <c r="T897" s="2"/>
      <c r="Z897" s="1"/>
      <c r="AC897" s="3"/>
    </row>
    <row r="898" ht="15.75" customHeight="1">
      <c r="E898" s="1"/>
      <c r="H898" s="1"/>
      <c r="K898" s="1"/>
      <c r="N898" s="1"/>
      <c r="Q898" s="1"/>
      <c r="T898" s="2"/>
      <c r="Z898" s="1"/>
      <c r="AC898" s="3"/>
    </row>
    <row r="899" ht="15.75" customHeight="1">
      <c r="E899" s="1"/>
      <c r="H899" s="1"/>
      <c r="K899" s="1"/>
      <c r="N899" s="1"/>
      <c r="Q899" s="1"/>
      <c r="T899" s="2"/>
      <c r="Z899" s="1"/>
      <c r="AC899" s="3"/>
    </row>
    <row r="900" ht="15.75" customHeight="1">
      <c r="E900" s="1"/>
      <c r="H900" s="1"/>
      <c r="K900" s="1"/>
      <c r="N900" s="1"/>
      <c r="Q900" s="1"/>
      <c r="T900" s="2"/>
      <c r="Z900" s="1"/>
      <c r="AC900" s="3"/>
    </row>
    <row r="901" ht="15.75" customHeight="1">
      <c r="E901" s="1"/>
      <c r="H901" s="1"/>
      <c r="K901" s="1"/>
      <c r="N901" s="1"/>
      <c r="Q901" s="1"/>
      <c r="T901" s="2"/>
      <c r="Z901" s="1"/>
      <c r="AC901" s="3"/>
    </row>
    <row r="902" ht="15.75" customHeight="1">
      <c r="E902" s="1"/>
      <c r="H902" s="1"/>
      <c r="K902" s="1"/>
      <c r="N902" s="1"/>
      <c r="Q902" s="1"/>
      <c r="T902" s="2"/>
      <c r="Z902" s="1"/>
      <c r="AC902" s="3"/>
    </row>
    <row r="903" ht="15.75" customHeight="1">
      <c r="E903" s="1"/>
      <c r="H903" s="1"/>
      <c r="K903" s="1"/>
      <c r="N903" s="1"/>
      <c r="Q903" s="1"/>
      <c r="T903" s="2"/>
      <c r="Z903" s="1"/>
      <c r="AC903" s="3"/>
    </row>
    <row r="904" ht="15.75" customHeight="1">
      <c r="E904" s="1"/>
      <c r="H904" s="1"/>
      <c r="K904" s="1"/>
      <c r="N904" s="1"/>
      <c r="Q904" s="1"/>
      <c r="T904" s="2"/>
      <c r="Z904" s="1"/>
      <c r="AC904" s="3"/>
    </row>
    <row r="905" ht="15.75" customHeight="1">
      <c r="E905" s="1"/>
      <c r="H905" s="1"/>
      <c r="K905" s="1"/>
      <c r="N905" s="1"/>
      <c r="Q905" s="1"/>
      <c r="T905" s="2"/>
      <c r="Z905" s="1"/>
      <c r="AC905" s="3"/>
    </row>
    <row r="906" ht="15.75" customHeight="1">
      <c r="E906" s="1"/>
      <c r="H906" s="1"/>
      <c r="K906" s="1"/>
      <c r="N906" s="1"/>
      <c r="Q906" s="1"/>
      <c r="T906" s="2"/>
      <c r="Z906" s="1"/>
      <c r="AC906" s="3"/>
    </row>
    <row r="907" ht="15.75" customHeight="1">
      <c r="E907" s="1"/>
      <c r="H907" s="1"/>
      <c r="K907" s="1"/>
      <c r="N907" s="1"/>
      <c r="Q907" s="1"/>
      <c r="T907" s="2"/>
      <c r="Z907" s="1"/>
      <c r="AC907" s="3"/>
    </row>
    <row r="908" ht="15.75" customHeight="1">
      <c r="E908" s="1"/>
      <c r="H908" s="1"/>
      <c r="K908" s="1"/>
      <c r="N908" s="1"/>
      <c r="Q908" s="1"/>
      <c r="T908" s="2"/>
      <c r="Z908" s="1"/>
      <c r="AC908" s="3"/>
    </row>
    <row r="909" ht="15.75" customHeight="1">
      <c r="E909" s="1"/>
      <c r="H909" s="1"/>
      <c r="K909" s="1"/>
      <c r="N909" s="1"/>
      <c r="Q909" s="1"/>
      <c r="T909" s="2"/>
      <c r="Z909" s="1"/>
      <c r="AC909" s="3"/>
    </row>
    <row r="910" ht="15.75" customHeight="1">
      <c r="E910" s="1"/>
      <c r="H910" s="1"/>
      <c r="K910" s="1"/>
      <c r="N910" s="1"/>
      <c r="Q910" s="1"/>
      <c r="T910" s="2"/>
      <c r="Z910" s="1"/>
      <c r="AC910" s="3"/>
    </row>
    <row r="911" ht="15.75" customHeight="1">
      <c r="E911" s="1"/>
      <c r="H911" s="1"/>
      <c r="K911" s="1"/>
      <c r="N911" s="1"/>
      <c r="Q911" s="1"/>
      <c r="T911" s="2"/>
      <c r="Z911" s="1"/>
      <c r="AC911" s="3"/>
    </row>
    <row r="912" ht="15.75" customHeight="1">
      <c r="E912" s="1"/>
      <c r="H912" s="1"/>
      <c r="K912" s="1"/>
      <c r="N912" s="1"/>
      <c r="Q912" s="1"/>
      <c r="T912" s="2"/>
      <c r="Z912" s="1"/>
      <c r="AC912" s="3"/>
    </row>
    <row r="913" ht="15.75" customHeight="1">
      <c r="E913" s="1"/>
      <c r="H913" s="1"/>
      <c r="K913" s="1"/>
      <c r="N913" s="1"/>
      <c r="Q913" s="1"/>
      <c r="T913" s="2"/>
      <c r="Z913" s="1"/>
      <c r="AC913" s="3"/>
    </row>
    <row r="914" ht="15.75" customHeight="1">
      <c r="E914" s="1"/>
      <c r="H914" s="1"/>
      <c r="K914" s="1"/>
      <c r="N914" s="1"/>
      <c r="Q914" s="1"/>
      <c r="T914" s="2"/>
      <c r="Z914" s="1"/>
      <c r="AC914" s="3"/>
    </row>
    <row r="915" ht="15.75" customHeight="1">
      <c r="E915" s="1"/>
      <c r="H915" s="1"/>
      <c r="K915" s="1"/>
      <c r="N915" s="1"/>
      <c r="Q915" s="1"/>
      <c r="T915" s="2"/>
      <c r="Z915" s="1"/>
      <c r="AC915" s="3"/>
    </row>
    <row r="916" ht="15.75" customHeight="1">
      <c r="E916" s="1"/>
      <c r="H916" s="1"/>
      <c r="K916" s="1"/>
      <c r="N916" s="1"/>
      <c r="Q916" s="1"/>
      <c r="T916" s="2"/>
      <c r="Z916" s="1"/>
      <c r="AC916" s="3"/>
    </row>
    <row r="917" ht="15.75" customHeight="1">
      <c r="E917" s="1"/>
      <c r="H917" s="1"/>
      <c r="K917" s="1"/>
      <c r="N917" s="1"/>
      <c r="Q917" s="1"/>
      <c r="T917" s="2"/>
      <c r="Z917" s="1"/>
      <c r="AC917" s="3"/>
    </row>
    <row r="918" ht="15.75" customHeight="1">
      <c r="E918" s="1"/>
      <c r="H918" s="1"/>
      <c r="K918" s="1"/>
      <c r="N918" s="1"/>
      <c r="Q918" s="1"/>
      <c r="T918" s="2"/>
      <c r="Z918" s="1"/>
      <c r="AC918" s="3"/>
    </row>
    <row r="919" ht="15.75" customHeight="1">
      <c r="E919" s="1"/>
      <c r="H919" s="1"/>
      <c r="K919" s="1"/>
      <c r="N919" s="1"/>
      <c r="Q919" s="1"/>
      <c r="T919" s="2"/>
      <c r="Z919" s="1"/>
      <c r="AC919" s="3"/>
    </row>
    <row r="920" ht="15.75" customHeight="1">
      <c r="E920" s="1"/>
      <c r="H920" s="1"/>
      <c r="K920" s="1"/>
      <c r="N920" s="1"/>
      <c r="Q920" s="1"/>
      <c r="T920" s="2"/>
      <c r="Z920" s="1"/>
      <c r="AC920" s="3"/>
    </row>
    <row r="921" ht="15.75" customHeight="1">
      <c r="E921" s="1"/>
      <c r="H921" s="1"/>
      <c r="K921" s="1"/>
      <c r="N921" s="1"/>
      <c r="Q921" s="1"/>
      <c r="T921" s="2"/>
      <c r="Z921" s="1"/>
      <c r="AC921" s="3"/>
    </row>
    <row r="922" ht="15.75" customHeight="1">
      <c r="E922" s="1"/>
      <c r="H922" s="1"/>
      <c r="K922" s="1"/>
      <c r="N922" s="1"/>
      <c r="Q922" s="1"/>
      <c r="T922" s="2"/>
      <c r="Z922" s="1"/>
      <c r="AC922" s="3"/>
    </row>
    <row r="923" ht="15.75" customHeight="1">
      <c r="E923" s="1"/>
      <c r="H923" s="1"/>
      <c r="K923" s="1"/>
      <c r="N923" s="1"/>
      <c r="Q923" s="1"/>
      <c r="T923" s="2"/>
      <c r="Z923" s="1"/>
      <c r="AC923" s="3"/>
    </row>
    <row r="924" ht="15.75" customHeight="1">
      <c r="E924" s="1"/>
      <c r="H924" s="1"/>
      <c r="K924" s="1"/>
      <c r="N924" s="1"/>
      <c r="Q924" s="1"/>
      <c r="T924" s="2"/>
      <c r="Z924" s="1"/>
      <c r="AC924" s="3"/>
    </row>
    <row r="925" ht="15.75" customHeight="1">
      <c r="E925" s="1"/>
      <c r="H925" s="1"/>
      <c r="K925" s="1"/>
      <c r="N925" s="1"/>
      <c r="Q925" s="1"/>
      <c r="T925" s="2"/>
      <c r="Z925" s="1"/>
      <c r="AC925" s="3"/>
    </row>
    <row r="926" ht="15.75" customHeight="1">
      <c r="E926" s="1"/>
      <c r="H926" s="1"/>
      <c r="K926" s="1"/>
      <c r="N926" s="1"/>
      <c r="Q926" s="1"/>
      <c r="T926" s="2"/>
      <c r="Z926" s="1"/>
      <c r="AC926" s="3"/>
    </row>
    <row r="927" ht="15.75" customHeight="1">
      <c r="E927" s="1"/>
      <c r="H927" s="1"/>
      <c r="K927" s="1"/>
      <c r="N927" s="1"/>
      <c r="Q927" s="1"/>
      <c r="T927" s="2"/>
      <c r="Z927" s="1"/>
      <c r="AC927" s="3"/>
    </row>
    <row r="928" ht="15.75" customHeight="1">
      <c r="E928" s="1"/>
      <c r="H928" s="1"/>
      <c r="K928" s="1"/>
      <c r="N928" s="1"/>
      <c r="Q928" s="1"/>
      <c r="T928" s="2"/>
      <c r="Z928" s="1"/>
      <c r="AC928" s="3"/>
    </row>
    <row r="929" ht="15.75" customHeight="1">
      <c r="E929" s="1"/>
      <c r="H929" s="1"/>
      <c r="K929" s="1"/>
      <c r="N929" s="1"/>
      <c r="Q929" s="1"/>
      <c r="T929" s="2"/>
      <c r="Z929" s="1"/>
      <c r="AC929" s="3"/>
    </row>
    <row r="930" ht="15.75" customHeight="1">
      <c r="E930" s="1"/>
      <c r="H930" s="1"/>
      <c r="K930" s="1"/>
      <c r="N930" s="1"/>
      <c r="Q930" s="1"/>
      <c r="T930" s="2"/>
      <c r="Z930" s="1"/>
      <c r="AC930" s="3"/>
    </row>
    <row r="931" ht="15.75" customHeight="1">
      <c r="E931" s="1"/>
      <c r="H931" s="1"/>
      <c r="K931" s="1"/>
      <c r="N931" s="1"/>
      <c r="Q931" s="1"/>
      <c r="T931" s="2"/>
      <c r="Z931" s="1"/>
      <c r="AC931" s="3"/>
    </row>
    <row r="932" ht="15.75" customHeight="1">
      <c r="E932" s="1"/>
      <c r="H932" s="1"/>
      <c r="K932" s="1"/>
      <c r="N932" s="1"/>
      <c r="Q932" s="1"/>
      <c r="T932" s="2"/>
      <c r="Z932" s="1"/>
      <c r="AC932" s="3"/>
    </row>
    <row r="933" ht="15.75" customHeight="1">
      <c r="E933" s="1"/>
      <c r="H933" s="1"/>
      <c r="K933" s="1"/>
      <c r="N933" s="1"/>
      <c r="Q933" s="1"/>
      <c r="T933" s="2"/>
      <c r="Z933" s="1"/>
      <c r="AC933" s="3"/>
    </row>
    <row r="934" ht="15.75" customHeight="1">
      <c r="E934" s="1"/>
      <c r="H934" s="1"/>
      <c r="K934" s="1"/>
      <c r="N934" s="1"/>
      <c r="Q934" s="1"/>
      <c r="T934" s="2"/>
      <c r="Z934" s="1"/>
      <c r="AC934" s="3"/>
    </row>
    <row r="935" ht="15.75" customHeight="1">
      <c r="E935" s="1"/>
      <c r="H935" s="1"/>
      <c r="K935" s="1"/>
      <c r="N935" s="1"/>
      <c r="Q935" s="1"/>
      <c r="T935" s="2"/>
      <c r="Z935" s="1"/>
      <c r="AC935" s="3"/>
    </row>
    <row r="936" ht="15.75" customHeight="1">
      <c r="E936" s="1"/>
      <c r="H936" s="1"/>
      <c r="K936" s="1"/>
      <c r="N936" s="1"/>
      <c r="Q936" s="1"/>
      <c r="T936" s="2"/>
      <c r="Z936" s="1"/>
      <c r="AC936" s="3"/>
    </row>
    <row r="937" ht="15.75" customHeight="1">
      <c r="E937" s="1"/>
      <c r="H937" s="1"/>
      <c r="K937" s="1"/>
      <c r="N937" s="1"/>
      <c r="Q937" s="1"/>
      <c r="T937" s="2"/>
      <c r="Z937" s="1"/>
      <c r="AC937" s="3"/>
    </row>
    <row r="938" ht="15.75" customHeight="1">
      <c r="E938" s="1"/>
      <c r="H938" s="1"/>
      <c r="K938" s="1"/>
      <c r="N938" s="1"/>
      <c r="Q938" s="1"/>
      <c r="T938" s="2"/>
      <c r="Z938" s="1"/>
      <c r="AC938" s="3"/>
    </row>
    <row r="939" ht="15.75" customHeight="1">
      <c r="E939" s="1"/>
      <c r="H939" s="1"/>
      <c r="K939" s="1"/>
      <c r="N939" s="1"/>
      <c r="Q939" s="1"/>
      <c r="T939" s="2"/>
      <c r="Z939" s="1"/>
      <c r="AC939" s="3"/>
    </row>
    <row r="940" ht="15.75" customHeight="1">
      <c r="E940" s="1"/>
      <c r="H940" s="1"/>
      <c r="K940" s="1"/>
      <c r="N940" s="1"/>
      <c r="Q940" s="1"/>
      <c r="T940" s="2"/>
      <c r="Z940" s="1"/>
      <c r="AC940" s="3"/>
    </row>
    <row r="941" ht="15.75" customHeight="1">
      <c r="E941" s="1"/>
      <c r="H941" s="1"/>
      <c r="K941" s="1"/>
      <c r="N941" s="1"/>
      <c r="Q941" s="1"/>
      <c r="T941" s="2"/>
      <c r="Z941" s="1"/>
      <c r="AC941" s="3"/>
    </row>
    <row r="942" ht="15.75" customHeight="1">
      <c r="E942" s="1"/>
      <c r="H942" s="1"/>
      <c r="K942" s="1"/>
      <c r="N942" s="1"/>
      <c r="Q942" s="1"/>
      <c r="T942" s="2"/>
      <c r="Z942" s="1"/>
      <c r="AC942" s="3"/>
    </row>
    <row r="943" ht="15.75" customHeight="1">
      <c r="E943" s="1"/>
      <c r="H943" s="1"/>
      <c r="K943" s="1"/>
      <c r="N943" s="1"/>
      <c r="Q943" s="1"/>
      <c r="T943" s="2"/>
      <c r="Z943" s="1"/>
      <c r="AC943" s="3"/>
    </row>
    <row r="944" ht="15.75" customHeight="1">
      <c r="E944" s="1"/>
      <c r="H944" s="1"/>
      <c r="K944" s="1"/>
      <c r="N944" s="1"/>
      <c r="Q944" s="1"/>
      <c r="T944" s="2"/>
      <c r="Z944" s="1"/>
      <c r="AC944" s="3"/>
    </row>
    <row r="945" ht="15.75" customHeight="1">
      <c r="E945" s="1"/>
      <c r="H945" s="1"/>
      <c r="K945" s="1"/>
      <c r="N945" s="1"/>
      <c r="Q945" s="1"/>
      <c r="T945" s="2"/>
      <c r="Z945" s="1"/>
      <c r="AC945" s="3"/>
    </row>
    <row r="946" ht="15.75" customHeight="1">
      <c r="E946" s="1"/>
      <c r="H946" s="1"/>
      <c r="K946" s="1"/>
      <c r="N946" s="1"/>
      <c r="Q946" s="1"/>
      <c r="T946" s="2"/>
      <c r="Z946" s="1"/>
      <c r="AC946" s="3"/>
    </row>
    <row r="947" ht="15.75" customHeight="1">
      <c r="E947" s="1"/>
      <c r="H947" s="1"/>
      <c r="K947" s="1"/>
      <c r="N947" s="1"/>
      <c r="Q947" s="1"/>
      <c r="T947" s="2"/>
      <c r="Z947" s="1"/>
      <c r="AC947" s="3"/>
    </row>
    <row r="948" ht="15.75" customHeight="1">
      <c r="E948" s="1"/>
      <c r="H948" s="1"/>
      <c r="K948" s="1"/>
      <c r="N948" s="1"/>
      <c r="Q948" s="1"/>
      <c r="T948" s="2"/>
      <c r="Z948" s="1"/>
      <c r="AC948" s="3"/>
    </row>
    <row r="949" ht="15.75" customHeight="1">
      <c r="E949" s="1"/>
      <c r="H949" s="1"/>
      <c r="K949" s="1"/>
      <c r="N949" s="1"/>
      <c r="Q949" s="1"/>
      <c r="T949" s="2"/>
      <c r="Z949" s="1"/>
      <c r="AC949" s="3"/>
    </row>
    <row r="950" ht="15.75" customHeight="1">
      <c r="E950" s="1"/>
      <c r="H950" s="1"/>
      <c r="K950" s="1"/>
      <c r="N950" s="1"/>
      <c r="Q950" s="1"/>
      <c r="T950" s="2"/>
      <c r="Z950" s="1"/>
      <c r="AC950" s="3"/>
    </row>
    <row r="951" ht="15.75" customHeight="1">
      <c r="E951" s="1"/>
      <c r="H951" s="1"/>
      <c r="K951" s="1"/>
      <c r="N951" s="1"/>
      <c r="Q951" s="1"/>
      <c r="T951" s="2"/>
      <c r="Z951" s="1"/>
      <c r="AC951" s="3"/>
    </row>
    <row r="952" ht="15.75" customHeight="1">
      <c r="E952" s="1"/>
      <c r="H952" s="1"/>
      <c r="K952" s="1"/>
      <c r="N952" s="1"/>
      <c r="Q952" s="1"/>
      <c r="T952" s="2"/>
      <c r="Z952" s="1"/>
      <c r="AC952" s="3"/>
    </row>
    <row r="953" ht="15.75" customHeight="1">
      <c r="E953" s="1"/>
      <c r="H953" s="1"/>
      <c r="K953" s="1"/>
      <c r="N953" s="1"/>
      <c r="Q953" s="1"/>
      <c r="T953" s="2"/>
      <c r="Z953" s="1"/>
      <c r="AC953" s="3"/>
    </row>
    <row r="954" ht="15.75" customHeight="1">
      <c r="E954" s="1"/>
      <c r="H954" s="1"/>
      <c r="K954" s="1"/>
      <c r="N954" s="1"/>
      <c r="Q954" s="1"/>
      <c r="T954" s="2"/>
      <c r="Z954" s="1"/>
      <c r="AC954" s="3"/>
    </row>
    <row r="955" ht="15.75" customHeight="1">
      <c r="E955" s="1"/>
      <c r="H955" s="1"/>
      <c r="K955" s="1"/>
      <c r="N955" s="1"/>
      <c r="Q955" s="1"/>
      <c r="T955" s="2"/>
      <c r="Z955" s="1"/>
      <c r="AC955" s="3"/>
    </row>
    <row r="956" ht="15.75" customHeight="1">
      <c r="E956" s="1"/>
      <c r="H956" s="1"/>
      <c r="K956" s="1"/>
      <c r="N956" s="1"/>
      <c r="Q956" s="1"/>
      <c r="T956" s="2"/>
      <c r="Z956" s="1"/>
      <c r="AC956" s="3"/>
    </row>
    <row r="957" ht="15.75" customHeight="1">
      <c r="E957" s="1"/>
      <c r="H957" s="1"/>
      <c r="K957" s="1"/>
      <c r="N957" s="1"/>
      <c r="Q957" s="1"/>
      <c r="T957" s="2"/>
      <c r="Z957" s="1"/>
      <c r="AC957" s="3"/>
    </row>
    <row r="958" ht="15.75" customHeight="1">
      <c r="E958" s="1"/>
      <c r="H958" s="1"/>
      <c r="K958" s="1"/>
      <c r="N958" s="1"/>
      <c r="Q958" s="1"/>
      <c r="T958" s="2"/>
      <c r="Z958" s="1"/>
      <c r="AC958" s="3"/>
    </row>
    <row r="959" ht="15.75" customHeight="1">
      <c r="E959" s="1"/>
      <c r="H959" s="1"/>
      <c r="K959" s="1"/>
      <c r="N959" s="1"/>
      <c r="Q959" s="1"/>
      <c r="T959" s="2"/>
      <c r="Z959" s="1"/>
      <c r="AC959" s="3"/>
    </row>
    <row r="960" ht="15.75" customHeight="1">
      <c r="E960" s="1"/>
      <c r="H960" s="1"/>
      <c r="K960" s="1"/>
      <c r="N960" s="1"/>
      <c r="Q960" s="1"/>
      <c r="T960" s="2"/>
      <c r="Z960" s="1"/>
      <c r="AC960" s="3"/>
    </row>
    <row r="961" ht="15.75" customHeight="1">
      <c r="E961" s="1"/>
      <c r="H961" s="1"/>
      <c r="K961" s="1"/>
      <c r="N961" s="1"/>
      <c r="Q961" s="1"/>
      <c r="T961" s="2"/>
      <c r="Z961" s="1"/>
      <c r="AC961" s="3"/>
    </row>
    <row r="962" ht="15.75" customHeight="1">
      <c r="E962" s="1"/>
      <c r="H962" s="1"/>
      <c r="K962" s="1"/>
      <c r="N962" s="1"/>
      <c r="Q962" s="1"/>
      <c r="T962" s="2"/>
      <c r="Z962" s="1"/>
      <c r="AC962" s="3"/>
    </row>
    <row r="963" ht="15.75" customHeight="1">
      <c r="E963" s="1"/>
      <c r="H963" s="1"/>
      <c r="K963" s="1"/>
      <c r="N963" s="1"/>
      <c r="Q963" s="1"/>
      <c r="T963" s="2"/>
      <c r="Z963" s="1"/>
      <c r="AC963" s="3"/>
    </row>
    <row r="964" ht="15.75" customHeight="1">
      <c r="E964" s="1"/>
      <c r="H964" s="1"/>
      <c r="K964" s="1"/>
      <c r="N964" s="1"/>
      <c r="Q964" s="1"/>
      <c r="T964" s="2"/>
      <c r="Z964" s="1"/>
      <c r="AC964" s="3"/>
    </row>
    <row r="965" ht="15.75" customHeight="1">
      <c r="E965" s="1"/>
      <c r="H965" s="1"/>
      <c r="K965" s="1"/>
      <c r="N965" s="1"/>
      <c r="Q965" s="1"/>
      <c r="T965" s="2"/>
      <c r="Z965" s="1"/>
      <c r="AC965" s="3"/>
    </row>
    <row r="966" ht="15.75" customHeight="1">
      <c r="E966" s="1"/>
      <c r="H966" s="1"/>
      <c r="K966" s="1"/>
      <c r="N966" s="1"/>
      <c r="Q966" s="1"/>
      <c r="T966" s="2"/>
      <c r="Z966" s="1"/>
      <c r="AC966" s="3"/>
    </row>
    <row r="967" ht="15.75" customHeight="1">
      <c r="E967" s="1"/>
      <c r="H967" s="1"/>
      <c r="K967" s="1"/>
      <c r="N967" s="1"/>
      <c r="Q967" s="1"/>
      <c r="T967" s="2"/>
      <c r="Z967" s="1"/>
      <c r="AC967" s="3"/>
    </row>
    <row r="968" ht="15.75" customHeight="1">
      <c r="E968" s="1"/>
      <c r="H968" s="1"/>
      <c r="K968" s="1"/>
      <c r="N968" s="1"/>
      <c r="Q968" s="1"/>
      <c r="T968" s="2"/>
      <c r="Z968" s="1"/>
      <c r="AC968" s="3"/>
    </row>
    <row r="969" ht="15.75" customHeight="1">
      <c r="E969" s="1"/>
      <c r="H969" s="1"/>
      <c r="K969" s="1"/>
      <c r="N969" s="1"/>
      <c r="Q969" s="1"/>
      <c r="T969" s="2"/>
      <c r="Z969" s="1"/>
      <c r="AC969" s="3"/>
    </row>
    <row r="970" ht="15.75" customHeight="1">
      <c r="E970" s="1"/>
      <c r="H970" s="1"/>
      <c r="K970" s="1"/>
      <c r="N970" s="1"/>
      <c r="Q970" s="1"/>
      <c r="T970" s="2"/>
      <c r="Z970" s="1"/>
      <c r="AC970" s="3"/>
    </row>
    <row r="971" ht="15.75" customHeight="1">
      <c r="E971" s="1"/>
      <c r="H971" s="1"/>
      <c r="K971" s="1"/>
      <c r="N971" s="1"/>
      <c r="Q971" s="1"/>
      <c r="T971" s="2"/>
      <c r="Z971" s="1"/>
      <c r="AC971" s="3"/>
    </row>
    <row r="972" ht="15.75" customHeight="1">
      <c r="E972" s="1"/>
      <c r="H972" s="1"/>
      <c r="K972" s="1"/>
      <c r="N972" s="1"/>
      <c r="Q972" s="1"/>
      <c r="T972" s="2"/>
      <c r="Z972" s="1"/>
      <c r="AC972" s="3"/>
    </row>
    <row r="973" ht="15.75" customHeight="1">
      <c r="E973" s="1"/>
      <c r="H973" s="1"/>
      <c r="K973" s="1"/>
      <c r="N973" s="1"/>
      <c r="Q973" s="1"/>
      <c r="T973" s="2"/>
      <c r="Z973" s="1"/>
      <c r="AC973" s="3"/>
    </row>
    <row r="974" ht="15.75" customHeight="1">
      <c r="E974" s="1"/>
      <c r="H974" s="1"/>
      <c r="K974" s="1"/>
      <c r="N974" s="1"/>
      <c r="Q974" s="1"/>
      <c r="T974" s="2"/>
      <c r="Z974" s="1"/>
      <c r="AC974" s="3"/>
    </row>
    <row r="975" ht="15.75" customHeight="1">
      <c r="E975" s="1"/>
      <c r="H975" s="1"/>
      <c r="K975" s="1"/>
      <c r="N975" s="1"/>
      <c r="Q975" s="1"/>
      <c r="T975" s="2"/>
      <c r="Z975" s="1"/>
      <c r="AC975" s="3"/>
    </row>
    <row r="976" ht="15.75" customHeight="1">
      <c r="E976" s="1"/>
      <c r="H976" s="1"/>
      <c r="K976" s="1"/>
      <c r="N976" s="1"/>
      <c r="Q976" s="1"/>
      <c r="T976" s="2"/>
      <c r="Z976" s="1"/>
      <c r="AC976" s="3"/>
    </row>
    <row r="977" ht="15.75" customHeight="1">
      <c r="E977" s="1"/>
      <c r="H977" s="1"/>
      <c r="K977" s="1"/>
      <c r="N977" s="1"/>
      <c r="Q977" s="1"/>
      <c r="T977" s="2"/>
      <c r="Z977" s="1"/>
      <c r="AC977" s="3"/>
    </row>
    <row r="978" ht="15.75" customHeight="1">
      <c r="E978" s="1"/>
      <c r="H978" s="1"/>
      <c r="K978" s="1"/>
      <c r="N978" s="1"/>
      <c r="Q978" s="1"/>
      <c r="T978" s="2"/>
      <c r="Z978" s="1"/>
      <c r="AC978" s="3"/>
    </row>
    <row r="979" ht="15.75" customHeight="1">
      <c r="E979" s="1"/>
      <c r="H979" s="1"/>
      <c r="K979" s="1"/>
      <c r="N979" s="1"/>
      <c r="Q979" s="1"/>
      <c r="T979" s="2"/>
      <c r="Z979" s="1"/>
      <c r="AC979" s="3"/>
    </row>
    <row r="980" ht="15.75" customHeight="1">
      <c r="E980" s="1"/>
      <c r="H980" s="1"/>
      <c r="K980" s="1"/>
      <c r="N980" s="1"/>
      <c r="Q980" s="1"/>
      <c r="T980" s="2"/>
      <c r="Z980" s="1"/>
      <c r="AC980" s="3"/>
    </row>
    <row r="981" ht="15.75" customHeight="1">
      <c r="E981" s="1"/>
      <c r="H981" s="1"/>
      <c r="K981" s="1"/>
      <c r="N981" s="1"/>
      <c r="Q981" s="1"/>
      <c r="T981" s="2"/>
      <c r="Z981" s="1"/>
      <c r="AC981" s="3"/>
    </row>
    <row r="982" ht="15.75" customHeight="1">
      <c r="E982" s="1"/>
      <c r="H982" s="1"/>
      <c r="K982" s="1"/>
      <c r="N982" s="1"/>
      <c r="Q982" s="1"/>
      <c r="T982" s="2"/>
      <c r="Z982" s="1"/>
      <c r="AC982" s="3"/>
    </row>
    <row r="983" ht="15.75" customHeight="1">
      <c r="E983" s="1"/>
      <c r="H983" s="1"/>
      <c r="K983" s="1"/>
      <c r="N983" s="1"/>
      <c r="Q983" s="1"/>
      <c r="T983" s="2"/>
      <c r="Z983" s="1"/>
      <c r="AC983" s="3"/>
    </row>
    <row r="984" ht="15.75" customHeight="1">
      <c r="E984" s="1"/>
      <c r="H984" s="1"/>
      <c r="K984" s="1"/>
      <c r="N984" s="1"/>
      <c r="Q984" s="1"/>
      <c r="T984" s="2"/>
      <c r="Z984" s="1"/>
      <c r="AC984" s="3"/>
    </row>
    <row r="985" ht="15.75" customHeight="1">
      <c r="E985" s="1"/>
      <c r="H985" s="1"/>
      <c r="K985" s="1"/>
      <c r="N985" s="1"/>
      <c r="Q985" s="1"/>
      <c r="T985" s="2"/>
      <c r="Z985" s="1"/>
      <c r="AC985" s="3"/>
    </row>
    <row r="986" ht="15.75" customHeight="1">
      <c r="E986" s="1"/>
      <c r="H986" s="1"/>
      <c r="K986" s="1"/>
      <c r="N986" s="1"/>
      <c r="Q986" s="1"/>
      <c r="T986" s="2"/>
      <c r="Z986" s="1"/>
      <c r="AC986" s="3"/>
    </row>
    <row r="987" ht="15.75" customHeight="1">
      <c r="E987" s="1"/>
      <c r="H987" s="1"/>
      <c r="K987" s="1"/>
      <c r="N987" s="1"/>
      <c r="Q987" s="1"/>
      <c r="T987" s="2"/>
      <c r="Z987" s="1"/>
      <c r="AC987" s="3"/>
    </row>
    <row r="988" ht="15.75" customHeight="1">
      <c r="E988" s="1"/>
      <c r="H988" s="1"/>
      <c r="K988" s="1"/>
      <c r="N988" s="1"/>
      <c r="Q988" s="1"/>
      <c r="T988" s="2"/>
      <c r="Z988" s="1"/>
      <c r="AC988" s="3"/>
    </row>
    <row r="989" ht="15.75" customHeight="1">
      <c r="E989" s="1"/>
      <c r="H989" s="1"/>
      <c r="K989" s="1"/>
      <c r="N989" s="1"/>
      <c r="Q989" s="1"/>
      <c r="T989" s="2"/>
      <c r="Z989" s="1"/>
      <c r="AC989" s="3"/>
    </row>
    <row r="990" ht="15.75" customHeight="1">
      <c r="E990" s="1"/>
      <c r="H990" s="1"/>
      <c r="K990" s="1"/>
      <c r="N990" s="1"/>
      <c r="Q990" s="1"/>
      <c r="T990" s="2"/>
      <c r="Z990" s="1"/>
      <c r="AC990" s="3"/>
    </row>
    <row r="991" ht="15.75" customHeight="1">
      <c r="E991" s="1"/>
      <c r="H991" s="1"/>
      <c r="K991" s="1"/>
      <c r="N991" s="1"/>
      <c r="Q991" s="1"/>
      <c r="T991" s="2"/>
      <c r="Z991" s="1"/>
      <c r="AC991" s="3"/>
    </row>
    <row r="992" ht="15.75" customHeight="1">
      <c r="E992" s="1"/>
      <c r="H992" s="1"/>
      <c r="K992" s="1"/>
      <c r="N992" s="1"/>
      <c r="Q992" s="1"/>
      <c r="T992" s="2"/>
      <c r="Z992" s="1"/>
      <c r="AC992" s="3"/>
    </row>
    <row r="993" ht="15.75" customHeight="1">
      <c r="E993" s="1"/>
      <c r="H993" s="1"/>
      <c r="K993" s="1"/>
      <c r="N993" s="1"/>
      <c r="Q993" s="1"/>
      <c r="T993" s="2"/>
      <c r="Z993" s="1"/>
      <c r="AC993" s="3"/>
    </row>
    <row r="994" ht="15.75" customHeight="1">
      <c r="E994" s="1"/>
      <c r="H994" s="1"/>
      <c r="K994" s="1"/>
      <c r="N994" s="1"/>
      <c r="Q994" s="1"/>
      <c r="T994" s="2"/>
      <c r="Z994" s="1"/>
      <c r="AC994" s="3"/>
    </row>
    <row r="995" ht="15.75" customHeight="1">
      <c r="E995" s="1"/>
      <c r="H995" s="1"/>
      <c r="K995" s="1"/>
      <c r="N995" s="1"/>
      <c r="Q995" s="1"/>
      <c r="T995" s="2"/>
      <c r="Z995" s="1"/>
      <c r="AC995" s="3"/>
    </row>
    <row r="996" ht="15.75" customHeight="1">
      <c r="E996" s="1"/>
      <c r="H996" s="1"/>
      <c r="K996" s="1"/>
      <c r="N996" s="1"/>
      <c r="Q996" s="1"/>
      <c r="T996" s="2"/>
      <c r="Z996" s="1"/>
      <c r="AC996" s="3"/>
    </row>
    <row r="997" ht="15.75" customHeight="1">
      <c r="E997" s="1"/>
      <c r="H997" s="1"/>
      <c r="K997" s="1"/>
      <c r="N997" s="1"/>
      <c r="Q997" s="1"/>
      <c r="T997" s="2"/>
      <c r="Z997" s="1"/>
      <c r="AC997" s="3"/>
    </row>
    <row r="998" ht="15.75" customHeight="1">
      <c r="E998" s="1"/>
      <c r="H998" s="1"/>
      <c r="K998" s="1"/>
      <c r="N998" s="1"/>
      <c r="Q998" s="1"/>
      <c r="T998" s="2"/>
      <c r="Z998" s="1"/>
      <c r="AC998" s="3"/>
    </row>
    <row r="999" ht="15.75" customHeight="1">
      <c r="E999" s="1"/>
      <c r="H999" s="1"/>
      <c r="K999" s="1"/>
      <c r="N999" s="1"/>
      <c r="Q999" s="1"/>
      <c r="T999" s="2"/>
      <c r="Z999" s="1"/>
      <c r="AC999" s="3"/>
    </row>
    <row r="1000" ht="15.75" customHeight="1">
      <c r="E1000" s="1"/>
      <c r="H1000" s="1"/>
      <c r="K1000" s="1"/>
      <c r="N1000" s="1"/>
      <c r="Q1000" s="1"/>
      <c r="T1000" s="2"/>
      <c r="Z1000" s="1"/>
      <c r="AC1000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18</v>
      </c>
      <c r="B4" s="14" t="s">
        <v>19</v>
      </c>
      <c r="C4" s="15">
        <v>45302.0</v>
      </c>
      <c r="D4" s="15">
        <v>45304.0</v>
      </c>
      <c r="E4" s="16"/>
      <c r="F4" s="17">
        <f t="shared" ref="F4:F40" si="1">PRODUCT(E4)*214.22</f>
        <v>0</v>
      </c>
      <c r="G4" s="17"/>
      <c r="H4" s="16">
        <v>3.0</v>
      </c>
      <c r="I4" s="17">
        <f t="shared" ref="I4:I40" si="2">PRODUCT(H4)*316.77</f>
        <v>950.31</v>
      </c>
      <c r="J4" s="17">
        <v>950.31</v>
      </c>
      <c r="K4" s="16"/>
      <c r="L4" s="17">
        <f t="shared" ref="L4:L40" si="3">PRODUCT(K4)*188.57</f>
        <v>0</v>
      </c>
      <c r="M4" s="17"/>
      <c r="N4" s="16">
        <v>0.0</v>
      </c>
      <c r="O4" s="17">
        <f t="shared" ref="O4:O40" si="4">PRODUCT(N4)*58.85</f>
        <v>0</v>
      </c>
      <c r="P4" s="17"/>
      <c r="Q4" s="16"/>
      <c r="R4" s="17">
        <f t="shared" ref="R4:R40" si="5">PRODUCT(Q4)*30.16</f>
        <v>0</v>
      </c>
      <c r="S4" s="17"/>
      <c r="T4" s="20"/>
      <c r="U4" s="17">
        <f t="shared" ref="U4:U40" si="6">PRODUCT(T4)*33.37</f>
        <v>0</v>
      </c>
      <c r="V4" s="17"/>
      <c r="W4" s="21">
        <f t="shared" ref="W4:W36" si="7">SUM(F4+I4+L4+O4+R4)</f>
        <v>950.31</v>
      </c>
      <c r="X4" s="39"/>
      <c r="Y4" s="23"/>
    </row>
    <row r="5">
      <c r="A5" s="14" t="s">
        <v>20</v>
      </c>
      <c r="B5" s="14" t="s">
        <v>21</v>
      </c>
      <c r="C5" s="15">
        <v>45303.0</v>
      </c>
      <c r="D5" s="15">
        <v>45307.0</v>
      </c>
      <c r="E5" s="16"/>
      <c r="F5" s="17">
        <f t="shared" si="1"/>
        <v>0</v>
      </c>
      <c r="G5" s="17"/>
      <c r="H5" s="16">
        <v>4.0</v>
      </c>
      <c r="I5" s="17">
        <f t="shared" si="2"/>
        <v>1267.08</v>
      </c>
      <c r="J5" s="17">
        <v>1267.08</v>
      </c>
      <c r="K5" s="16">
        <v>2.0</v>
      </c>
      <c r="L5" s="17">
        <f t="shared" si="3"/>
        <v>377.14</v>
      </c>
      <c r="M5" s="17">
        <v>377.14</v>
      </c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1644.22</v>
      </c>
      <c r="X5" s="39">
        <v>45312.0</v>
      </c>
      <c r="Y5" s="23"/>
    </row>
    <row r="6">
      <c r="A6" s="14" t="s">
        <v>82</v>
      </c>
      <c r="B6" s="14" t="s">
        <v>83</v>
      </c>
      <c r="C6" s="15">
        <v>45293.0</v>
      </c>
      <c r="D6" s="15">
        <v>45309.0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11.0</v>
      </c>
      <c r="L6" s="17">
        <f t="shared" si="3"/>
        <v>2074.27</v>
      </c>
      <c r="M6" s="17">
        <v>2074.27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21">
        <f t="shared" si="7"/>
        <v>2074.27</v>
      </c>
      <c r="X6" s="39">
        <v>45312.0</v>
      </c>
      <c r="Y6" s="24"/>
    </row>
    <row r="7">
      <c r="A7" s="14" t="s">
        <v>24</v>
      </c>
      <c r="B7" s="14" t="s">
        <v>25</v>
      </c>
      <c r="C7" s="15">
        <v>45297.0</v>
      </c>
      <c r="D7" s="15">
        <v>45306.0</v>
      </c>
      <c r="E7" s="16"/>
      <c r="F7" s="17">
        <f t="shared" si="1"/>
        <v>0</v>
      </c>
      <c r="G7" s="17"/>
      <c r="H7" s="16">
        <v>10.0</v>
      </c>
      <c r="I7" s="17">
        <f t="shared" si="2"/>
        <v>3167.7</v>
      </c>
      <c r="J7" s="17">
        <v>3167.7</v>
      </c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/>
      <c r="U7" s="17">
        <f t="shared" si="6"/>
        <v>0</v>
      </c>
      <c r="V7" s="17"/>
      <c r="W7" s="21">
        <f t="shared" si="7"/>
        <v>3167.7</v>
      </c>
      <c r="X7" s="39">
        <v>45312.0</v>
      </c>
      <c r="Y7" s="24"/>
    </row>
    <row r="8">
      <c r="A8" s="14" t="s">
        <v>26</v>
      </c>
      <c r="B8" s="14" t="s">
        <v>27</v>
      </c>
      <c r="C8" s="15">
        <v>45297.0</v>
      </c>
      <c r="D8" s="15">
        <v>45308.0</v>
      </c>
      <c r="E8" s="16"/>
      <c r="F8" s="17">
        <f t="shared" si="1"/>
        <v>0</v>
      </c>
      <c r="G8" s="17"/>
      <c r="H8" s="16">
        <v>12.0</v>
      </c>
      <c r="I8" s="17">
        <f t="shared" si="2"/>
        <v>3801.24</v>
      </c>
      <c r="J8" s="17">
        <v>3801.24</v>
      </c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3801.24</v>
      </c>
      <c r="X8" s="39">
        <v>45312.0</v>
      </c>
      <c r="Y8" s="23"/>
    </row>
    <row r="9">
      <c r="A9" s="25" t="s">
        <v>29</v>
      </c>
      <c r="B9" s="14" t="s">
        <v>26</v>
      </c>
      <c r="C9" s="15">
        <v>45303.0</v>
      </c>
      <c r="D9" s="15">
        <v>45304.0</v>
      </c>
      <c r="E9" s="16"/>
      <c r="F9" s="17">
        <f t="shared" si="1"/>
        <v>0</v>
      </c>
      <c r="G9" s="17"/>
      <c r="H9" s="16">
        <v>2.0</v>
      </c>
      <c r="I9" s="17">
        <f t="shared" si="2"/>
        <v>633.54</v>
      </c>
      <c r="J9" s="17">
        <v>633.54</v>
      </c>
      <c r="K9" s="16"/>
      <c r="L9" s="17">
        <f t="shared" si="3"/>
        <v>0</v>
      </c>
      <c r="M9" s="17"/>
      <c r="N9" s="16"/>
      <c r="O9" s="17">
        <f t="shared" si="4"/>
        <v>0</v>
      </c>
      <c r="P9" s="17"/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21">
        <f t="shared" si="7"/>
        <v>633.54</v>
      </c>
      <c r="X9" s="39">
        <v>45312.0</v>
      </c>
      <c r="Y9" s="23"/>
    </row>
    <row r="10">
      <c r="A10" s="26" t="s">
        <v>30</v>
      </c>
      <c r="B10" s="26" t="s">
        <v>31</v>
      </c>
      <c r="C10" s="15">
        <v>45307.0</v>
      </c>
      <c r="D10" s="15">
        <v>45309.0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17"/>
      <c r="N10" s="16">
        <v>3.0</v>
      </c>
      <c r="O10" s="17">
        <f t="shared" si="4"/>
        <v>176.55</v>
      </c>
      <c r="P10" s="17">
        <v>176.55</v>
      </c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7"/>
        <v>176.55</v>
      </c>
      <c r="X10" s="39">
        <v>45312.0</v>
      </c>
      <c r="Y10" s="23"/>
    </row>
    <row r="11">
      <c r="A11" s="26" t="s">
        <v>32</v>
      </c>
      <c r="B11" s="26" t="s">
        <v>33</v>
      </c>
      <c r="C11" s="30">
        <v>45307.0</v>
      </c>
      <c r="D11" s="15">
        <v>45309.0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/>
      <c r="L11" s="17">
        <f t="shared" si="3"/>
        <v>0</v>
      </c>
      <c r="M11" s="17"/>
      <c r="N11" s="16">
        <v>3.0</v>
      </c>
      <c r="O11" s="17">
        <f t="shared" si="4"/>
        <v>176.55</v>
      </c>
      <c r="P11" s="17">
        <v>176.55</v>
      </c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7"/>
        <v>176.55</v>
      </c>
      <c r="X11" s="39">
        <v>45312.0</v>
      </c>
      <c r="Y11" s="23"/>
    </row>
    <row r="12">
      <c r="A12" s="26" t="s">
        <v>35</v>
      </c>
      <c r="B12" s="26" t="s">
        <v>36</v>
      </c>
      <c r="C12" s="30">
        <v>45307.0</v>
      </c>
      <c r="D12" s="15">
        <v>45309.0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/>
      <c r="L12" s="17">
        <f t="shared" si="3"/>
        <v>0</v>
      </c>
      <c r="M12" s="17"/>
      <c r="N12" s="16">
        <v>3.0</v>
      </c>
      <c r="O12" s="17">
        <f t="shared" si="4"/>
        <v>176.55</v>
      </c>
      <c r="P12" s="17">
        <v>176.55</v>
      </c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7"/>
        <v>176.55</v>
      </c>
      <c r="X12" s="39">
        <v>45312.0</v>
      </c>
      <c r="Y12" s="23"/>
    </row>
    <row r="13">
      <c r="A13" s="26" t="s">
        <v>37</v>
      </c>
      <c r="B13" s="26" t="s">
        <v>38</v>
      </c>
      <c r="C13" s="15"/>
      <c r="D13" s="15"/>
      <c r="E13" s="16"/>
      <c r="F13" s="17">
        <f t="shared" si="1"/>
        <v>0</v>
      </c>
      <c r="G13" s="17"/>
      <c r="H13" s="16"/>
      <c r="I13" s="17">
        <f t="shared" si="2"/>
        <v>0</v>
      </c>
      <c r="J13" s="17"/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7"/>
        <v>0</v>
      </c>
      <c r="X13" s="26"/>
      <c r="Y13" s="23"/>
    </row>
    <row r="14">
      <c r="A14" s="26" t="s">
        <v>47</v>
      </c>
      <c r="B14" s="26" t="s">
        <v>84</v>
      </c>
      <c r="C14" s="15">
        <v>45293.0</v>
      </c>
      <c r="D14" s="15">
        <v>45308.0</v>
      </c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>
        <v>10.0</v>
      </c>
      <c r="L14" s="17">
        <f t="shared" si="3"/>
        <v>1885.7</v>
      </c>
      <c r="M14" s="17">
        <v>1885.7</v>
      </c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si="7"/>
        <v>1885.7</v>
      </c>
      <c r="X14" s="39">
        <v>45312.0</v>
      </c>
      <c r="Y14" s="23"/>
    </row>
    <row r="15">
      <c r="A15" s="26" t="s">
        <v>41</v>
      </c>
      <c r="B15" s="26" t="s">
        <v>42</v>
      </c>
      <c r="C15" s="15">
        <v>45307.0</v>
      </c>
      <c r="D15" s="15">
        <v>45308.0</v>
      </c>
      <c r="E15" s="16"/>
      <c r="F15" s="17">
        <f t="shared" si="1"/>
        <v>0</v>
      </c>
      <c r="G15" s="17"/>
      <c r="H15" s="16"/>
      <c r="I15" s="17">
        <f t="shared" si="2"/>
        <v>0</v>
      </c>
      <c r="J15" s="17"/>
      <c r="K15" s="16">
        <v>2.0</v>
      </c>
      <c r="L15" s="17">
        <f t="shared" si="3"/>
        <v>377.14</v>
      </c>
      <c r="M15" s="17">
        <v>377.14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7"/>
        <v>377.14</v>
      </c>
      <c r="X15" s="39">
        <v>45312.0</v>
      </c>
      <c r="Y15" s="23"/>
    </row>
    <row r="16">
      <c r="A16" s="26" t="s">
        <v>43</v>
      </c>
      <c r="B16" s="26" t="s">
        <v>44</v>
      </c>
      <c r="C16" s="30">
        <v>45303.0</v>
      </c>
      <c r="D16" s="15">
        <v>45309.0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/>
      <c r="L16" s="17">
        <f t="shared" si="3"/>
        <v>0</v>
      </c>
      <c r="M16" s="17"/>
      <c r="N16" s="16">
        <v>3.0</v>
      </c>
      <c r="O16" s="17">
        <f t="shared" si="4"/>
        <v>176.55</v>
      </c>
      <c r="P16" s="17">
        <v>176.55</v>
      </c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7"/>
        <v>176.55</v>
      </c>
      <c r="X16" s="39">
        <v>45312.0</v>
      </c>
      <c r="Y16" s="23"/>
    </row>
    <row r="17">
      <c r="A17" s="26" t="s">
        <v>85</v>
      </c>
      <c r="B17" s="26" t="s">
        <v>86</v>
      </c>
      <c r="C17" s="15">
        <v>45303.0</v>
      </c>
      <c r="D17" s="15">
        <v>45308.0</v>
      </c>
      <c r="E17" s="16">
        <v>1.0</v>
      </c>
      <c r="F17" s="17">
        <f t="shared" si="1"/>
        <v>214.22</v>
      </c>
      <c r="G17" s="17">
        <v>214.22</v>
      </c>
      <c r="H17" s="16"/>
      <c r="I17" s="17">
        <f t="shared" si="2"/>
        <v>0</v>
      </c>
      <c r="J17" s="17"/>
      <c r="K17" s="16">
        <v>2.0</v>
      </c>
      <c r="L17" s="17">
        <f t="shared" si="3"/>
        <v>377.14</v>
      </c>
      <c r="M17" s="17">
        <v>377.14</v>
      </c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7"/>
        <v>591.36</v>
      </c>
      <c r="X17" s="39">
        <v>45312.0</v>
      </c>
      <c r="Y17" s="23"/>
    </row>
    <row r="18">
      <c r="A18" s="26" t="s">
        <v>47</v>
      </c>
      <c r="B18" s="26" t="s">
        <v>48</v>
      </c>
      <c r="C18" s="15">
        <v>45307.0</v>
      </c>
      <c r="D18" s="15">
        <v>45309.0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>
        <v>3.0</v>
      </c>
      <c r="L18" s="17">
        <f t="shared" si="3"/>
        <v>565.71</v>
      </c>
      <c r="M18" s="17">
        <v>565.71</v>
      </c>
      <c r="N18" s="16"/>
      <c r="O18" s="17">
        <f t="shared" si="4"/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7"/>
        <v>565.71</v>
      </c>
      <c r="X18" s="39">
        <v>45312.0</v>
      </c>
      <c r="Y18" s="23"/>
    </row>
    <row r="19">
      <c r="A19" s="26" t="s">
        <v>49</v>
      </c>
      <c r="B19" s="26" t="s">
        <v>50</v>
      </c>
      <c r="C19" s="15">
        <v>45307.0</v>
      </c>
      <c r="D19" s="15">
        <v>45309.0</v>
      </c>
      <c r="E19" s="16"/>
      <c r="F19" s="17">
        <f t="shared" si="1"/>
        <v>0</v>
      </c>
      <c r="G19" s="17"/>
      <c r="H19" s="16"/>
      <c r="I19" s="17">
        <f t="shared" si="2"/>
        <v>0</v>
      </c>
      <c r="J19" s="17"/>
      <c r="K19" s="16">
        <v>3.0</v>
      </c>
      <c r="L19" s="17">
        <f t="shared" si="3"/>
        <v>565.71</v>
      </c>
      <c r="M19" s="17">
        <v>565.71</v>
      </c>
      <c r="N19" s="16"/>
      <c r="O19" s="17">
        <f t="shared" si="4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21">
        <f t="shared" si="7"/>
        <v>565.71</v>
      </c>
      <c r="X19" s="39">
        <v>45312.0</v>
      </c>
      <c r="Y19" s="23"/>
    </row>
    <row r="20">
      <c r="A20" s="26" t="s">
        <v>51</v>
      </c>
      <c r="B20" s="26" t="s">
        <v>52</v>
      </c>
      <c r="C20" s="15">
        <v>45306.0</v>
      </c>
      <c r="D20" s="15">
        <v>45306.0</v>
      </c>
      <c r="E20" s="16">
        <v>1.0</v>
      </c>
      <c r="F20" s="17">
        <f t="shared" si="1"/>
        <v>214.22</v>
      </c>
      <c r="G20" s="17">
        <v>214.22</v>
      </c>
      <c r="H20" s="16"/>
      <c r="I20" s="17">
        <f t="shared" si="2"/>
        <v>0</v>
      </c>
      <c r="J20" s="17"/>
      <c r="K20" s="16"/>
      <c r="L20" s="17">
        <f t="shared" si="3"/>
        <v>0</v>
      </c>
      <c r="M20" s="17"/>
      <c r="N20" s="16"/>
      <c r="O20" s="17">
        <f t="shared" si="4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si="7"/>
        <v>214.22</v>
      </c>
      <c r="X20" s="26"/>
      <c r="Y20" s="23"/>
    </row>
    <row r="21" ht="15.75" customHeight="1">
      <c r="A21" s="26" t="s">
        <v>53</v>
      </c>
      <c r="B21" s="26" t="s">
        <v>54</v>
      </c>
      <c r="C21" s="15">
        <v>45303.0</v>
      </c>
      <c r="D21" s="15">
        <v>45303.0</v>
      </c>
      <c r="E21" s="16">
        <v>1.0</v>
      </c>
      <c r="F21" s="17">
        <f t="shared" si="1"/>
        <v>214.22</v>
      </c>
      <c r="G21" s="17">
        <v>214.22</v>
      </c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4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7"/>
        <v>214.22</v>
      </c>
      <c r="X21" s="39">
        <v>45312.0</v>
      </c>
      <c r="Y21" s="23"/>
    </row>
    <row r="22" ht="15.75" customHeight="1">
      <c r="A22" s="26" t="s">
        <v>55</v>
      </c>
      <c r="B22" s="26" t="s">
        <v>56</v>
      </c>
      <c r="C22" s="15">
        <v>45307.0</v>
      </c>
      <c r="D22" s="15">
        <v>45309.0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3.0</v>
      </c>
      <c r="L22" s="17">
        <f t="shared" si="3"/>
        <v>565.71</v>
      </c>
      <c r="M22" s="17">
        <v>565.71</v>
      </c>
      <c r="N22" s="16"/>
      <c r="O22" s="17">
        <f t="shared" si="4"/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21">
        <f t="shared" si="7"/>
        <v>565.71</v>
      </c>
      <c r="X22" s="26"/>
      <c r="Y22" s="23"/>
    </row>
    <row r="23" ht="15.75" customHeight="1">
      <c r="A23" s="26" t="s">
        <v>57</v>
      </c>
      <c r="B23" s="26" t="s">
        <v>58</v>
      </c>
      <c r="C23" s="15">
        <v>45307.0</v>
      </c>
      <c r="D23" s="15">
        <v>45309.0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>
        <v>3.0</v>
      </c>
      <c r="L23" s="17">
        <f t="shared" si="3"/>
        <v>565.71</v>
      </c>
      <c r="M23" s="17">
        <v>565.71</v>
      </c>
      <c r="N23" s="16"/>
      <c r="O23" s="17">
        <f t="shared" si="4"/>
        <v>0</v>
      </c>
      <c r="P23" s="17"/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21">
        <f t="shared" si="7"/>
        <v>565.71</v>
      </c>
      <c r="X23" s="39">
        <v>45312.0</v>
      </c>
      <c r="Y23" s="23"/>
    </row>
    <row r="24" ht="15.75" customHeight="1">
      <c r="A24" s="26" t="s">
        <v>59</v>
      </c>
      <c r="B24" s="26" t="s">
        <v>60</v>
      </c>
      <c r="C24" s="15">
        <v>45307.0</v>
      </c>
      <c r="D24" s="15">
        <v>45309.0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3.0</v>
      </c>
      <c r="L24" s="17">
        <f t="shared" si="3"/>
        <v>565.71</v>
      </c>
      <c r="M24" s="17">
        <v>565.71</v>
      </c>
      <c r="N24" s="16"/>
      <c r="O24" s="17">
        <f t="shared" si="4"/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21">
        <f t="shared" si="7"/>
        <v>565.71</v>
      </c>
      <c r="X24" s="39">
        <v>45312.0</v>
      </c>
      <c r="Y24" s="23"/>
    </row>
    <row r="25" ht="15.75" customHeight="1">
      <c r="A25" s="26" t="s">
        <v>61</v>
      </c>
      <c r="B25" s="26" t="s">
        <v>62</v>
      </c>
      <c r="C25" s="15">
        <v>45307.0</v>
      </c>
      <c r="D25" s="15">
        <v>45308.0</v>
      </c>
      <c r="E25" s="28"/>
      <c r="F25" s="17">
        <f t="shared" si="1"/>
        <v>0</v>
      </c>
      <c r="G25" s="17"/>
      <c r="H25" s="28"/>
      <c r="I25" s="17">
        <f t="shared" si="2"/>
        <v>0</v>
      </c>
      <c r="J25" s="17"/>
      <c r="K25" s="16">
        <v>2.0</v>
      </c>
      <c r="L25" s="17">
        <f t="shared" si="3"/>
        <v>377.14</v>
      </c>
      <c r="M25" s="17">
        <v>377.14</v>
      </c>
      <c r="N25" s="28"/>
      <c r="O25" s="17">
        <f t="shared" si="4"/>
        <v>0</v>
      </c>
      <c r="P25" s="17"/>
      <c r="Q25" s="28"/>
      <c r="R25" s="17">
        <f t="shared" si="5"/>
        <v>0</v>
      </c>
      <c r="S25" s="17"/>
      <c r="T25" s="29"/>
      <c r="U25" s="17">
        <f t="shared" si="6"/>
        <v>0</v>
      </c>
      <c r="V25" s="17"/>
      <c r="W25" s="21">
        <f t="shared" si="7"/>
        <v>377.14</v>
      </c>
      <c r="X25" s="39">
        <v>45312.0</v>
      </c>
      <c r="Y25" s="23"/>
    </row>
    <row r="26" ht="15.75" customHeight="1">
      <c r="A26" s="26" t="s">
        <v>63</v>
      </c>
      <c r="B26" s="26" t="s">
        <v>64</v>
      </c>
      <c r="C26" s="30">
        <v>45307.0</v>
      </c>
      <c r="D26" s="15">
        <v>45309.0</v>
      </c>
      <c r="E26" s="28"/>
      <c r="F26" s="17">
        <f t="shared" si="1"/>
        <v>0</v>
      </c>
      <c r="G26" s="17"/>
      <c r="H26" s="28"/>
      <c r="I26" s="17">
        <f t="shared" si="2"/>
        <v>0</v>
      </c>
      <c r="J26" s="17"/>
      <c r="K26" s="16">
        <v>3.0</v>
      </c>
      <c r="L26" s="17">
        <f t="shared" si="3"/>
        <v>565.71</v>
      </c>
      <c r="M26" s="17">
        <v>565.71</v>
      </c>
      <c r="N26" s="28"/>
      <c r="O26" s="17">
        <f t="shared" si="4"/>
        <v>0</v>
      </c>
      <c r="P26" s="17"/>
      <c r="Q26" s="28"/>
      <c r="R26" s="17">
        <f t="shared" si="5"/>
        <v>0</v>
      </c>
      <c r="S26" s="17"/>
      <c r="T26" s="29"/>
      <c r="U26" s="17">
        <f t="shared" si="6"/>
        <v>0</v>
      </c>
      <c r="V26" s="17"/>
      <c r="W26" s="21">
        <f t="shared" si="7"/>
        <v>565.71</v>
      </c>
      <c r="X26" s="26"/>
      <c r="Y26" s="23"/>
    </row>
    <row r="27" ht="15.75" customHeight="1">
      <c r="A27" s="26" t="s">
        <v>65</v>
      </c>
      <c r="B27" s="26" t="s">
        <v>66</v>
      </c>
      <c r="C27" s="30">
        <v>45307.0</v>
      </c>
      <c r="D27" s="15">
        <v>45309.0</v>
      </c>
      <c r="E27" s="28"/>
      <c r="F27" s="17">
        <f t="shared" si="1"/>
        <v>0</v>
      </c>
      <c r="G27" s="17"/>
      <c r="H27" s="28"/>
      <c r="I27" s="17">
        <f t="shared" si="2"/>
        <v>0</v>
      </c>
      <c r="J27" s="17"/>
      <c r="K27" s="16">
        <v>3.0</v>
      </c>
      <c r="L27" s="17">
        <f t="shared" si="3"/>
        <v>565.71</v>
      </c>
      <c r="M27" s="17">
        <v>565.71</v>
      </c>
      <c r="N27" s="28"/>
      <c r="O27" s="17">
        <f t="shared" si="4"/>
        <v>0</v>
      </c>
      <c r="P27" s="17"/>
      <c r="Q27" s="28"/>
      <c r="R27" s="17">
        <f t="shared" si="5"/>
        <v>0</v>
      </c>
      <c r="S27" s="17"/>
      <c r="T27" s="29"/>
      <c r="U27" s="17">
        <f t="shared" si="6"/>
        <v>0</v>
      </c>
      <c r="V27" s="17"/>
      <c r="W27" s="21">
        <f t="shared" si="7"/>
        <v>565.71</v>
      </c>
      <c r="X27" s="39">
        <v>45312.0</v>
      </c>
      <c r="Y27" s="23"/>
    </row>
    <row r="28" ht="15.75" customHeight="1">
      <c r="A28" s="26" t="s">
        <v>67</v>
      </c>
      <c r="B28" s="26" t="s">
        <v>68</v>
      </c>
      <c r="C28" s="30">
        <v>45307.0</v>
      </c>
      <c r="D28" s="15">
        <v>45309.0</v>
      </c>
      <c r="E28" s="28"/>
      <c r="F28" s="17">
        <f t="shared" si="1"/>
        <v>0</v>
      </c>
      <c r="G28" s="17"/>
      <c r="H28" s="28"/>
      <c r="I28" s="17">
        <f t="shared" si="2"/>
        <v>0</v>
      </c>
      <c r="J28" s="17"/>
      <c r="K28" s="16">
        <v>3.0</v>
      </c>
      <c r="L28" s="17">
        <f t="shared" si="3"/>
        <v>565.71</v>
      </c>
      <c r="M28" s="17">
        <v>565.71</v>
      </c>
      <c r="N28" s="28"/>
      <c r="O28" s="17">
        <f t="shared" si="4"/>
        <v>0</v>
      </c>
      <c r="P28" s="17"/>
      <c r="Q28" s="28"/>
      <c r="R28" s="17">
        <f t="shared" si="5"/>
        <v>0</v>
      </c>
      <c r="S28" s="17"/>
      <c r="T28" s="29"/>
      <c r="U28" s="17">
        <f t="shared" si="6"/>
        <v>0</v>
      </c>
      <c r="V28" s="17"/>
      <c r="W28" s="21">
        <f t="shared" si="7"/>
        <v>565.71</v>
      </c>
      <c r="X28" s="39">
        <v>45312.0</v>
      </c>
      <c r="Y28" s="23"/>
    </row>
    <row r="29" ht="15.75" customHeight="1">
      <c r="A29" s="26" t="s">
        <v>69</v>
      </c>
      <c r="B29" s="26" t="s">
        <v>70</v>
      </c>
      <c r="C29" s="30">
        <v>45307.0</v>
      </c>
      <c r="D29" s="15">
        <v>45309.0</v>
      </c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16">
        <v>3.0</v>
      </c>
      <c r="L29" s="17">
        <f t="shared" si="3"/>
        <v>565.71</v>
      </c>
      <c r="M29" s="17">
        <v>565.71</v>
      </c>
      <c r="N29" s="28"/>
      <c r="O29" s="17">
        <f t="shared" si="4"/>
        <v>0</v>
      </c>
      <c r="P29" s="17"/>
      <c r="Q29" s="28"/>
      <c r="R29" s="17">
        <f t="shared" si="5"/>
        <v>0</v>
      </c>
      <c r="S29" s="17"/>
      <c r="T29" s="29"/>
      <c r="U29" s="17">
        <f t="shared" si="6"/>
        <v>0</v>
      </c>
      <c r="V29" s="17"/>
      <c r="W29" s="21">
        <f t="shared" si="7"/>
        <v>565.71</v>
      </c>
      <c r="X29" s="39">
        <v>45312.0</v>
      </c>
      <c r="Y29" s="23"/>
    </row>
    <row r="30" ht="15.75" customHeight="1">
      <c r="A30" s="26" t="s">
        <v>71</v>
      </c>
      <c r="B30" s="26" t="s">
        <v>72</v>
      </c>
      <c r="C30" s="30">
        <v>45307.0</v>
      </c>
      <c r="D30" s="30">
        <v>45307.0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3.0</v>
      </c>
      <c r="L30" s="17">
        <f t="shared" si="3"/>
        <v>565.71</v>
      </c>
      <c r="M30" s="17">
        <v>0.0</v>
      </c>
      <c r="N30" s="28"/>
      <c r="O30" s="17">
        <f t="shared" si="4"/>
        <v>0</v>
      </c>
      <c r="P30" s="17"/>
      <c r="Q30" s="28"/>
      <c r="R30" s="17">
        <f t="shared" si="5"/>
        <v>0</v>
      </c>
      <c r="S30" s="17"/>
      <c r="T30" s="29"/>
      <c r="U30" s="17">
        <f t="shared" si="6"/>
        <v>0</v>
      </c>
      <c r="V30" s="17"/>
      <c r="W30" s="21">
        <f t="shared" si="7"/>
        <v>565.71</v>
      </c>
      <c r="X30" s="26"/>
      <c r="Y30" s="23"/>
    </row>
    <row r="31" ht="15.75" customHeight="1">
      <c r="A31" s="26" t="s">
        <v>73</v>
      </c>
      <c r="B31" s="26" t="s">
        <v>74</v>
      </c>
      <c r="C31" s="15">
        <v>45307.0</v>
      </c>
      <c r="D31" s="15">
        <v>45309.0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16">
        <v>2.0</v>
      </c>
      <c r="L31" s="17">
        <f t="shared" si="3"/>
        <v>377.14</v>
      </c>
      <c r="M31" s="17">
        <v>377.14</v>
      </c>
      <c r="N31" s="28"/>
      <c r="O31" s="17">
        <f t="shared" si="4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17"/>
      <c r="W31" s="21">
        <f t="shared" si="7"/>
        <v>377.14</v>
      </c>
      <c r="X31" s="39">
        <v>45312.0</v>
      </c>
      <c r="Y31" s="23"/>
    </row>
    <row r="32" ht="15.75" customHeight="1">
      <c r="A32" s="26" t="s">
        <v>75</v>
      </c>
      <c r="B32" s="26" t="s">
        <v>76</v>
      </c>
      <c r="C32" s="30">
        <v>45307.0</v>
      </c>
      <c r="D32" s="30">
        <v>45308.0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2.0</v>
      </c>
      <c r="L32" s="17">
        <f t="shared" si="3"/>
        <v>377.14</v>
      </c>
      <c r="M32" s="17"/>
      <c r="N32" s="28"/>
      <c r="O32" s="17">
        <f t="shared" si="4"/>
        <v>0</v>
      </c>
      <c r="P32" s="17"/>
      <c r="Q32" s="28"/>
      <c r="R32" s="17">
        <f t="shared" si="5"/>
        <v>0</v>
      </c>
      <c r="S32" s="17"/>
      <c r="T32" s="29"/>
      <c r="U32" s="17">
        <f t="shared" si="6"/>
        <v>0</v>
      </c>
      <c r="V32" s="17"/>
      <c r="W32" s="21">
        <f t="shared" si="7"/>
        <v>377.14</v>
      </c>
      <c r="X32" s="26"/>
      <c r="Y32" s="23"/>
    </row>
    <row r="33" ht="15.75" customHeight="1">
      <c r="A33" s="26" t="s">
        <v>77</v>
      </c>
      <c r="B33" s="26" t="s">
        <v>87</v>
      </c>
      <c r="C33" s="30">
        <v>45303.0</v>
      </c>
      <c r="D33" s="30">
        <v>45303.0</v>
      </c>
      <c r="E33" s="28">
        <v>1.0</v>
      </c>
      <c r="F33" s="17">
        <f t="shared" si="1"/>
        <v>214.22</v>
      </c>
      <c r="G33" s="17">
        <v>214.22</v>
      </c>
      <c r="H33" s="28"/>
      <c r="I33" s="17">
        <f t="shared" si="2"/>
        <v>0</v>
      </c>
      <c r="J33" s="17"/>
      <c r="K33" s="16"/>
      <c r="L33" s="17">
        <f t="shared" si="3"/>
        <v>0</v>
      </c>
      <c r="M33" s="17"/>
      <c r="N33" s="28"/>
      <c r="O33" s="17">
        <f t="shared" si="4"/>
        <v>0</v>
      </c>
      <c r="P33" s="17"/>
      <c r="Q33" s="28"/>
      <c r="R33" s="17">
        <f t="shared" si="5"/>
        <v>0</v>
      </c>
      <c r="S33" s="17"/>
      <c r="T33" s="29"/>
      <c r="U33" s="17">
        <f t="shared" si="6"/>
        <v>0</v>
      </c>
      <c r="V33" s="17"/>
      <c r="W33" s="21">
        <f t="shared" si="7"/>
        <v>214.22</v>
      </c>
      <c r="X33" s="39">
        <v>45312.0</v>
      </c>
      <c r="Y33" s="23"/>
    </row>
    <row r="34" ht="15.75" customHeight="1">
      <c r="A34" s="26" t="s">
        <v>79</v>
      </c>
      <c r="B34" s="26" t="s">
        <v>80</v>
      </c>
      <c r="C34" s="30">
        <v>45308.0</v>
      </c>
      <c r="D34" s="30">
        <v>45308.0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1.0</v>
      </c>
      <c r="L34" s="17">
        <f t="shared" si="3"/>
        <v>188.57</v>
      </c>
      <c r="M34" s="17"/>
      <c r="N34" s="28"/>
      <c r="O34" s="17">
        <f t="shared" si="4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21">
        <f t="shared" si="7"/>
        <v>188.57</v>
      </c>
      <c r="X34" s="26"/>
      <c r="Y34" s="23"/>
    </row>
    <row r="35" ht="15.75" customHeight="1">
      <c r="A35" s="26" t="s">
        <v>22</v>
      </c>
      <c r="B35" s="26" t="s">
        <v>23</v>
      </c>
      <c r="C35" s="30">
        <v>45307.0</v>
      </c>
      <c r="D35" s="30">
        <v>45308.0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2.0</v>
      </c>
      <c r="L35" s="17">
        <f t="shared" si="3"/>
        <v>377.14</v>
      </c>
      <c r="M35" s="17">
        <v>377.14</v>
      </c>
      <c r="N35" s="28"/>
      <c r="O35" s="17">
        <f t="shared" si="4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21">
        <f t="shared" si="7"/>
        <v>377.14</v>
      </c>
      <c r="X35" s="22">
        <v>45326.0</v>
      </c>
      <c r="Y35" s="23"/>
      <c r="Z35" s="31"/>
    </row>
    <row r="36" ht="15.75" customHeight="1">
      <c r="A36" s="26" t="s">
        <v>88</v>
      </c>
      <c r="B36" s="26" t="s">
        <v>89</v>
      </c>
      <c r="C36" s="30">
        <v>45303.0</v>
      </c>
      <c r="D36" s="30">
        <v>45303.0</v>
      </c>
      <c r="E36" s="28">
        <v>1.0</v>
      </c>
      <c r="F36" s="17">
        <f t="shared" si="1"/>
        <v>214.22</v>
      </c>
      <c r="G36" s="17">
        <v>214.22</v>
      </c>
      <c r="H36" s="28"/>
      <c r="I36" s="17">
        <f t="shared" si="2"/>
        <v>0</v>
      </c>
      <c r="J36" s="17"/>
      <c r="K36" s="16"/>
      <c r="L36" s="17">
        <f t="shared" si="3"/>
        <v>0</v>
      </c>
      <c r="M36" s="17"/>
      <c r="N36" s="28"/>
      <c r="O36" s="17">
        <f t="shared" si="4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 t="shared" si="7"/>
        <v>214.22</v>
      </c>
      <c r="X36" s="39">
        <v>45312.0</v>
      </c>
      <c r="Y36" s="23"/>
    </row>
    <row r="37" ht="15.75" customHeight="1">
      <c r="A37" s="26" t="s">
        <v>90</v>
      </c>
      <c r="B37" s="26" t="s">
        <v>91</v>
      </c>
      <c r="C37" s="30">
        <v>45303.0</v>
      </c>
      <c r="D37" s="30">
        <v>45303.0</v>
      </c>
      <c r="E37" s="28">
        <v>1.0</v>
      </c>
      <c r="F37" s="17">
        <f t="shared" si="1"/>
        <v>214.22</v>
      </c>
      <c r="G37" s="17">
        <v>214.22</v>
      </c>
      <c r="H37" s="28"/>
      <c r="I37" s="17">
        <f t="shared" si="2"/>
        <v>0</v>
      </c>
      <c r="J37" s="17"/>
      <c r="K37" s="16"/>
      <c r="L37" s="17">
        <f t="shared" si="3"/>
        <v>0</v>
      </c>
      <c r="M37" s="17"/>
      <c r="N37" s="28"/>
      <c r="O37" s="17">
        <f t="shared" si="4"/>
        <v>0</v>
      </c>
      <c r="P37" s="17"/>
      <c r="Q37" s="28"/>
      <c r="R37" s="17">
        <f t="shared" si="5"/>
        <v>0</v>
      </c>
      <c r="S37" s="17"/>
      <c r="T37" s="29"/>
      <c r="U37" s="17">
        <f t="shared" si="6"/>
        <v>0</v>
      </c>
      <c r="V37" s="17"/>
      <c r="W37" s="21">
        <v>214.22</v>
      </c>
      <c r="X37" s="39">
        <v>45312.0</v>
      </c>
      <c r="Y37" s="23"/>
    </row>
    <row r="38" ht="15.75" customHeight="1">
      <c r="A38" s="26" t="s">
        <v>92</v>
      </c>
      <c r="B38" s="26" t="s">
        <v>93</v>
      </c>
      <c r="C38" s="30">
        <v>45307.0</v>
      </c>
      <c r="D38" s="30">
        <v>45308.0</v>
      </c>
      <c r="E38" s="28">
        <v>1.0</v>
      </c>
      <c r="F38" s="17">
        <f t="shared" si="1"/>
        <v>214.22</v>
      </c>
      <c r="G38" s="17">
        <v>214.22</v>
      </c>
      <c r="H38" s="28"/>
      <c r="I38" s="17">
        <f t="shared" si="2"/>
        <v>0</v>
      </c>
      <c r="J38" s="17"/>
      <c r="K38" s="16">
        <v>1.0</v>
      </c>
      <c r="L38" s="17">
        <f t="shared" si="3"/>
        <v>188.57</v>
      </c>
      <c r="M38" s="17">
        <v>188.57</v>
      </c>
      <c r="N38" s="28"/>
      <c r="O38" s="17">
        <f t="shared" si="4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21">
        <f>SUM(F38+I38+L38+O38+R38)</f>
        <v>402.79</v>
      </c>
      <c r="X38" s="39">
        <v>45312.0</v>
      </c>
      <c r="Y38" s="23"/>
    </row>
    <row r="39" ht="15.75" customHeight="1">
      <c r="A39" s="26" t="s">
        <v>65</v>
      </c>
      <c r="B39" s="26" t="s">
        <v>94</v>
      </c>
      <c r="C39" s="30">
        <v>45309.0</v>
      </c>
      <c r="D39" s="30">
        <v>45309.0</v>
      </c>
      <c r="E39" s="28">
        <v>1.0</v>
      </c>
      <c r="F39" s="17">
        <f t="shared" si="1"/>
        <v>214.22</v>
      </c>
      <c r="G39" s="17">
        <v>214.22</v>
      </c>
      <c r="H39" s="28"/>
      <c r="I39" s="17">
        <f t="shared" si="2"/>
        <v>0</v>
      </c>
      <c r="J39" s="17"/>
      <c r="K39" s="16"/>
      <c r="L39" s="17">
        <f t="shared" si="3"/>
        <v>0</v>
      </c>
      <c r="M39" s="17"/>
      <c r="N39" s="28"/>
      <c r="O39" s="17">
        <f t="shared" si="4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21">
        <v>214.22</v>
      </c>
      <c r="X39" s="39">
        <v>45312.0</v>
      </c>
      <c r="Y39" s="23"/>
    </row>
    <row r="40" ht="15.75" customHeight="1">
      <c r="A40" s="26" t="s">
        <v>65</v>
      </c>
      <c r="B40" s="26" t="s">
        <v>21</v>
      </c>
      <c r="C40" s="30">
        <v>45307.0</v>
      </c>
      <c r="D40" s="30">
        <v>45309.0</v>
      </c>
      <c r="E40" s="28">
        <v>1.0</v>
      </c>
      <c r="F40" s="17">
        <f t="shared" si="1"/>
        <v>214.22</v>
      </c>
      <c r="G40" s="17">
        <v>214.22</v>
      </c>
      <c r="H40" s="28"/>
      <c r="I40" s="17">
        <f t="shared" si="2"/>
        <v>0</v>
      </c>
      <c r="J40" s="17"/>
      <c r="K40" s="16">
        <v>2.0</v>
      </c>
      <c r="L40" s="17">
        <f t="shared" si="3"/>
        <v>377.14</v>
      </c>
      <c r="M40" s="17">
        <v>377.14</v>
      </c>
      <c r="N40" s="28"/>
      <c r="O40" s="17">
        <f t="shared" si="4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21">
        <f>SUM(F40+I40+L40+O40+R40)</f>
        <v>591.36</v>
      </c>
      <c r="X40" s="39">
        <v>45312.0</v>
      </c>
      <c r="Y40" s="23"/>
    </row>
    <row r="41" ht="15.75" customHeight="1">
      <c r="A41" s="40" t="s">
        <v>81</v>
      </c>
      <c r="B41" s="41"/>
      <c r="C41" s="41"/>
      <c r="D41" s="41"/>
      <c r="E41" s="42"/>
      <c r="F41" s="43">
        <f t="shared" ref="F41:G41" si="8">SUM(F4:F36)</f>
        <v>1071.1</v>
      </c>
      <c r="G41" s="43">
        <f t="shared" si="8"/>
        <v>1071.1</v>
      </c>
      <c r="H41" s="42"/>
      <c r="I41" s="43">
        <f t="shared" ref="I41:J41" si="9">SUM(I4:I36)</f>
        <v>9819.87</v>
      </c>
      <c r="J41" s="43">
        <f t="shared" si="9"/>
        <v>9819.87</v>
      </c>
      <c r="K41" s="42"/>
      <c r="L41" s="43">
        <f t="shared" ref="L41:M41" si="10">SUM(L4:L36)</f>
        <v>12445.62</v>
      </c>
      <c r="M41" s="43">
        <f t="shared" si="10"/>
        <v>11314.2</v>
      </c>
      <c r="N41" s="42"/>
      <c r="O41" s="43">
        <f t="shared" ref="O41:P41" si="11">SUM(O4:O36)</f>
        <v>706.2</v>
      </c>
      <c r="P41" s="43">
        <f t="shared" si="11"/>
        <v>706.2</v>
      </c>
      <c r="Q41" s="42"/>
      <c r="R41" s="43">
        <f t="shared" ref="R41:S41" si="12">SUM(R4:R36)</f>
        <v>0</v>
      </c>
      <c r="S41" s="43">
        <f t="shared" si="12"/>
        <v>0</v>
      </c>
      <c r="T41" s="42"/>
      <c r="U41" s="43">
        <f t="shared" ref="U41:W41" si="13">SUM(U4:U36)</f>
        <v>0</v>
      </c>
      <c r="V41" s="43">
        <f t="shared" si="13"/>
        <v>0</v>
      </c>
      <c r="W41" s="43">
        <f t="shared" si="13"/>
        <v>24042.79</v>
      </c>
      <c r="X41" s="41"/>
      <c r="Y41" s="44"/>
    </row>
    <row r="42" ht="15.75" customHeight="1">
      <c r="E42" s="1"/>
      <c r="H42" s="1"/>
      <c r="K42" s="1"/>
      <c r="N42" s="1"/>
      <c r="Q42" s="1"/>
      <c r="T42" s="1"/>
      <c r="W42" s="3"/>
    </row>
    <row r="43" ht="15.75" customHeight="1">
      <c r="E43" s="1"/>
      <c r="H43" s="1"/>
      <c r="K43" s="1"/>
      <c r="N43" s="1"/>
      <c r="Q43" s="1"/>
      <c r="T43" s="1"/>
      <c r="W43" s="3"/>
    </row>
    <row r="44" ht="15.75" customHeight="1">
      <c r="E44" s="1"/>
      <c r="H44" s="1"/>
      <c r="K44" s="1"/>
      <c r="N44" s="1"/>
      <c r="Q44" s="1"/>
      <c r="T44" s="1"/>
      <c r="W44" s="3"/>
    </row>
    <row r="45" ht="15.75" customHeight="1">
      <c r="E45" s="1"/>
      <c r="H45" s="1"/>
      <c r="K45" s="1"/>
      <c r="N45" s="1"/>
      <c r="Q45" s="1"/>
      <c r="T45" s="1"/>
      <c r="W45" s="3"/>
    </row>
    <row r="46" ht="15.75" customHeight="1">
      <c r="E46" s="1"/>
      <c r="H46" s="1"/>
      <c r="K46" s="1"/>
      <c r="N46" s="1"/>
      <c r="Q46" s="1"/>
      <c r="T46" s="1"/>
      <c r="W46" s="3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18</v>
      </c>
      <c r="B4" s="14" t="s">
        <v>19</v>
      </c>
      <c r="C4" s="15">
        <v>45305.0</v>
      </c>
      <c r="D4" s="15">
        <v>45314.0</v>
      </c>
      <c r="E4" s="16"/>
      <c r="F4" s="17">
        <f t="shared" ref="F4:F49" si="1">PRODUCT(E4)*214.22</f>
        <v>0</v>
      </c>
      <c r="G4" s="17"/>
      <c r="H4" s="16">
        <v>9.0</v>
      </c>
      <c r="I4" s="17">
        <f t="shared" ref="I4:I49" si="2">PRODUCT(H4)*316.77</f>
        <v>2850.93</v>
      </c>
      <c r="J4" s="17">
        <v>2850.93</v>
      </c>
      <c r="K4" s="16">
        <v>1.0</v>
      </c>
      <c r="L4" s="17">
        <f t="shared" ref="L4:L49" si="3">PRODUCT(K4)*188.57</f>
        <v>188.57</v>
      </c>
      <c r="M4" s="17">
        <v>188.57</v>
      </c>
      <c r="N4" s="16"/>
      <c r="O4" s="17">
        <f t="shared" ref="O4:O19" si="4">PRODUCT(N4)*58.85</f>
        <v>0</v>
      </c>
      <c r="P4" s="17"/>
      <c r="Q4" s="16"/>
      <c r="R4" s="17">
        <f t="shared" ref="R4:R49" si="5">PRODUCT(Q4)*30.16</f>
        <v>0</v>
      </c>
      <c r="S4" s="17"/>
      <c r="T4" s="20">
        <v>12.0</v>
      </c>
      <c r="U4" s="17">
        <f t="shared" ref="U4:U49" si="6">PRODUCT(T4)*33.37</f>
        <v>400.44</v>
      </c>
      <c r="V4" s="17"/>
      <c r="W4" s="21">
        <f t="shared" ref="W4:W13" si="7">SUM(F4+I4+L4+O4+R4)</f>
        <v>3039.5</v>
      </c>
      <c r="X4" s="22">
        <v>45326.0</v>
      </c>
      <c r="Y4" s="23"/>
    </row>
    <row r="5">
      <c r="A5" s="14" t="s">
        <v>20</v>
      </c>
      <c r="B5" s="14" t="s">
        <v>21</v>
      </c>
      <c r="C5" s="15">
        <v>45310.0</v>
      </c>
      <c r="D5" s="15">
        <v>45316.0</v>
      </c>
      <c r="E5" s="16"/>
      <c r="F5" s="17">
        <f t="shared" si="1"/>
        <v>0</v>
      </c>
      <c r="G5" s="17"/>
      <c r="H5" s="16"/>
      <c r="I5" s="17">
        <f t="shared" si="2"/>
        <v>0</v>
      </c>
      <c r="J5" s="17"/>
      <c r="K5" s="16">
        <v>5.0</v>
      </c>
      <c r="L5" s="17">
        <f t="shared" si="3"/>
        <v>942.85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>
        <v>12.0</v>
      </c>
      <c r="U5" s="17">
        <f t="shared" si="6"/>
        <v>400.44</v>
      </c>
      <c r="V5" s="17"/>
      <c r="W5" s="21">
        <f t="shared" si="7"/>
        <v>942.85</v>
      </c>
      <c r="X5" s="26"/>
      <c r="Y5" s="23"/>
    </row>
    <row r="6">
      <c r="A6" s="14" t="s">
        <v>82</v>
      </c>
      <c r="B6" s="14" t="s">
        <v>83</v>
      </c>
      <c r="C6" s="15">
        <v>45310.0</v>
      </c>
      <c r="D6" s="15">
        <v>45316.0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5.0</v>
      </c>
      <c r="L6" s="17">
        <f t="shared" si="3"/>
        <v>942.85</v>
      </c>
      <c r="M6" s="17">
        <v>942.85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>
        <v>13.0</v>
      </c>
      <c r="U6" s="17">
        <f t="shared" si="6"/>
        <v>433.81</v>
      </c>
      <c r="V6" s="17"/>
      <c r="W6" s="21">
        <f t="shared" si="7"/>
        <v>942.85</v>
      </c>
      <c r="X6" s="22">
        <v>45326.0</v>
      </c>
      <c r="Y6" s="24"/>
    </row>
    <row r="7">
      <c r="A7" s="14" t="s">
        <v>24</v>
      </c>
      <c r="B7" s="14" t="s">
        <v>25</v>
      </c>
      <c r="C7" s="15"/>
      <c r="D7" s="15"/>
      <c r="E7" s="16"/>
      <c r="F7" s="17">
        <f t="shared" si="1"/>
        <v>0</v>
      </c>
      <c r="G7" s="17"/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/>
      <c r="U7" s="17">
        <f t="shared" si="6"/>
        <v>0</v>
      </c>
      <c r="V7" s="17"/>
      <c r="W7" s="21">
        <f t="shared" si="7"/>
        <v>0</v>
      </c>
      <c r="X7" s="26"/>
      <c r="Y7" s="24"/>
    </row>
    <row r="8">
      <c r="A8" s="14" t="s">
        <v>26</v>
      </c>
      <c r="B8" s="14" t="s">
        <v>27</v>
      </c>
      <c r="C8" s="15">
        <v>45309.0</v>
      </c>
      <c r="D8" s="15">
        <v>45313.0</v>
      </c>
      <c r="E8" s="16"/>
      <c r="F8" s="17">
        <f t="shared" si="1"/>
        <v>0</v>
      </c>
      <c r="G8" s="17"/>
      <c r="H8" s="16">
        <v>5.0</v>
      </c>
      <c r="I8" s="17">
        <f t="shared" si="2"/>
        <v>1583.85</v>
      </c>
      <c r="J8" s="17"/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1583.85</v>
      </c>
      <c r="X8" s="26"/>
      <c r="Y8" s="23"/>
    </row>
    <row r="9">
      <c r="A9" s="25" t="s">
        <v>29</v>
      </c>
      <c r="B9" s="14" t="s">
        <v>26</v>
      </c>
      <c r="C9" s="15"/>
      <c r="D9" s="15"/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16"/>
      <c r="O9" s="17">
        <f t="shared" si="4"/>
        <v>0</v>
      </c>
      <c r="P9" s="17"/>
      <c r="Q9" s="16"/>
      <c r="R9" s="17">
        <f t="shared" si="5"/>
        <v>0</v>
      </c>
      <c r="S9" s="17"/>
      <c r="T9" s="20">
        <v>8.0</v>
      </c>
      <c r="U9" s="17">
        <f t="shared" si="6"/>
        <v>266.96</v>
      </c>
      <c r="V9" s="17"/>
      <c r="W9" s="21">
        <f t="shared" si="7"/>
        <v>0</v>
      </c>
      <c r="X9" s="45"/>
      <c r="Y9" s="23"/>
    </row>
    <row r="10">
      <c r="A10" s="26" t="s">
        <v>30</v>
      </c>
      <c r="B10" s="26" t="s">
        <v>31</v>
      </c>
      <c r="C10" s="15">
        <v>45313.0</v>
      </c>
      <c r="D10" s="15">
        <v>45317.0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17"/>
      <c r="N10" s="16">
        <v>4.0</v>
      </c>
      <c r="O10" s="17">
        <f t="shared" si="4"/>
        <v>235.4</v>
      </c>
      <c r="P10" s="17">
        <v>235.4</v>
      </c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7"/>
        <v>235.4</v>
      </c>
      <c r="X10" s="45"/>
      <c r="Y10" s="23"/>
    </row>
    <row r="11">
      <c r="A11" s="26" t="s">
        <v>95</v>
      </c>
      <c r="B11" s="26" t="s">
        <v>58</v>
      </c>
      <c r="C11" s="30">
        <v>45299.0</v>
      </c>
      <c r="D11" s="15">
        <v>45316.0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12.0</v>
      </c>
      <c r="L11" s="17">
        <f t="shared" si="3"/>
        <v>2262.84</v>
      </c>
      <c r="M11" s="17">
        <v>2262.84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7"/>
        <v>2262.84</v>
      </c>
      <c r="X11" s="22">
        <v>45326.0</v>
      </c>
      <c r="Y11" s="23"/>
    </row>
    <row r="12">
      <c r="A12" s="26" t="s">
        <v>35</v>
      </c>
      <c r="B12" s="26" t="s">
        <v>36</v>
      </c>
      <c r="C12" s="30">
        <v>45313.0</v>
      </c>
      <c r="D12" s="15">
        <v>45314.0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/>
      <c r="L12" s="17">
        <f t="shared" si="3"/>
        <v>0</v>
      </c>
      <c r="M12" s="17"/>
      <c r="N12" s="16">
        <v>2.0</v>
      </c>
      <c r="O12" s="17">
        <f t="shared" si="4"/>
        <v>117.7</v>
      </c>
      <c r="P12" s="17">
        <v>117.7</v>
      </c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7"/>
        <v>117.7</v>
      </c>
      <c r="X12" s="22">
        <v>45326.0</v>
      </c>
      <c r="Y12" s="23"/>
    </row>
    <row r="13">
      <c r="A13" s="26" t="s">
        <v>37</v>
      </c>
      <c r="B13" s="26" t="s">
        <v>38</v>
      </c>
      <c r="C13" s="15">
        <v>45303.0</v>
      </c>
      <c r="D13" s="15">
        <v>45317.0</v>
      </c>
      <c r="E13" s="16"/>
      <c r="F13" s="17">
        <f t="shared" si="1"/>
        <v>0</v>
      </c>
      <c r="G13" s="17"/>
      <c r="H13" s="16">
        <v>14.0</v>
      </c>
      <c r="I13" s="17">
        <f t="shared" si="2"/>
        <v>4434.78</v>
      </c>
      <c r="J13" s="17">
        <v>3801.24</v>
      </c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7"/>
        <v>4434.78</v>
      </c>
      <c r="X13" s="39">
        <v>45326.0</v>
      </c>
      <c r="Y13" s="23"/>
    </row>
    <row r="14">
      <c r="A14" s="26" t="s">
        <v>47</v>
      </c>
      <c r="B14" s="26" t="s">
        <v>84</v>
      </c>
      <c r="C14" s="15">
        <v>45310.0</v>
      </c>
      <c r="D14" s="15">
        <v>45316.0</v>
      </c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>
        <v>5.0</v>
      </c>
      <c r="L14" s="17">
        <f t="shared" si="3"/>
        <v>942.85</v>
      </c>
      <c r="M14" s="17">
        <v>942.85</v>
      </c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>
        <v>12.0</v>
      </c>
      <c r="U14" s="17">
        <f t="shared" si="6"/>
        <v>400.44</v>
      </c>
      <c r="V14" s="17"/>
      <c r="W14" s="21">
        <v>404.44</v>
      </c>
      <c r="X14" s="39">
        <v>45326.0</v>
      </c>
      <c r="Y14" s="46"/>
    </row>
    <row r="15">
      <c r="A15" s="26" t="s">
        <v>71</v>
      </c>
      <c r="B15" s="26" t="s">
        <v>96</v>
      </c>
      <c r="C15" s="15">
        <v>45316.0</v>
      </c>
      <c r="D15" s="15">
        <v>45316.0</v>
      </c>
      <c r="E15" s="16">
        <v>1.0</v>
      </c>
      <c r="F15" s="17">
        <f t="shared" si="1"/>
        <v>214.22</v>
      </c>
      <c r="G15" s="17">
        <v>214.22</v>
      </c>
      <c r="H15" s="16"/>
      <c r="I15" s="17">
        <f t="shared" si="2"/>
        <v>0</v>
      </c>
      <c r="J15" s="17"/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ref="W15:W23" si="8">SUM(F15+I15+L15+O15+R15)</f>
        <v>214.22</v>
      </c>
      <c r="X15" s="26"/>
      <c r="Y15" s="23"/>
    </row>
    <row r="16">
      <c r="A16" s="26" t="s">
        <v>73</v>
      </c>
      <c r="B16" s="26" t="s">
        <v>74</v>
      </c>
      <c r="C16" s="15">
        <v>45315.0</v>
      </c>
      <c r="D16" s="15">
        <v>45315.0</v>
      </c>
      <c r="E16" s="16">
        <v>1.0</v>
      </c>
      <c r="F16" s="17">
        <f t="shared" si="1"/>
        <v>214.22</v>
      </c>
      <c r="G16" s="17">
        <v>214.22</v>
      </c>
      <c r="H16" s="16"/>
      <c r="I16" s="17">
        <f t="shared" si="2"/>
        <v>0</v>
      </c>
      <c r="J16" s="17"/>
      <c r="K16" s="16">
        <v>3.0</v>
      </c>
      <c r="L16" s="17">
        <f t="shared" si="3"/>
        <v>565.71</v>
      </c>
      <c r="M16" s="17">
        <v>565.71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8"/>
        <v>779.93</v>
      </c>
      <c r="X16" s="39">
        <v>45326.0</v>
      </c>
      <c r="Y16" s="23"/>
    </row>
    <row r="17">
      <c r="A17" s="26" t="s">
        <v>97</v>
      </c>
      <c r="B17" s="26" t="s">
        <v>98</v>
      </c>
      <c r="C17" s="15">
        <v>45315.0</v>
      </c>
      <c r="D17" s="15">
        <v>45315.0</v>
      </c>
      <c r="E17" s="16">
        <v>1.0</v>
      </c>
      <c r="F17" s="17">
        <f t="shared" si="1"/>
        <v>214.22</v>
      </c>
      <c r="G17" s="17">
        <v>214.22</v>
      </c>
      <c r="H17" s="16"/>
      <c r="I17" s="17">
        <f t="shared" si="2"/>
        <v>0</v>
      </c>
      <c r="J17" s="17"/>
      <c r="K17" s="16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8"/>
        <v>214.22</v>
      </c>
      <c r="X17" s="22">
        <v>45326.0</v>
      </c>
      <c r="Y17" s="23"/>
    </row>
    <row r="18">
      <c r="A18" s="26" t="s">
        <v>99</v>
      </c>
      <c r="B18" s="26" t="s">
        <v>100</v>
      </c>
      <c r="C18" s="15">
        <v>45315.0</v>
      </c>
      <c r="D18" s="15">
        <v>45315.0</v>
      </c>
      <c r="E18" s="16">
        <v>1.0</v>
      </c>
      <c r="F18" s="17">
        <f t="shared" si="1"/>
        <v>214.22</v>
      </c>
      <c r="G18" s="17">
        <v>214.22</v>
      </c>
      <c r="H18" s="16"/>
      <c r="I18" s="17">
        <f t="shared" si="2"/>
        <v>0</v>
      </c>
      <c r="J18" s="17"/>
      <c r="K18" s="16"/>
      <c r="L18" s="17">
        <f t="shared" si="3"/>
        <v>0</v>
      </c>
      <c r="M18" s="17"/>
      <c r="N18" s="16"/>
      <c r="O18" s="17">
        <f t="shared" si="4"/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8"/>
        <v>214.22</v>
      </c>
      <c r="X18" s="22">
        <v>45326.0</v>
      </c>
      <c r="Y18" s="23"/>
    </row>
    <row r="19">
      <c r="A19" s="26" t="s">
        <v>101</v>
      </c>
      <c r="B19" s="26" t="s">
        <v>102</v>
      </c>
      <c r="C19" s="15">
        <v>45313.0</v>
      </c>
      <c r="D19" s="15">
        <v>45313.0</v>
      </c>
      <c r="E19" s="16">
        <v>1.0</v>
      </c>
      <c r="F19" s="17">
        <f t="shared" si="1"/>
        <v>214.22</v>
      </c>
      <c r="G19" s="17">
        <v>214.22</v>
      </c>
      <c r="H19" s="16"/>
      <c r="I19" s="17">
        <f t="shared" si="2"/>
        <v>0</v>
      </c>
      <c r="J19" s="17"/>
      <c r="K19" s="16"/>
      <c r="L19" s="17">
        <f t="shared" si="3"/>
        <v>0</v>
      </c>
      <c r="M19" s="17"/>
      <c r="N19" s="16"/>
      <c r="O19" s="17">
        <f t="shared" si="4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21">
        <f t="shared" si="8"/>
        <v>214.22</v>
      </c>
      <c r="X19" s="22">
        <v>45326.0</v>
      </c>
      <c r="Y19" s="23"/>
    </row>
    <row r="20">
      <c r="A20" s="26" t="s">
        <v>103</v>
      </c>
      <c r="B20" s="26" t="s">
        <v>104</v>
      </c>
      <c r="C20" s="15">
        <v>45313.0</v>
      </c>
      <c r="D20" s="15">
        <v>45313.0</v>
      </c>
      <c r="E20" s="16">
        <v>1.0</v>
      </c>
      <c r="F20" s="17">
        <f t="shared" si="1"/>
        <v>214.22</v>
      </c>
      <c r="G20" s="17">
        <v>214.22</v>
      </c>
      <c r="H20" s="16"/>
      <c r="I20" s="17">
        <f t="shared" si="2"/>
        <v>0</v>
      </c>
      <c r="J20" s="17"/>
      <c r="K20" s="16"/>
      <c r="L20" s="17">
        <f t="shared" si="3"/>
        <v>0</v>
      </c>
      <c r="M20" s="17"/>
      <c r="N20" s="16"/>
      <c r="O20" s="17">
        <f t="shared" ref="O20:O23" si="9">PRODUCT(N20)*188.57</f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si="8"/>
        <v>214.22</v>
      </c>
      <c r="X20" s="39">
        <v>45326.0</v>
      </c>
      <c r="Y20" s="23"/>
    </row>
    <row r="21">
      <c r="A21" s="26" t="s">
        <v>105</v>
      </c>
      <c r="B21" s="26" t="s">
        <v>106</v>
      </c>
      <c r="C21" s="15">
        <v>45310.0</v>
      </c>
      <c r="D21" s="15">
        <v>45310.0</v>
      </c>
      <c r="E21" s="16">
        <v>1.0</v>
      </c>
      <c r="F21" s="17">
        <f t="shared" si="1"/>
        <v>214.22</v>
      </c>
      <c r="G21" s="17">
        <v>214.22</v>
      </c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9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8"/>
        <v>214.22</v>
      </c>
      <c r="X21" s="39">
        <v>45326.0</v>
      </c>
      <c r="Y21" s="23"/>
    </row>
    <row r="22">
      <c r="A22" s="26" t="s">
        <v>107</v>
      </c>
      <c r="B22" s="26" t="s">
        <v>108</v>
      </c>
      <c r="C22" s="15">
        <v>45308.0</v>
      </c>
      <c r="D22" s="15">
        <v>45308.0</v>
      </c>
      <c r="E22" s="16">
        <v>1.0</v>
      </c>
      <c r="F22" s="17">
        <f t="shared" si="1"/>
        <v>214.22</v>
      </c>
      <c r="G22" s="17">
        <v>214.22</v>
      </c>
      <c r="H22" s="16"/>
      <c r="I22" s="17">
        <f t="shared" si="2"/>
        <v>0</v>
      </c>
      <c r="J22" s="17"/>
      <c r="K22" s="16"/>
      <c r="L22" s="17">
        <f t="shared" si="3"/>
        <v>0</v>
      </c>
      <c r="M22" s="17"/>
      <c r="N22" s="16"/>
      <c r="O22" s="17">
        <f t="shared" si="9"/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21">
        <f t="shared" si="8"/>
        <v>214.22</v>
      </c>
      <c r="X22" s="22">
        <v>45326.0</v>
      </c>
      <c r="Y22" s="23"/>
    </row>
    <row r="23">
      <c r="A23" s="26" t="s">
        <v>109</v>
      </c>
      <c r="B23" s="26" t="s">
        <v>110</v>
      </c>
      <c r="C23" s="15">
        <v>45307.0</v>
      </c>
      <c r="D23" s="15">
        <v>45307.0</v>
      </c>
      <c r="E23" s="16">
        <v>1.0</v>
      </c>
      <c r="F23" s="17">
        <f t="shared" si="1"/>
        <v>214.22</v>
      </c>
      <c r="G23" s="17">
        <v>214.22</v>
      </c>
      <c r="H23" s="16"/>
      <c r="I23" s="17">
        <f t="shared" si="2"/>
        <v>0</v>
      </c>
      <c r="J23" s="17"/>
      <c r="K23" s="16"/>
      <c r="L23" s="17">
        <f t="shared" si="3"/>
        <v>0</v>
      </c>
      <c r="M23" s="17"/>
      <c r="N23" s="16"/>
      <c r="O23" s="17">
        <f t="shared" si="9"/>
        <v>0</v>
      </c>
      <c r="P23" s="17"/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21">
        <f t="shared" si="8"/>
        <v>214.22</v>
      </c>
      <c r="X23" s="39">
        <v>45326.0</v>
      </c>
      <c r="Y23" s="23"/>
    </row>
    <row r="24">
      <c r="A24" s="26" t="s">
        <v>41</v>
      </c>
      <c r="B24" s="26" t="s">
        <v>42</v>
      </c>
      <c r="C24" s="15"/>
      <c r="D24" s="15"/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/>
      <c r="L24" s="17">
        <f t="shared" si="3"/>
        <v>0</v>
      </c>
      <c r="M24" s="17"/>
      <c r="N24" s="16"/>
      <c r="O24" s="17">
        <f>PRODUCT(N21)*188.57</f>
        <v>0</v>
      </c>
      <c r="P24" s="17"/>
      <c r="Q24" s="16"/>
      <c r="R24" s="17">
        <f t="shared" si="5"/>
        <v>0</v>
      </c>
      <c r="S24" s="17"/>
      <c r="T24" s="20">
        <v>12.0</v>
      </c>
      <c r="U24" s="17">
        <f t="shared" si="6"/>
        <v>400.44</v>
      </c>
      <c r="V24" s="17"/>
      <c r="W24" s="21">
        <v>400.44</v>
      </c>
      <c r="X24" s="26"/>
      <c r="Y24" s="23"/>
    </row>
    <row r="25">
      <c r="A25" s="26" t="s">
        <v>43</v>
      </c>
      <c r="B25" s="26" t="s">
        <v>44</v>
      </c>
      <c r="C25" s="30">
        <v>45313.0</v>
      </c>
      <c r="D25" s="15">
        <v>45316.0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/>
      <c r="L25" s="17">
        <f t="shared" si="3"/>
        <v>0</v>
      </c>
      <c r="M25" s="17"/>
      <c r="N25" s="16">
        <v>4.0</v>
      </c>
      <c r="O25" s="17">
        <f t="shared" ref="O25:O49" si="10">PRODUCT(N25)*58.85</f>
        <v>235.4</v>
      </c>
      <c r="P25" s="17">
        <v>235.4</v>
      </c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21">
        <f t="shared" ref="W25:W45" si="11">SUM(F25+I25+L25+O25+R25)</f>
        <v>235.4</v>
      </c>
      <c r="X25" s="39">
        <v>45326.0</v>
      </c>
      <c r="Y25" s="23"/>
    </row>
    <row r="26">
      <c r="A26" s="26" t="s">
        <v>85</v>
      </c>
      <c r="B26" s="26" t="s">
        <v>86</v>
      </c>
      <c r="C26" s="15">
        <v>45310.0</v>
      </c>
      <c r="D26" s="15">
        <v>45316.0</v>
      </c>
      <c r="E26" s="16"/>
      <c r="F26" s="17">
        <f t="shared" si="1"/>
        <v>0</v>
      </c>
      <c r="G26" s="17"/>
      <c r="H26" s="16"/>
      <c r="I26" s="17">
        <f t="shared" si="2"/>
        <v>0</v>
      </c>
      <c r="J26" s="17"/>
      <c r="K26" s="16">
        <v>5.0</v>
      </c>
      <c r="L26" s="17">
        <f t="shared" si="3"/>
        <v>942.85</v>
      </c>
      <c r="M26" s="17">
        <v>942.85</v>
      </c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 t="shared" si="11"/>
        <v>942.85</v>
      </c>
      <c r="X26" s="39">
        <v>45326.0</v>
      </c>
      <c r="Y26" s="23"/>
    </row>
    <row r="27">
      <c r="A27" s="26" t="s">
        <v>47</v>
      </c>
      <c r="B27" s="26" t="s">
        <v>48</v>
      </c>
      <c r="C27" s="15">
        <v>45310.0</v>
      </c>
      <c r="D27" s="15">
        <v>45316.0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17"/>
      <c r="K27" s="16">
        <v>5.0</v>
      </c>
      <c r="L27" s="17">
        <f t="shared" si="3"/>
        <v>942.85</v>
      </c>
      <c r="M27" s="17">
        <v>942.85</v>
      </c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20">
        <v>12.0</v>
      </c>
      <c r="U27" s="17">
        <f t="shared" si="6"/>
        <v>400.44</v>
      </c>
      <c r="V27" s="17"/>
      <c r="W27" s="21">
        <f t="shared" si="11"/>
        <v>942.85</v>
      </c>
      <c r="X27" s="39">
        <v>45326.0</v>
      </c>
      <c r="Y27" s="23"/>
    </row>
    <row r="28">
      <c r="A28" s="26" t="s">
        <v>49</v>
      </c>
      <c r="B28" s="26" t="s">
        <v>50</v>
      </c>
      <c r="C28" s="15">
        <v>45310.0</v>
      </c>
      <c r="D28" s="15">
        <v>45316.0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17"/>
      <c r="K28" s="16">
        <v>5.0</v>
      </c>
      <c r="L28" s="17">
        <f t="shared" si="3"/>
        <v>942.85</v>
      </c>
      <c r="M28" s="17">
        <v>942.85</v>
      </c>
      <c r="N28" s="16"/>
      <c r="O28" s="17">
        <f t="shared" si="10"/>
        <v>0</v>
      </c>
      <c r="P28" s="17"/>
      <c r="Q28" s="16"/>
      <c r="R28" s="17">
        <f t="shared" si="5"/>
        <v>0</v>
      </c>
      <c r="S28" s="17"/>
      <c r="T28" s="20">
        <v>12.0</v>
      </c>
      <c r="U28" s="17">
        <f t="shared" si="6"/>
        <v>400.44</v>
      </c>
      <c r="V28" s="17"/>
      <c r="W28" s="21">
        <f t="shared" si="11"/>
        <v>942.85</v>
      </c>
      <c r="X28" s="22">
        <v>45326.0</v>
      </c>
      <c r="Y28" s="23"/>
    </row>
    <row r="29">
      <c r="A29" s="26" t="s">
        <v>51</v>
      </c>
      <c r="B29" s="26" t="s">
        <v>52</v>
      </c>
      <c r="C29" s="15"/>
      <c r="D29" s="15"/>
      <c r="E29" s="16"/>
      <c r="F29" s="17">
        <f t="shared" si="1"/>
        <v>0</v>
      </c>
      <c r="G29" s="17"/>
      <c r="H29" s="16"/>
      <c r="I29" s="17">
        <f t="shared" si="2"/>
        <v>0</v>
      </c>
      <c r="J29" s="17"/>
      <c r="K29" s="16"/>
      <c r="L29" s="17">
        <f t="shared" si="3"/>
        <v>0</v>
      </c>
      <c r="M29" s="17"/>
      <c r="N29" s="16"/>
      <c r="O29" s="17">
        <f t="shared" si="10"/>
        <v>0</v>
      </c>
      <c r="P29" s="17"/>
      <c r="Q29" s="16"/>
      <c r="R29" s="17">
        <f t="shared" si="5"/>
        <v>0</v>
      </c>
      <c r="S29" s="17"/>
      <c r="T29" s="20">
        <v>12.0</v>
      </c>
      <c r="U29" s="17">
        <f t="shared" si="6"/>
        <v>400.44</v>
      </c>
      <c r="V29" s="17"/>
      <c r="W29" s="21">
        <f t="shared" si="11"/>
        <v>0</v>
      </c>
      <c r="X29" s="26"/>
      <c r="Y29" s="23"/>
    </row>
    <row r="30" ht="15.75" customHeight="1">
      <c r="A30" s="26" t="s">
        <v>53</v>
      </c>
      <c r="B30" s="26" t="s">
        <v>54</v>
      </c>
      <c r="C30" s="15"/>
      <c r="D30" s="15"/>
      <c r="E30" s="16"/>
      <c r="F30" s="17">
        <f t="shared" si="1"/>
        <v>0</v>
      </c>
      <c r="G30" s="17"/>
      <c r="H30" s="16"/>
      <c r="I30" s="17">
        <f t="shared" si="2"/>
        <v>0</v>
      </c>
      <c r="J30" s="17"/>
      <c r="K30" s="16"/>
      <c r="L30" s="17">
        <f t="shared" si="3"/>
        <v>0</v>
      </c>
      <c r="M30" s="17"/>
      <c r="N30" s="16"/>
      <c r="O30" s="17">
        <f t="shared" si="10"/>
        <v>0</v>
      </c>
      <c r="P30" s="17"/>
      <c r="Q30" s="16"/>
      <c r="R30" s="17">
        <f t="shared" si="5"/>
        <v>0</v>
      </c>
      <c r="S30" s="17"/>
      <c r="T30" s="20"/>
      <c r="U30" s="17">
        <f t="shared" si="6"/>
        <v>0</v>
      </c>
      <c r="V30" s="17"/>
      <c r="W30" s="21">
        <f t="shared" si="11"/>
        <v>0</v>
      </c>
      <c r="X30" s="26"/>
      <c r="Y30" s="23"/>
    </row>
    <row r="31" ht="15.75" customHeight="1">
      <c r="A31" s="26" t="s">
        <v>55</v>
      </c>
      <c r="B31" s="26" t="s">
        <v>56</v>
      </c>
      <c r="C31" s="15">
        <v>45310.0</v>
      </c>
      <c r="D31" s="15">
        <v>45316.0</v>
      </c>
      <c r="E31" s="16"/>
      <c r="F31" s="17">
        <f t="shared" si="1"/>
        <v>0</v>
      </c>
      <c r="G31" s="17"/>
      <c r="H31" s="16"/>
      <c r="I31" s="17">
        <f t="shared" si="2"/>
        <v>0</v>
      </c>
      <c r="J31" s="17"/>
      <c r="K31" s="16">
        <v>5.0</v>
      </c>
      <c r="L31" s="17">
        <f t="shared" si="3"/>
        <v>942.85</v>
      </c>
      <c r="M31" s="17">
        <v>942.85</v>
      </c>
      <c r="N31" s="16"/>
      <c r="O31" s="17">
        <f t="shared" si="10"/>
        <v>0</v>
      </c>
      <c r="P31" s="17"/>
      <c r="Q31" s="16"/>
      <c r="R31" s="17">
        <f t="shared" si="5"/>
        <v>0</v>
      </c>
      <c r="S31" s="17"/>
      <c r="T31" s="20">
        <v>11.0</v>
      </c>
      <c r="U31" s="17">
        <f t="shared" si="6"/>
        <v>367.07</v>
      </c>
      <c r="V31" s="17"/>
      <c r="W31" s="21">
        <f t="shared" si="11"/>
        <v>942.85</v>
      </c>
      <c r="X31" s="39">
        <v>45326.0</v>
      </c>
      <c r="Y31" s="23"/>
    </row>
    <row r="32" ht="15.75" customHeight="1">
      <c r="A32" s="26" t="s">
        <v>57</v>
      </c>
      <c r="B32" s="26" t="s">
        <v>58</v>
      </c>
      <c r="C32" s="15">
        <v>45310.0</v>
      </c>
      <c r="D32" s="15">
        <v>45316.0</v>
      </c>
      <c r="E32" s="16"/>
      <c r="F32" s="17">
        <f t="shared" si="1"/>
        <v>0</v>
      </c>
      <c r="G32" s="17"/>
      <c r="H32" s="16"/>
      <c r="I32" s="17">
        <f t="shared" si="2"/>
        <v>0</v>
      </c>
      <c r="J32" s="17"/>
      <c r="K32" s="16">
        <v>5.0</v>
      </c>
      <c r="L32" s="17">
        <f t="shared" si="3"/>
        <v>942.85</v>
      </c>
      <c r="M32" s="17">
        <v>942.85</v>
      </c>
      <c r="N32" s="16"/>
      <c r="O32" s="17">
        <f t="shared" si="10"/>
        <v>0</v>
      </c>
      <c r="P32" s="17"/>
      <c r="Q32" s="16"/>
      <c r="R32" s="17">
        <f t="shared" si="5"/>
        <v>0</v>
      </c>
      <c r="S32" s="17"/>
      <c r="T32" s="20">
        <v>11.0</v>
      </c>
      <c r="U32" s="17">
        <f t="shared" si="6"/>
        <v>367.07</v>
      </c>
      <c r="V32" s="17"/>
      <c r="W32" s="21">
        <f t="shared" si="11"/>
        <v>942.85</v>
      </c>
      <c r="X32" s="39">
        <v>45326.0</v>
      </c>
      <c r="Y32" s="23"/>
    </row>
    <row r="33" ht="15.75" customHeight="1">
      <c r="A33" s="26" t="s">
        <v>59</v>
      </c>
      <c r="B33" s="26" t="s">
        <v>60</v>
      </c>
      <c r="C33" s="15">
        <v>45310.0</v>
      </c>
      <c r="D33" s="15">
        <v>45316.0</v>
      </c>
      <c r="E33" s="16"/>
      <c r="F33" s="17">
        <f t="shared" si="1"/>
        <v>0</v>
      </c>
      <c r="G33" s="17"/>
      <c r="H33" s="16"/>
      <c r="I33" s="17">
        <f t="shared" si="2"/>
        <v>0</v>
      </c>
      <c r="J33" s="17"/>
      <c r="K33" s="16">
        <v>5.0</v>
      </c>
      <c r="L33" s="17">
        <f t="shared" si="3"/>
        <v>942.85</v>
      </c>
      <c r="M33" s="17">
        <v>942.85</v>
      </c>
      <c r="N33" s="16"/>
      <c r="O33" s="17">
        <f t="shared" si="10"/>
        <v>0</v>
      </c>
      <c r="P33" s="17"/>
      <c r="Q33" s="16"/>
      <c r="R33" s="17">
        <f t="shared" si="5"/>
        <v>0</v>
      </c>
      <c r="S33" s="17"/>
      <c r="T33" s="20">
        <v>12.0</v>
      </c>
      <c r="U33" s="17">
        <f t="shared" si="6"/>
        <v>400.44</v>
      </c>
      <c r="V33" s="17"/>
      <c r="W33" s="21">
        <f t="shared" si="11"/>
        <v>942.85</v>
      </c>
      <c r="X33" s="39">
        <v>45326.0</v>
      </c>
      <c r="Y33" s="23"/>
    </row>
    <row r="34" ht="15.75" customHeight="1">
      <c r="A34" s="26" t="s">
        <v>61</v>
      </c>
      <c r="B34" s="26" t="s">
        <v>62</v>
      </c>
      <c r="C34" s="15">
        <v>45310.0</v>
      </c>
      <c r="D34" s="15">
        <v>45316.0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5.0</v>
      </c>
      <c r="L34" s="17">
        <f t="shared" si="3"/>
        <v>942.85</v>
      </c>
      <c r="M34" s="17">
        <v>942.85</v>
      </c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21">
        <f t="shared" si="11"/>
        <v>942.85</v>
      </c>
      <c r="X34" s="39">
        <v>45326.0</v>
      </c>
      <c r="Y34" s="23"/>
    </row>
    <row r="35" ht="15.75" customHeight="1">
      <c r="A35" s="26" t="s">
        <v>63</v>
      </c>
      <c r="B35" s="26" t="s">
        <v>64</v>
      </c>
      <c r="C35" s="30">
        <v>45310.0</v>
      </c>
      <c r="D35" s="15">
        <v>45316.0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4.0</v>
      </c>
      <c r="L35" s="17">
        <f t="shared" si="3"/>
        <v>754.28</v>
      </c>
      <c r="M35" s="17">
        <v>754.28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21">
        <f t="shared" si="11"/>
        <v>754.28</v>
      </c>
      <c r="X35" s="39">
        <v>45326.0</v>
      </c>
      <c r="Y35" s="23"/>
    </row>
    <row r="36" ht="15.75" customHeight="1">
      <c r="A36" s="26" t="s">
        <v>65</v>
      </c>
      <c r="B36" s="26" t="s">
        <v>66</v>
      </c>
      <c r="C36" s="30">
        <v>45310.0</v>
      </c>
      <c r="D36" s="15">
        <v>45316.0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17"/>
      <c r="K36" s="16">
        <v>5.0</v>
      </c>
      <c r="L36" s="17">
        <f t="shared" si="3"/>
        <v>942.85</v>
      </c>
      <c r="M36" s="17">
        <v>942.85</v>
      </c>
      <c r="N36" s="28"/>
      <c r="O36" s="17">
        <f t="shared" si="10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 t="shared" si="11"/>
        <v>942.85</v>
      </c>
      <c r="X36" s="39">
        <v>45326.0</v>
      </c>
      <c r="Y36" s="23"/>
    </row>
    <row r="37" ht="15.75" customHeight="1">
      <c r="A37" s="26" t="s">
        <v>67</v>
      </c>
      <c r="B37" s="26" t="s">
        <v>68</v>
      </c>
      <c r="C37" s="30">
        <v>45310.0</v>
      </c>
      <c r="D37" s="15">
        <v>45316.0</v>
      </c>
      <c r="E37" s="28"/>
      <c r="F37" s="17">
        <f t="shared" si="1"/>
        <v>0</v>
      </c>
      <c r="G37" s="17"/>
      <c r="H37" s="28"/>
      <c r="I37" s="17">
        <f t="shared" si="2"/>
        <v>0</v>
      </c>
      <c r="J37" s="17"/>
      <c r="K37" s="16">
        <v>5.0</v>
      </c>
      <c r="L37" s="17">
        <f t="shared" si="3"/>
        <v>942.85</v>
      </c>
      <c r="M37" s="17">
        <v>942.85</v>
      </c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20">
        <v>12.0</v>
      </c>
      <c r="U37" s="17">
        <f t="shared" si="6"/>
        <v>400.44</v>
      </c>
      <c r="V37" s="17"/>
      <c r="W37" s="21">
        <f t="shared" si="11"/>
        <v>942.85</v>
      </c>
      <c r="X37" s="39">
        <v>45326.0</v>
      </c>
      <c r="Y37" s="23"/>
    </row>
    <row r="38" ht="15.75" customHeight="1">
      <c r="A38" s="26" t="s">
        <v>69</v>
      </c>
      <c r="B38" s="26" t="s">
        <v>70</v>
      </c>
      <c r="C38" s="30">
        <v>45310.0</v>
      </c>
      <c r="D38" s="15">
        <v>45316.0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5.0</v>
      </c>
      <c r="L38" s="17">
        <f t="shared" si="3"/>
        <v>942.85</v>
      </c>
      <c r="M38" s="17">
        <v>942.85</v>
      </c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21">
        <f t="shared" si="11"/>
        <v>942.85</v>
      </c>
      <c r="X38" s="39">
        <v>45326.0</v>
      </c>
      <c r="Y38" s="23"/>
    </row>
    <row r="39" ht="15.75" customHeight="1">
      <c r="A39" s="26" t="s">
        <v>71</v>
      </c>
      <c r="B39" s="26" t="s">
        <v>72</v>
      </c>
      <c r="C39" s="30">
        <v>45310.0</v>
      </c>
      <c r="D39" s="15">
        <v>45316.0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5.0</v>
      </c>
      <c r="L39" s="17">
        <f t="shared" si="3"/>
        <v>942.85</v>
      </c>
      <c r="M39" s="17"/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21">
        <f t="shared" si="11"/>
        <v>942.85</v>
      </c>
      <c r="X39" s="26"/>
      <c r="Y39" s="23"/>
    </row>
    <row r="40" ht="15.75" customHeight="1">
      <c r="A40" s="26" t="s">
        <v>73</v>
      </c>
      <c r="B40" s="26" t="s">
        <v>74</v>
      </c>
      <c r="C40" s="30">
        <v>45310.0</v>
      </c>
      <c r="D40" s="15">
        <v>45315.0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>
        <v>3.0</v>
      </c>
      <c r="L40" s="17">
        <f t="shared" si="3"/>
        <v>565.71</v>
      </c>
      <c r="M40" s="17"/>
      <c r="N40" s="28"/>
      <c r="O40" s="17">
        <f t="shared" si="10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21">
        <f t="shared" si="11"/>
        <v>565.71</v>
      </c>
      <c r="X40" s="22">
        <v>45326.0</v>
      </c>
      <c r="Y40" s="23"/>
    </row>
    <row r="41" ht="15.75" customHeight="1">
      <c r="A41" s="26" t="s">
        <v>75</v>
      </c>
      <c r="B41" s="26" t="s">
        <v>76</v>
      </c>
      <c r="C41" s="30"/>
      <c r="D41" s="30"/>
      <c r="E41" s="28"/>
      <c r="F41" s="17">
        <f t="shared" si="1"/>
        <v>0</v>
      </c>
      <c r="G41" s="17"/>
      <c r="H41" s="28"/>
      <c r="I41" s="17">
        <f t="shared" si="2"/>
        <v>0</v>
      </c>
      <c r="J41" s="17"/>
      <c r="K41" s="16"/>
      <c r="L41" s="17">
        <f t="shared" si="3"/>
        <v>0</v>
      </c>
      <c r="M41" s="17"/>
      <c r="N41" s="28"/>
      <c r="O41" s="17">
        <f t="shared" si="10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21">
        <f t="shared" si="11"/>
        <v>0</v>
      </c>
      <c r="X41" s="26"/>
      <c r="Y41" s="23"/>
    </row>
    <row r="42" ht="15.75" customHeight="1">
      <c r="A42" s="26" t="s">
        <v>111</v>
      </c>
      <c r="B42" s="26" t="s">
        <v>112</v>
      </c>
      <c r="C42" s="30">
        <v>45316.0</v>
      </c>
      <c r="D42" s="30">
        <v>45316.0</v>
      </c>
      <c r="E42" s="28">
        <v>1.0</v>
      </c>
      <c r="F42" s="17">
        <f t="shared" si="1"/>
        <v>214.22</v>
      </c>
      <c r="G42" s="17">
        <v>214.22</v>
      </c>
      <c r="H42" s="28"/>
      <c r="I42" s="17">
        <f t="shared" si="2"/>
        <v>0</v>
      </c>
      <c r="J42" s="17"/>
      <c r="K42" s="16"/>
      <c r="L42" s="17">
        <f t="shared" si="3"/>
        <v>0</v>
      </c>
      <c r="M42" s="17"/>
      <c r="N42" s="28"/>
      <c r="O42" s="17">
        <f t="shared" si="10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 t="shared" si="11"/>
        <v>214.22</v>
      </c>
      <c r="X42" s="39">
        <v>45326.0</v>
      </c>
      <c r="Y42" s="23"/>
    </row>
    <row r="43" ht="15.75" customHeight="1">
      <c r="A43" s="26" t="s">
        <v>79</v>
      </c>
      <c r="B43" s="26" t="s">
        <v>80</v>
      </c>
      <c r="C43" s="30">
        <v>45310.0</v>
      </c>
      <c r="D43" s="30">
        <v>45315.0</v>
      </c>
      <c r="E43" s="28"/>
      <c r="F43" s="17">
        <f t="shared" si="1"/>
        <v>0</v>
      </c>
      <c r="G43" s="17"/>
      <c r="H43" s="28"/>
      <c r="I43" s="17">
        <f t="shared" si="2"/>
        <v>0</v>
      </c>
      <c r="J43" s="17"/>
      <c r="K43" s="16">
        <v>3.0</v>
      </c>
      <c r="L43" s="17">
        <f t="shared" si="3"/>
        <v>565.71</v>
      </c>
      <c r="M43" s="17"/>
      <c r="N43" s="28"/>
      <c r="O43" s="17">
        <f t="shared" si="10"/>
        <v>0</v>
      </c>
      <c r="P43" s="17"/>
      <c r="Q43" s="28"/>
      <c r="R43" s="17">
        <f t="shared" si="5"/>
        <v>0</v>
      </c>
      <c r="S43" s="17"/>
      <c r="T43" s="29"/>
      <c r="U43" s="17">
        <f t="shared" si="6"/>
        <v>0</v>
      </c>
      <c r="V43" s="17"/>
      <c r="W43" s="21">
        <f t="shared" si="11"/>
        <v>565.71</v>
      </c>
      <c r="X43" s="26"/>
      <c r="Y43" s="23"/>
    </row>
    <row r="44" ht="15.75" customHeight="1">
      <c r="A44" s="26" t="s">
        <v>22</v>
      </c>
      <c r="B44" s="26" t="s">
        <v>23</v>
      </c>
      <c r="C44" s="30">
        <v>45310.0</v>
      </c>
      <c r="D44" s="30">
        <v>45316.0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4.0</v>
      </c>
      <c r="L44" s="17">
        <f t="shared" si="3"/>
        <v>754.28</v>
      </c>
      <c r="M44" s="17">
        <v>754.28</v>
      </c>
      <c r="N44" s="28"/>
      <c r="O44" s="17">
        <f t="shared" si="10"/>
        <v>0</v>
      </c>
      <c r="P44" s="17"/>
      <c r="Q44" s="28"/>
      <c r="R44" s="17">
        <f t="shared" si="5"/>
        <v>0</v>
      </c>
      <c r="S44" s="17"/>
      <c r="T44" s="29"/>
      <c r="U44" s="17">
        <f t="shared" si="6"/>
        <v>0</v>
      </c>
      <c r="V44" s="17"/>
      <c r="W44" s="21">
        <f t="shared" si="11"/>
        <v>754.28</v>
      </c>
      <c r="X44" s="22">
        <v>45326.0</v>
      </c>
      <c r="Y44" s="23"/>
      <c r="Z44" s="31"/>
    </row>
    <row r="45" ht="15.75" customHeight="1">
      <c r="A45" s="26" t="s">
        <v>88</v>
      </c>
      <c r="B45" s="26" t="s">
        <v>89</v>
      </c>
      <c r="C45" s="30">
        <v>45310.0</v>
      </c>
      <c r="D45" s="30">
        <v>45316.0</v>
      </c>
      <c r="E45" s="28"/>
      <c r="F45" s="17">
        <f t="shared" si="1"/>
        <v>0</v>
      </c>
      <c r="G45" s="17"/>
      <c r="H45" s="28"/>
      <c r="I45" s="17">
        <f t="shared" si="2"/>
        <v>0</v>
      </c>
      <c r="J45" s="17"/>
      <c r="K45" s="16">
        <v>3.0</v>
      </c>
      <c r="L45" s="17">
        <f t="shared" si="3"/>
        <v>565.71</v>
      </c>
      <c r="M45" s="17">
        <v>565.71</v>
      </c>
      <c r="N45" s="28"/>
      <c r="O45" s="17">
        <f t="shared" si="10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21">
        <f t="shared" si="11"/>
        <v>565.71</v>
      </c>
      <c r="X45" s="39">
        <v>45326.0</v>
      </c>
      <c r="Y45" s="23"/>
    </row>
    <row r="46" ht="15.75" customHeight="1">
      <c r="A46" s="26" t="s">
        <v>113</v>
      </c>
      <c r="B46" s="26" t="s">
        <v>114</v>
      </c>
      <c r="C46" s="30">
        <v>45316.0</v>
      </c>
      <c r="D46" s="30">
        <v>45317.0</v>
      </c>
      <c r="E46" s="28">
        <v>1.0</v>
      </c>
      <c r="F46" s="17">
        <f t="shared" si="1"/>
        <v>214.22</v>
      </c>
      <c r="G46" s="17">
        <v>214.22</v>
      </c>
      <c r="H46" s="28"/>
      <c r="I46" s="17">
        <f t="shared" si="2"/>
        <v>0</v>
      </c>
      <c r="J46" s="17"/>
      <c r="K46" s="16">
        <v>1.0</v>
      </c>
      <c r="L46" s="17">
        <f t="shared" si="3"/>
        <v>188.57</v>
      </c>
      <c r="M46" s="17">
        <v>188.57</v>
      </c>
      <c r="N46" s="28"/>
      <c r="O46" s="17">
        <f t="shared" si="10"/>
        <v>0</v>
      </c>
      <c r="P46" s="17"/>
      <c r="Q46" s="28"/>
      <c r="R46" s="17">
        <f t="shared" si="5"/>
        <v>0</v>
      </c>
      <c r="S46" s="17"/>
      <c r="T46" s="29"/>
      <c r="U46" s="17">
        <f t="shared" si="6"/>
        <v>0</v>
      </c>
      <c r="V46" s="17"/>
      <c r="W46" s="21">
        <v>402.79</v>
      </c>
      <c r="X46" s="39">
        <v>45326.0</v>
      </c>
      <c r="Y46" s="23"/>
    </row>
    <row r="47" ht="15.75" customHeight="1">
      <c r="A47" s="26" t="s">
        <v>92</v>
      </c>
      <c r="B47" s="26" t="s">
        <v>93</v>
      </c>
      <c r="C47" s="30"/>
      <c r="D47" s="30"/>
      <c r="E47" s="28"/>
      <c r="F47" s="17">
        <f t="shared" si="1"/>
        <v>0</v>
      </c>
      <c r="G47" s="17"/>
      <c r="H47" s="28"/>
      <c r="I47" s="17">
        <f t="shared" si="2"/>
        <v>0</v>
      </c>
      <c r="J47" s="17"/>
      <c r="K47" s="16"/>
      <c r="L47" s="17">
        <f t="shared" si="3"/>
        <v>0</v>
      </c>
      <c r="M47" s="17"/>
      <c r="N47" s="28"/>
      <c r="O47" s="17">
        <f t="shared" si="10"/>
        <v>0</v>
      </c>
      <c r="P47" s="17"/>
      <c r="Q47" s="28"/>
      <c r="R47" s="17">
        <f t="shared" si="5"/>
        <v>0</v>
      </c>
      <c r="S47" s="17"/>
      <c r="T47" s="29"/>
      <c r="U47" s="17">
        <f t="shared" si="6"/>
        <v>0</v>
      </c>
      <c r="V47" s="17"/>
      <c r="W47" s="21">
        <f>SUM(F47+I47+L47+O47+R47)</f>
        <v>0</v>
      </c>
      <c r="X47" s="26"/>
      <c r="Y47" s="23"/>
    </row>
    <row r="48" ht="15.75" customHeight="1">
      <c r="A48" s="26" t="s">
        <v>65</v>
      </c>
      <c r="B48" s="26" t="s">
        <v>94</v>
      </c>
      <c r="C48" s="30">
        <v>45310.0</v>
      </c>
      <c r="D48" s="30">
        <v>45316.0</v>
      </c>
      <c r="E48" s="28"/>
      <c r="F48" s="17">
        <f t="shared" si="1"/>
        <v>0</v>
      </c>
      <c r="G48" s="17"/>
      <c r="H48" s="28"/>
      <c r="I48" s="17">
        <f t="shared" si="2"/>
        <v>0</v>
      </c>
      <c r="J48" s="17"/>
      <c r="K48" s="16">
        <v>5.0</v>
      </c>
      <c r="L48" s="17">
        <f t="shared" si="3"/>
        <v>942.85</v>
      </c>
      <c r="M48" s="17">
        <v>942.85</v>
      </c>
      <c r="N48" s="28"/>
      <c r="O48" s="17">
        <f t="shared" si="10"/>
        <v>0</v>
      </c>
      <c r="P48" s="17"/>
      <c r="Q48" s="28"/>
      <c r="R48" s="17">
        <f t="shared" si="5"/>
        <v>0</v>
      </c>
      <c r="S48" s="17"/>
      <c r="T48" s="29"/>
      <c r="U48" s="17">
        <f t="shared" si="6"/>
        <v>0</v>
      </c>
      <c r="V48" s="17"/>
      <c r="W48" s="21">
        <v>942.85</v>
      </c>
      <c r="X48" s="39">
        <v>45326.0</v>
      </c>
      <c r="Y48" s="23"/>
    </row>
    <row r="49" ht="15.75" customHeight="1">
      <c r="A49" s="26" t="s">
        <v>65</v>
      </c>
      <c r="B49" s="26" t="s">
        <v>21</v>
      </c>
      <c r="C49" s="30">
        <v>45310.0</v>
      </c>
      <c r="D49" s="30">
        <v>45316.0</v>
      </c>
      <c r="E49" s="28"/>
      <c r="F49" s="17">
        <f t="shared" si="1"/>
        <v>0</v>
      </c>
      <c r="G49" s="17"/>
      <c r="H49" s="28"/>
      <c r="I49" s="17">
        <f t="shared" si="2"/>
        <v>0</v>
      </c>
      <c r="J49" s="17"/>
      <c r="K49" s="16">
        <v>5.0</v>
      </c>
      <c r="L49" s="17">
        <f t="shared" si="3"/>
        <v>942.85</v>
      </c>
      <c r="M49" s="17">
        <v>942.85</v>
      </c>
      <c r="N49" s="28"/>
      <c r="O49" s="17">
        <f t="shared" si="10"/>
        <v>0</v>
      </c>
      <c r="P49" s="17"/>
      <c r="Q49" s="28"/>
      <c r="R49" s="17">
        <f t="shared" si="5"/>
        <v>0</v>
      </c>
      <c r="S49" s="17"/>
      <c r="T49" s="29"/>
      <c r="U49" s="17">
        <f t="shared" si="6"/>
        <v>0</v>
      </c>
      <c r="V49" s="17"/>
      <c r="W49" s="21">
        <f>SUM(F49+I49+L49+O49+R49)</f>
        <v>942.85</v>
      </c>
      <c r="X49" s="39">
        <v>45326.0</v>
      </c>
      <c r="Y49" s="23"/>
    </row>
    <row r="50" ht="15.75" customHeight="1">
      <c r="A50" s="40" t="s">
        <v>81</v>
      </c>
      <c r="B50" s="41"/>
      <c r="C50" s="41"/>
      <c r="D50" s="41"/>
      <c r="E50" s="42"/>
      <c r="F50" s="43">
        <f t="shared" ref="F50:G50" si="12">SUM(F4:F45)</f>
        <v>2142.2</v>
      </c>
      <c r="G50" s="43">
        <f t="shared" si="12"/>
        <v>2142.2</v>
      </c>
      <c r="H50" s="42"/>
      <c r="I50" s="43">
        <f t="shared" ref="I50:J50" si="13">SUM(I4:I45)</f>
        <v>8869.56</v>
      </c>
      <c r="J50" s="43">
        <f t="shared" si="13"/>
        <v>6652.17</v>
      </c>
      <c r="K50" s="42"/>
      <c r="L50" s="43">
        <f t="shared" ref="L50:M50" si="14">SUM(L4:L45)</f>
        <v>19422.71</v>
      </c>
      <c r="M50" s="43">
        <f t="shared" si="14"/>
        <v>16405.59</v>
      </c>
      <c r="N50" s="42"/>
      <c r="O50" s="43">
        <f t="shared" ref="O50:P50" si="15">SUM(O4:O45)</f>
        <v>588.5</v>
      </c>
      <c r="P50" s="43">
        <f t="shared" si="15"/>
        <v>588.5</v>
      </c>
      <c r="Q50" s="42"/>
      <c r="R50" s="43">
        <f t="shared" ref="R50:S50" si="16">SUM(R4:R45)</f>
        <v>0</v>
      </c>
      <c r="S50" s="43">
        <f t="shared" si="16"/>
        <v>0</v>
      </c>
      <c r="T50" s="42"/>
      <c r="U50" s="43">
        <f t="shared" ref="U50:W50" si="17">SUM(U4:U45)</f>
        <v>5038.87</v>
      </c>
      <c r="V50" s="43">
        <f t="shared" si="17"/>
        <v>0</v>
      </c>
      <c r="W50" s="43">
        <f t="shared" si="17"/>
        <v>30885</v>
      </c>
      <c r="X50" s="41"/>
      <c r="Y50" s="44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  <row r="1010" ht="15.75" customHeight="1">
      <c r="E1010" s="1"/>
      <c r="H1010" s="1"/>
      <c r="K1010" s="1"/>
      <c r="N1010" s="1"/>
      <c r="Q1010" s="1"/>
      <c r="T1010" s="1"/>
      <c r="W1010" s="3"/>
    </row>
    <row r="1011" ht="15.75" customHeight="1">
      <c r="E1011" s="1"/>
      <c r="H1011" s="1"/>
      <c r="K1011" s="1"/>
      <c r="N1011" s="1"/>
      <c r="Q1011" s="1"/>
      <c r="T1011" s="1"/>
      <c r="W1011" s="3"/>
    </row>
    <row r="1012" ht="15.75" customHeight="1">
      <c r="E1012" s="1"/>
      <c r="H1012" s="1"/>
      <c r="K1012" s="1"/>
      <c r="N1012" s="1"/>
      <c r="Q1012" s="1"/>
      <c r="T1012" s="1"/>
      <c r="W1012" s="3"/>
    </row>
    <row r="1013" ht="15.75" customHeight="1">
      <c r="E1013" s="1"/>
      <c r="H1013" s="1"/>
      <c r="K1013" s="1"/>
      <c r="N1013" s="1"/>
      <c r="Q1013" s="1"/>
      <c r="T1013" s="1"/>
      <c r="W1013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39</v>
      </c>
      <c r="B4" s="14" t="s">
        <v>40</v>
      </c>
      <c r="C4" s="15">
        <v>45303.0</v>
      </c>
      <c r="D4" s="15">
        <v>45309.0</v>
      </c>
      <c r="E4" s="16"/>
      <c r="F4" s="17">
        <f t="shared" ref="F4:F49" si="1">PRODUCT(E4)*214.22</f>
        <v>0</v>
      </c>
      <c r="G4" s="17"/>
      <c r="H4" s="16">
        <v>6.0</v>
      </c>
      <c r="I4" s="17">
        <f t="shared" ref="I4:I49" si="2">PRODUCT(H4)*316.77</f>
        <v>1900.62</v>
      </c>
      <c r="J4" s="17">
        <v>1900.62</v>
      </c>
      <c r="K4" s="16"/>
      <c r="L4" s="17">
        <f t="shared" ref="L4:L49" si="3">PRODUCT(K4)*188.57</f>
        <v>0</v>
      </c>
      <c r="M4" s="17"/>
      <c r="N4" s="16"/>
      <c r="O4" s="17">
        <f t="shared" ref="O4:O19" si="4">PRODUCT(N4)*58.85</f>
        <v>0</v>
      </c>
      <c r="P4" s="17"/>
      <c r="Q4" s="16"/>
      <c r="R4" s="17">
        <f t="shared" ref="R4:R49" si="5">PRODUCT(Q4)*30.16</f>
        <v>0</v>
      </c>
      <c r="S4" s="17"/>
      <c r="T4" s="20"/>
      <c r="U4" s="17">
        <f t="shared" ref="U4:U49" si="6">PRODUCT(T4)*33.37</f>
        <v>0</v>
      </c>
      <c r="V4" s="17"/>
      <c r="W4" s="21">
        <f t="shared" ref="W4:W43" si="7">SUM(F4+I4+L4+O4+R4)</f>
        <v>1900.62</v>
      </c>
      <c r="X4" s="39">
        <v>45326.0</v>
      </c>
      <c r="Y4" s="23"/>
    </row>
    <row r="5">
      <c r="A5" s="14" t="s">
        <v>20</v>
      </c>
      <c r="B5" s="14" t="s">
        <v>21</v>
      </c>
      <c r="C5" s="15">
        <v>45320.0</v>
      </c>
      <c r="D5" s="15">
        <v>45322.0</v>
      </c>
      <c r="E5" s="16"/>
      <c r="F5" s="17">
        <f t="shared" si="1"/>
        <v>0</v>
      </c>
      <c r="G5" s="17"/>
      <c r="H5" s="16"/>
      <c r="I5" s="17">
        <f t="shared" si="2"/>
        <v>0</v>
      </c>
      <c r="J5" s="17"/>
      <c r="K5" s="16">
        <v>3.0</v>
      </c>
      <c r="L5" s="17">
        <f t="shared" si="3"/>
        <v>565.71</v>
      </c>
      <c r="M5" s="17">
        <v>565.71</v>
      </c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565.71</v>
      </c>
      <c r="X5" s="39">
        <v>45326.0</v>
      </c>
      <c r="Y5" s="23"/>
    </row>
    <row r="6">
      <c r="A6" s="14" t="s">
        <v>82</v>
      </c>
      <c r="B6" s="14" t="s">
        <v>83</v>
      </c>
      <c r="C6" s="15">
        <v>45320.0</v>
      </c>
      <c r="D6" s="15">
        <v>45322.0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3.0</v>
      </c>
      <c r="L6" s="17">
        <f t="shared" si="3"/>
        <v>565.71</v>
      </c>
      <c r="M6" s="17">
        <v>565.71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21">
        <f t="shared" si="7"/>
        <v>565.71</v>
      </c>
      <c r="X6" s="22">
        <v>45326.0</v>
      </c>
      <c r="Y6" s="24"/>
    </row>
    <row r="7">
      <c r="A7" s="14" t="s">
        <v>115</v>
      </c>
      <c r="B7" s="14" t="s">
        <v>116</v>
      </c>
      <c r="C7" s="15">
        <v>45320.0</v>
      </c>
      <c r="D7" s="15">
        <v>45320.0</v>
      </c>
      <c r="E7" s="16">
        <v>1.0</v>
      </c>
      <c r="F7" s="17">
        <f t="shared" si="1"/>
        <v>214.22</v>
      </c>
      <c r="G7" s="17">
        <v>214.22</v>
      </c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/>
      <c r="U7" s="17">
        <f t="shared" si="6"/>
        <v>0</v>
      </c>
      <c r="V7" s="17"/>
      <c r="W7" s="21">
        <f t="shared" si="7"/>
        <v>214.22</v>
      </c>
      <c r="X7" s="39">
        <v>45326.0</v>
      </c>
      <c r="Y7" s="24"/>
    </row>
    <row r="8">
      <c r="A8" s="14" t="s">
        <v>26</v>
      </c>
      <c r="B8" s="14" t="s">
        <v>27</v>
      </c>
      <c r="C8" s="15"/>
      <c r="D8" s="15"/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0</v>
      </c>
      <c r="X8" s="26"/>
      <c r="Y8" s="23"/>
    </row>
    <row r="9">
      <c r="A9" s="25" t="s">
        <v>117</v>
      </c>
      <c r="B9" s="14" t="s">
        <v>118</v>
      </c>
      <c r="C9" s="15">
        <v>45320.0</v>
      </c>
      <c r="D9" s="15">
        <v>45320.0</v>
      </c>
      <c r="E9" s="16">
        <v>1.0</v>
      </c>
      <c r="F9" s="17">
        <f t="shared" si="1"/>
        <v>214.22</v>
      </c>
      <c r="G9" s="17">
        <v>214.22</v>
      </c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16"/>
      <c r="O9" s="17">
        <f t="shared" si="4"/>
        <v>0</v>
      </c>
      <c r="P9" s="17"/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21">
        <f t="shared" si="7"/>
        <v>214.22</v>
      </c>
      <c r="X9" s="45">
        <v>45326.0</v>
      </c>
      <c r="Y9" s="23"/>
    </row>
    <row r="10">
      <c r="A10" s="26" t="s">
        <v>30</v>
      </c>
      <c r="B10" s="26" t="s">
        <v>31</v>
      </c>
      <c r="C10" s="15">
        <v>45320.0</v>
      </c>
      <c r="D10" s="15">
        <v>45322.0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17"/>
      <c r="N10" s="16">
        <v>3.0</v>
      </c>
      <c r="O10" s="17">
        <f t="shared" si="4"/>
        <v>176.55</v>
      </c>
      <c r="P10" s="17">
        <v>176.55</v>
      </c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7"/>
        <v>176.55</v>
      </c>
      <c r="X10" s="45">
        <v>45326.0</v>
      </c>
      <c r="Y10" s="23"/>
    </row>
    <row r="11">
      <c r="A11" s="26" t="s">
        <v>95</v>
      </c>
      <c r="B11" s="26" t="s">
        <v>58</v>
      </c>
      <c r="C11" s="15">
        <v>45320.0</v>
      </c>
      <c r="D11" s="15">
        <v>45322.0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3.0</v>
      </c>
      <c r="L11" s="17">
        <f t="shared" si="3"/>
        <v>565.71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7"/>
        <v>565.71</v>
      </c>
      <c r="X11" s="26"/>
      <c r="Y11" s="23"/>
    </row>
    <row r="12">
      <c r="A12" s="26" t="s">
        <v>35</v>
      </c>
      <c r="B12" s="26" t="s">
        <v>36</v>
      </c>
      <c r="C12" s="30"/>
      <c r="D12" s="15"/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7"/>
        <v>0</v>
      </c>
      <c r="X12" s="22"/>
      <c r="Y12" s="23"/>
    </row>
    <row r="13">
      <c r="A13" s="26" t="s">
        <v>37</v>
      </c>
      <c r="B13" s="26" t="s">
        <v>38</v>
      </c>
      <c r="C13" s="15"/>
      <c r="D13" s="15"/>
      <c r="E13" s="16"/>
      <c r="F13" s="17">
        <f t="shared" si="1"/>
        <v>0</v>
      </c>
      <c r="G13" s="17"/>
      <c r="H13" s="16"/>
      <c r="I13" s="17">
        <f t="shared" si="2"/>
        <v>0</v>
      </c>
      <c r="J13" s="17"/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7"/>
        <v>0</v>
      </c>
      <c r="X13" s="26"/>
      <c r="Y13" s="23"/>
    </row>
    <row r="14">
      <c r="A14" s="26" t="s">
        <v>47</v>
      </c>
      <c r="B14" s="26" t="s">
        <v>84</v>
      </c>
      <c r="C14" s="15">
        <v>45320.0</v>
      </c>
      <c r="D14" s="15">
        <v>45322.0</v>
      </c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>
        <v>3.0</v>
      </c>
      <c r="L14" s="17">
        <f t="shared" si="3"/>
        <v>565.71</v>
      </c>
      <c r="M14" s="17">
        <v>565.71</v>
      </c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si="7"/>
        <v>565.71</v>
      </c>
      <c r="X14" s="39">
        <v>45326.0</v>
      </c>
      <c r="Y14" s="46"/>
    </row>
    <row r="15">
      <c r="A15" s="26" t="s">
        <v>71</v>
      </c>
      <c r="B15" s="26" t="s">
        <v>96</v>
      </c>
      <c r="C15" s="15">
        <v>45317.0</v>
      </c>
      <c r="D15" s="15">
        <v>45317.0</v>
      </c>
      <c r="E15" s="16"/>
      <c r="F15" s="17">
        <f t="shared" si="1"/>
        <v>0</v>
      </c>
      <c r="G15" s="17"/>
      <c r="H15" s="16">
        <v>1.0</v>
      </c>
      <c r="I15" s="17">
        <f t="shared" si="2"/>
        <v>316.77</v>
      </c>
      <c r="J15" s="47">
        <v>316.77</v>
      </c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7"/>
        <v>316.77</v>
      </c>
      <c r="X15" s="39">
        <v>45340.0</v>
      </c>
      <c r="Y15" s="23"/>
    </row>
    <row r="16">
      <c r="A16" s="26" t="s">
        <v>73</v>
      </c>
      <c r="B16" s="26" t="s">
        <v>74</v>
      </c>
      <c r="C16" s="15"/>
      <c r="D16" s="15"/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/>
      <c r="L16" s="17">
        <f t="shared" si="3"/>
        <v>0</v>
      </c>
      <c r="M16" s="1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7"/>
        <v>0</v>
      </c>
      <c r="X16" s="26"/>
      <c r="Y16" s="23"/>
    </row>
    <row r="17">
      <c r="A17" s="26" t="s">
        <v>97</v>
      </c>
      <c r="B17" s="26" t="s">
        <v>98</v>
      </c>
      <c r="C17" s="15"/>
      <c r="D17" s="15"/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16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7"/>
        <v>0</v>
      </c>
      <c r="X17" s="26"/>
      <c r="Y17" s="23"/>
    </row>
    <row r="18">
      <c r="A18" s="26" t="s">
        <v>99</v>
      </c>
      <c r="B18" s="26" t="s">
        <v>100</v>
      </c>
      <c r="C18" s="15"/>
      <c r="D18" s="15"/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/>
      <c r="L18" s="17">
        <f t="shared" si="3"/>
        <v>0</v>
      </c>
      <c r="M18" s="17"/>
      <c r="N18" s="16"/>
      <c r="O18" s="17">
        <f t="shared" si="4"/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7"/>
        <v>0</v>
      </c>
      <c r="X18" s="26"/>
      <c r="Y18" s="23"/>
    </row>
    <row r="19">
      <c r="A19" s="26" t="s">
        <v>101</v>
      </c>
      <c r="B19" s="26" t="s">
        <v>102</v>
      </c>
      <c r="C19" s="15"/>
      <c r="D19" s="15"/>
      <c r="E19" s="16"/>
      <c r="F19" s="17">
        <f t="shared" si="1"/>
        <v>0</v>
      </c>
      <c r="G19" s="17"/>
      <c r="H19" s="16"/>
      <c r="I19" s="17">
        <f t="shared" si="2"/>
        <v>0</v>
      </c>
      <c r="J19" s="17"/>
      <c r="K19" s="16"/>
      <c r="L19" s="17">
        <f t="shared" si="3"/>
        <v>0</v>
      </c>
      <c r="M19" s="17"/>
      <c r="N19" s="16"/>
      <c r="O19" s="17">
        <f t="shared" si="4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21">
        <f t="shared" si="7"/>
        <v>0</v>
      </c>
      <c r="X19" s="26"/>
      <c r="Y19" s="23"/>
    </row>
    <row r="20">
      <c r="A20" s="26" t="s">
        <v>103</v>
      </c>
      <c r="B20" s="26" t="s">
        <v>104</v>
      </c>
      <c r="C20" s="15"/>
      <c r="D20" s="15"/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16"/>
      <c r="L20" s="17">
        <f t="shared" si="3"/>
        <v>0</v>
      </c>
      <c r="M20" s="17"/>
      <c r="N20" s="16"/>
      <c r="O20" s="17">
        <f t="shared" ref="O20:O23" si="8">PRODUCT(N20)*188.57</f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si="7"/>
        <v>0</v>
      </c>
      <c r="X20" s="26"/>
      <c r="Y20" s="23"/>
    </row>
    <row r="21">
      <c r="A21" s="26" t="s">
        <v>105</v>
      </c>
      <c r="B21" s="26" t="s">
        <v>106</v>
      </c>
      <c r="C21" s="15"/>
      <c r="D21" s="15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8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7"/>
        <v>0</v>
      </c>
      <c r="X21" s="26"/>
      <c r="Y21" s="23"/>
    </row>
    <row r="22">
      <c r="A22" s="26" t="s">
        <v>107</v>
      </c>
      <c r="B22" s="26" t="s">
        <v>108</v>
      </c>
      <c r="C22" s="15"/>
      <c r="D22" s="15"/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/>
      <c r="L22" s="17">
        <f t="shared" si="3"/>
        <v>0</v>
      </c>
      <c r="M22" s="17"/>
      <c r="N22" s="16"/>
      <c r="O22" s="17">
        <f t="shared" si="8"/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21">
        <f t="shared" si="7"/>
        <v>0</v>
      </c>
      <c r="X22" s="26"/>
      <c r="Y22" s="23"/>
    </row>
    <row r="23">
      <c r="A23" s="26" t="s">
        <v>109</v>
      </c>
      <c r="B23" s="26" t="s">
        <v>110</v>
      </c>
      <c r="C23" s="15"/>
      <c r="D23" s="15"/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/>
      <c r="L23" s="17">
        <f t="shared" si="3"/>
        <v>0</v>
      </c>
      <c r="M23" s="17"/>
      <c r="N23" s="16"/>
      <c r="O23" s="17">
        <f t="shared" si="8"/>
        <v>0</v>
      </c>
      <c r="P23" s="17"/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21">
        <f t="shared" si="7"/>
        <v>0</v>
      </c>
      <c r="X23" s="26"/>
      <c r="Y23" s="23"/>
    </row>
    <row r="24">
      <c r="A24" s="26" t="s">
        <v>41</v>
      </c>
      <c r="B24" s="26" t="s">
        <v>42</v>
      </c>
      <c r="C24" s="15"/>
      <c r="D24" s="15"/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/>
      <c r="L24" s="17">
        <f t="shared" si="3"/>
        <v>0</v>
      </c>
      <c r="M24" s="17"/>
      <c r="N24" s="16"/>
      <c r="O24" s="17">
        <f>PRODUCT(N21)*188.57</f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21">
        <f t="shared" si="7"/>
        <v>0</v>
      </c>
      <c r="X24" s="26"/>
      <c r="Y24" s="23"/>
    </row>
    <row r="25">
      <c r="A25" s="26" t="s">
        <v>43</v>
      </c>
      <c r="B25" s="26" t="s">
        <v>44</v>
      </c>
      <c r="C25" s="30">
        <v>45320.0</v>
      </c>
      <c r="D25" s="15">
        <v>45322.0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/>
      <c r="L25" s="17">
        <f t="shared" si="3"/>
        <v>0</v>
      </c>
      <c r="M25" s="17"/>
      <c r="N25" s="16">
        <v>3.0</v>
      </c>
      <c r="O25" s="17">
        <f t="shared" ref="O25:O49" si="9">PRODUCT(N25)*58.85</f>
        <v>176.55</v>
      </c>
      <c r="P25" s="17">
        <v>176.55</v>
      </c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21">
        <f t="shared" si="7"/>
        <v>176.55</v>
      </c>
      <c r="X25" s="39">
        <v>45326.0</v>
      </c>
      <c r="Y25" s="23"/>
    </row>
    <row r="26">
      <c r="A26" s="26" t="s">
        <v>85</v>
      </c>
      <c r="B26" s="26" t="s">
        <v>86</v>
      </c>
      <c r="C26" s="15">
        <v>45320.0</v>
      </c>
      <c r="D26" s="15">
        <v>45322.0</v>
      </c>
      <c r="E26" s="16"/>
      <c r="F26" s="17">
        <f t="shared" si="1"/>
        <v>0</v>
      </c>
      <c r="G26" s="17"/>
      <c r="H26" s="16"/>
      <c r="I26" s="17">
        <f t="shared" si="2"/>
        <v>0</v>
      </c>
      <c r="J26" s="17"/>
      <c r="K26" s="16">
        <v>3.0</v>
      </c>
      <c r="L26" s="17">
        <f t="shared" si="3"/>
        <v>565.71</v>
      </c>
      <c r="M26" s="17">
        <v>565.71</v>
      </c>
      <c r="N26" s="16"/>
      <c r="O26" s="17">
        <f t="shared" si="9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 t="shared" si="7"/>
        <v>565.71</v>
      </c>
      <c r="X26" s="39">
        <v>45326.0</v>
      </c>
      <c r="Y26" s="23"/>
    </row>
    <row r="27">
      <c r="A27" s="26" t="s">
        <v>47</v>
      </c>
      <c r="B27" s="26" t="s">
        <v>48</v>
      </c>
      <c r="C27" s="15">
        <v>45320.0</v>
      </c>
      <c r="D27" s="15">
        <v>45322.0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17"/>
      <c r="K27" s="16">
        <v>3.0</v>
      </c>
      <c r="L27" s="17">
        <f t="shared" si="3"/>
        <v>565.71</v>
      </c>
      <c r="M27" s="17">
        <v>565.71</v>
      </c>
      <c r="N27" s="16"/>
      <c r="O27" s="17">
        <f t="shared" si="9"/>
        <v>0</v>
      </c>
      <c r="P27" s="17"/>
      <c r="Q27" s="16"/>
      <c r="R27" s="17">
        <f t="shared" si="5"/>
        <v>0</v>
      </c>
      <c r="S27" s="17"/>
      <c r="T27" s="20"/>
      <c r="U27" s="17">
        <f t="shared" si="6"/>
        <v>0</v>
      </c>
      <c r="V27" s="17"/>
      <c r="W27" s="21">
        <f t="shared" si="7"/>
        <v>565.71</v>
      </c>
      <c r="X27" s="39">
        <v>45326.0</v>
      </c>
      <c r="Y27" s="23"/>
    </row>
    <row r="28">
      <c r="A28" s="26" t="s">
        <v>49</v>
      </c>
      <c r="B28" s="26" t="s">
        <v>50</v>
      </c>
      <c r="C28" s="15">
        <v>45320.0</v>
      </c>
      <c r="D28" s="15">
        <v>45322.0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17"/>
      <c r="K28" s="16">
        <v>3.0</v>
      </c>
      <c r="L28" s="17">
        <f t="shared" si="3"/>
        <v>565.71</v>
      </c>
      <c r="M28" s="17">
        <v>565.71</v>
      </c>
      <c r="N28" s="16"/>
      <c r="O28" s="17">
        <f t="shared" si="9"/>
        <v>0</v>
      </c>
      <c r="P28" s="17"/>
      <c r="Q28" s="16"/>
      <c r="R28" s="17">
        <f t="shared" si="5"/>
        <v>0</v>
      </c>
      <c r="S28" s="17"/>
      <c r="T28" s="20"/>
      <c r="U28" s="17">
        <f t="shared" si="6"/>
        <v>0</v>
      </c>
      <c r="V28" s="17"/>
      <c r="W28" s="21">
        <f t="shared" si="7"/>
        <v>565.71</v>
      </c>
      <c r="X28" s="22">
        <v>45347.0</v>
      </c>
      <c r="Y28" s="23"/>
    </row>
    <row r="29">
      <c r="A29" s="26" t="s">
        <v>51</v>
      </c>
      <c r="B29" s="26" t="s">
        <v>52</v>
      </c>
      <c r="C29" s="15">
        <v>45307.0</v>
      </c>
      <c r="D29" s="15">
        <v>45322.0</v>
      </c>
      <c r="E29" s="16"/>
      <c r="F29" s="17">
        <f t="shared" si="1"/>
        <v>0</v>
      </c>
      <c r="G29" s="17"/>
      <c r="H29" s="16">
        <v>16.0</v>
      </c>
      <c r="I29" s="17">
        <f t="shared" si="2"/>
        <v>5068.32</v>
      </c>
      <c r="J29" s="17">
        <v>4992.87</v>
      </c>
      <c r="K29" s="16"/>
      <c r="L29" s="17">
        <f t="shared" si="3"/>
        <v>0</v>
      </c>
      <c r="M29" s="17"/>
      <c r="N29" s="16"/>
      <c r="O29" s="17">
        <f t="shared" si="9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21">
        <f t="shared" si="7"/>
        <v>5068.32</v>
      </c>
      <c r="X29" s="39">
        <v>45326.0</v>
      </c>
      <c r="Y29" s="23"/>
    </row>
    <row r="30" ht="15.75" customHeight="1">
      <c r="A30" s="26" t="s">
        <v>53</v>
      </c>
      <c r="B30" s="26" t="s">
        <v>54</v>
      </c>
      <c r="C30" s="15">
        <v>45304.0</v>
      </c>
      <c r="D30" s="15">
        <v>45322.0</v>
      </c>
      <c r="E30" s="16"/>
      <c r="F30" s="17">
        <f t="shared" si="1"/>
        <v>0</v>
      </c>
      <c r="G30" s="17"/>
      <c r="H30" s="16">
        <v>18.0</v>
      </c>
      <c r="I30" s="17">
        <f t="shared" si="2"/>
        <v>5701.86</v>
      </c>
      <c r="J30" s="17">
        <v>5701.86</v>
      </c>
      <c r="K30" s="16"/>
      <c r="L30" s="17">
        <f t="shared" si="3"/>
        <v>0</v>
      </c>
      <c r="M30" s="17"/>
      <c r="N30" s="16"/>
      <c r="O30" s="17">
        <f t="shared" si="9"/>
        <v>0</v>
      </c>
      <c r="P30" s="17"/>
      <c r="Q30" s="16"/>
      <c r="R30" s="17">
        <f t="shared" si="5"/>
        <v>0</v>
      </c>
      <c r="S30" s="17"/>
      <c r="T30" s="20"/>
      <c r="U30" s="17">
        <f t="shared" si="6"/>
        <v>0</v>
      </c>
      <c r="V30" s="17"/>
      <c r="W30" s="21">
        <f t="shared" si="7"/>
        <v>5701.86</v>
      </c>
      <c r="X30" s="39">
        <v>45326.0</v>
      </c>
      <c r="Y30" s="23"/>
    </row>
    <row r="31" ht="15.75" customHeight="1">
      <c r="A31" s="26" t="s">
        <v>55</v>
      </c>
      <c r="B31" s="26" t="s">
        <v>56</v>
      </c>
      <c r="C31" s="15"/>
      <c r="D31" s="15"/>
      <c r="E31" s="16"/>
      <c r="F31" s="17">
        <f t="shared" si="1"/>
        <v>0</v>
      </c>
      <c r="G31" s="17"/>
      <c r="H31" s="16"/>
      <c r="I31" s="17">
        <f t="shared" si="2"/>
        <v>0</v>
      </c>
      <c r="J31" s="17"/>
      <c r="K31" s="16"/>
      <c r="L31" s="17">
        <f t="shared" si="3"/>
        <v>0</v>
      </c>
      <c r="M31" s="17"/>
      <c r="N31" s="16"/>
      <c r="O31" s="17">
        <f t="shared" si="9"/>
        <v>0</v>
      </c>
      <c r="P31" s="17"/>
      <c r="Q31" s="16"/>
      <c r="R31" s="17">
        <f t="shared" si="5"/>
        <v>0</v>
      </c>
      <c r="S31" s="17"/>
      <c r="T31" s="20"/>
      <c r="U31" s="17">
        <f t="shared" si="6"/>
        <v>0</v>
      </c>
      <c r="V31" s="17"/>
      <c r="W31" s="21">
        <f t="shared" si="7"/>
        <v>0</v>
      </c>
      <c r="X31" s="39"/>
      <c r="Y31" s="23"/>
    </row>
    <row r="32" ht="15.75" customHeight="1">
      <c r="A32" s="26" t="s">
        <v>57</v>
      </c>
      <c r="B32" s="26" t="s">
        <v>58</v>
      </c>
      <c r="C32" s="15">
        <v>45320.0</v>
      </c>
      <c r="D32" s="15">
        <v>45322.0</v>
      </c>
      <c r="E32" s="16"/>
      <c r="F32" s="17">
        <f t="shared" si="1"/>
        <v>0</v>
      </c>
      <c r="G32" s="17"/>
      <c r="H32" s="16"/>
      <c r="I32" s="17">
        <f t="shared" si="2"/>
        <v>0</v>
      </c>
      <c r="J32" s="17"/>
      <c r="K32" s="16">
        <v>3.0</v>
      </c>
      <c r="L32" s="17">
        <f t="shared" si="3"/>
        <v>565.71</v>
      </c>
      <c r="M32" s="17">
        <v>565.71</v>
      </c>
      <c r="N32" s="16"/>
      <c r="O32" s="17">
        <f t="shared" si="9"/>
        <v>0</v>
      </c>
      <c r="P32" s="17"/>
      <c r="Q32" s="16"/>
      <c r="R32" s="17">
        <f t="shared" si="5"/>
        <v>0</v>
      </c>
      <c r="S32" s="17"/>
      <c r="T32" s="20"/>
      <c r="U32" s="17">
        <f t="shared" si="6"/>
        <v>0</v>
      </c>
      <c r="V32" s="17"/>
      <c r="W32" s="21">
        <f t="shared" si="7"/>
        <v>565.71</v>
      </c>
      <c r="X32" s="39">
        <v>45326.0</v>
      </c>
      <c r="Y32" s="23"/>
    </row>
    <row r="33" ht="15.75" customHeight="1">
      <c r="A33" s="26" t="s">
        <v>59</v>
      </c>
      <c r="B33" s="26" t="s">
        <v>60</v>
      </c>
      <c r="C33" s="15">
        <v>45320.0</v>
      </c>
      <c r="D33" s="15">
        <v>45322.0</v>
      </c>
      <c r="E33" s="16"/>
      <c r="F33" s="17">
        <f t="shared" si="1"/>
        <v>0</v>
      </c>
      <c r="G33" s="17"/>
      <c r="H33" s="16"/>
      <c r="I33" s="17">
        <f t="shared" si="2"/>
        <v>0</v>
      </c>
      <c r="J33" s="17"/>
      <c r="K33" s="16">
        <v>3.0</v>
      </c>
      <c r="L33" s="17">
        <f t="shared" si="3"/>
        <v>565.71</v>
      </c>
      <c r="M33" s="17">
        <v>565.71</v>
      </c>
      <c r="N33" s="16"/>
      <c r="O33" s="17">
        <f t="shared" si="9"/>
        <v>0</v>
      </c>
      <c r="P33" s="17"/>
      <c r="Q33" s="16"/>
      <c r="R33" s="17">
        <f t="shared" si="5"/>
        <v>0</v>
      </c>
      <c r="S33" s="17"/>
      <c r="T33" s="20"/>
      <c r="U33" s="17">
        <f t="shared" si="6"/>
        <v>0</v>
      </c>
      <c r="V33" s="17"/>
      <c r="W33" s="21">
        <f t="shared" si="7"/>
        <v>565.71</v>
      </c>
      <c r="X33" s="39">
        <v>45326.0</v>
      </c>
      <c r="Y33" s="23"/>
    </row>
    <row r="34" ht="15.75" customHeight="1">
      <c r="A34" s="26" t="s">
        <v>61</v>
      </c>
      <c r="B34" s="26" t="s">
        <v>62</v>
      </c>
      <c r="C34" s="15">
        <v>45320.0</v>
      </c>
      <c r="D34" s="15">
        <v>45322.0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3.0</v>
      </c>
      <c r="L34" s="17">
        <f t="shared" si="3"/>
        <v>565.71</v>
      </c>
      <c r="M34" s="17">
        <v>565.71</v>
      </c>
      <c r="N34" s="28"/>
      <c r="O34" s="17">
        <f t="shared" si="9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21">
        <f t="shared" si="7"/>
        <v>565.71</v>
      </c>
      <c r="X34" s="39">
        <v>45326.0</v>
      </c>
      <c r="Y34" s="23"/>
    </row>
    <row r="35" ht="15.75" customHeight="1">
      <c r="A35" s="26" t="s">
        <v>63</v>
      </c>
      <c r="B35" s="26" t="s">
        <v>64</v>
      </c>
      <c r="C35" s="15">
        <v>45320.0</v>
      </c>
      <c r="D35" s="15">
        <v>45322.0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3.0</v>
      </c>
      <c r="L35" s="17">
        <f t="shared" si="3"/>
        <v>565.71</v>
      </c>
      <c r="M35" s="17">
        <v>5654.71</v>
      </c>
      <c r="N35" s="28"/>
      <c r="O35" s="17">
        <f t="shared" si="9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21">
        <f t="shared" si="7"/>
        <v>565.71</v>
      </c>
      <c r="X35" s="39">
        <v>45326.0</v>
      </c>
      <c r="Y35" s="23"/>
    </row>
    <row r="36" ht="15.75" customHeight="1">
      <c r="A36" s="26" t="s">
        <v>65</v>
      </c>
      <c r="B36" s="26" t="s">
        <v>66</v>
      </c>
      <c r="C36" s="15">
        <v>45320.0</v>
      </c>
      <c r="D36" s="15">
        <v>45322.0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17"/>
      <c r="K36" s="16">
        <v>3.0</v>
      </c>
      <c r="L36" s="17">
        <f t="shared" si="3"/>
        <v>565.71</v>
      </c>
      <c r="M36" s="17">
        <v>565.71</v>
      </c>
      <c r="N36" s="28"/>
      <c r="O36" s="17">
        <f t="shared" si="9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 t="shared" si="7"/>
        <v>565.71</v>
      </c>
      <c r="X36" s="39">
        <v>45326.0</v>
      </c>
      <c r="Y36" s="23"/>
    </row>
    <row r="37" ht="15.75" customHeight="1">
      <c r="A37" s="26" t="s">
        <v>67</v>
      </c>
      <c r="B37" s="26" t="s">
        <v>68</v>
      </c>
      <c r="C37" s="15">
        <v>45320.0</v>
      </c>
      <c r="D37" s="15">
        <v>45322.0</v>
      </c>
      <c r="E37" s="28"/>
      <c r="F37" s="17">
        <f t="shared" si="1"/>
        <v>0</v>
      </c>
      <c r="G37" s="17"/>
      <c r="H37" s="28"/>
      <c r="I37" s="17">
        <f t="shared" si="2"/>
        <v>0</v>
      </c>
      <c r="J37" s="17"/>
      <c r="K37" s="16">
        <v>3.0</v>
      </c>
      <c r="L37" s="17">
        <f t="shared" si="3"/>
        <v>565.71</v>
      </c>
      <c r="M37" s="17">
        <v>565.71</v>
      </c>
      <c r="N37" s="28"/>
      <c r="O37" s="17">
        <f t="shared" si="9"/>
        <v>0</v>
      </c>
      <c r="P37" s="17"/>
      <c r="Q37" s="28"/>
      <c r="R37" s="17">
        <f t="shared" si="5"/>
        <v>0</v>
      </c>
      <c r="S37" s="17"/>
      <c r="T37" s="20"/>
      <c r="U37" s="17">
        <f t="shared" si="6"/>
        <v>0</v>
      </c>
      <c r="V37" s="17"/>
      <c r="W37" s="21">
        <f t="shared" si="7"/>
        <v>565.71</v>
      </c>
      <c r="X37" s="39">
        <v>45326.0</v>
      </c>
      <c r="Y37" s="23"/>
    </row>
    <row r="38" ht="15.75" customHeight="1">
      <c r="A38" s="26" t="s">
        <v>69</v>
      </c>
      <c r="B38" s="26" t="s">
        <v>70</v>
      </c>
      <c r="C38" s="15">
        <v>45320.0</v>
      </c>
      <c r="D38" s="15">
        <v>45322.0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3.0</v>
      </c>
      <c r="L38" s="17">
        <f t="shared" si="3"/>
        <v>565.71</v>
      </c>
      <c r="M38" s="17">
        <v>565.71</v>
      </c>
      <c r="N38" s="28"/>
      <c r="O38" s="17">
        <f t="shared" si="9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21">
        <f t="shared" si="7"/>
        <v>565.71</v>
      </c>
      <c r="X38" s="39">
        <v>45326.0</v>
      </c>
      <c r="Y38" s="23"/>
    </row>
    <row r="39" ht="15.75" customHeight="1">
      <c r="A39" s="26" t="s">
        <v>71</v>
      </c>
      <c r="B39" s="26" t="s">
        <v>72</v>
      </c>
      <c r="C39" s="15">
        <v>45320.0</v>
      </c>
      <c r="D39" s="15">
        <v>45322.0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3.0</v>
      </c>
      <c r="L39" s="17">
        <f t="shared" si="3"/>
        <v>565.71</v>
      </c>
      <c r="M39" s="17">
        <v>0.0</v>
      </c>
      <c r="N39" s="28"/>
      <c r="O39" s="17">
        <f t="shared" si="9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21">
        <f t="shared" si="7"/>
        <v>565.71</v>
      </c>
      <c r="X39" s="26"/>
      <c r="Y39" s="23"/>
    </row>
    <row r="40" ht="15.75" customHeight="1">
      <c r="A40" s="26" t="s">
        <v>73</v>
      </c>
      <c r="B40" s="26" t="s">
        <v>74</v>
      </c>
      <c r="C40" s="30"/>
      <c r="D40" s="15"/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3"/>
        <v>0</v>
      </c>
      <c r="M40" s="17"/>
      <c r="N40" s="28"/>
      <c r="O40" s="17">
        <f t="shared" si="9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21">
        <f t="shared" si="7"/>
        <v>0</v>
      </c>
      <c r="X40" s="26"/>
      <c r="Y40" s="23"/>
    </row>
    <row r="41" ht="15.75" customHeight="1">
      <c r="A41" s="26" t="s">
        <v>119</v>
      </c>
      <c r="B41" s="26" t="s">
        <v>120</v>
      </c>
      <c r="C41" s="15">
        <v>45320.0</v>
      </c>
      <c r="D41" s="15">
        <v>45322.0</v>
      </c>
      <c r="E41" s="28">
        <v>1.0</v>
      </c>
      <c r="F41" s="17">
        <f t="shared" si="1"/>
        <v>214.22</v>
      </c>
      <c r="G41" s="17">
        <v>214.22</v>
      </c>
      <c r="H41" s="28"/>
      <c r="I41" s="17">
        <f t="shared" si="2"/>
        <v>0</v>
      </c>
      <c r="J41" s="17"/>
      <c r="K41" s="16">
        <v>3.0</v>
      </c>
      <c r="L41" s="17">
        <f t="shared" si="3"/>
        <v>565.71</v>
      </c>
      <c r="M41" s="17">
        <v>565.71</v>
      </c>
      <c r="N41" s="28"/>
      <c r="O41" s="17">
        <f t="shared" si="9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21">
        <f t="shared" si="7"/>
        <v>779.93</v>
      </c>
      <c r="X41" s="39">
        <v>45326.0</v>
      </c>
      <c r="Y41" s="23"/>
    </row>
    <row r="42" ht="15.75" customHeight="1">
      <c r="A42" s="26" t="s">
        <v>111</v>
      </c>
      <c r="B42" s="26" t="s">
        <v>112</v>
      </c>
      <c r="C42" s="15">
        <v>45320.0</v>
      </c>
      <c r="D42" s="15">
        <v>45322.0</v>
      </c>
      <c r="E42" s="28"/>
      <c r="F42" s="17">
        <f t="shared" si="1"/>
        <v>0</v>
      </c>
      <c r="G42" s="17"/>
      <c r="H42" s="28"/>
      <c r="I42" s="17">
        <f t="shared" si="2"/>
        <v>0</v>
      </c>
      <c r="J42" s="17"/>
      <c r="K42" s="16">
        <v>3.0</v>
      </c>
      <c r="L42" s="17">
        <f t="shared" si="3"/>
        <v>565.71</v>
      </c>
      <c r="M42" s="17">
        <v>565.71</v>
      </c>
      <c r="N42" s="28"/>
      <c r="O42" s="17">
        <f t="shared" si="9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 t="shared" si="7"/>
        <v>565.71</v>
      </c>
      <c r="X42" s="39">
        <v>45326.0</v>
      </c>
      <c r="Y42" s="23"/>
    </row>
    <row r="43" ht="15.75" customHeight="1">
      <c r="A43" s="26" t="s">
        <v>79</v>
      </c>
      <c r="B43" s="26" t="s">
        <v>80</v>
      </c>
      <c r="C43" s="30">
        <v>45321.0</v>
      </c>
      <c r="D43" s="30">
        <v>45322.0</v>
      </c>
      <c r="E43" s="28"/>
      <c r="F43" s="17">
        <f t="shared" si="1"/>
        <v>0</v>
      </c>
      <c r="G43" s="17"/>
      <c r="H43" s="28"/>
      <c r="I43" s="17">
        <f t="shared" si="2"/>
        <v>0</v>
      </c>
      <c r="J43" s="17"/>
      <c r="K43" s="16">
        <v>2.0</v>
      </c>
      <c r="L43" s="17">
        <f t="shared" si="3"/>
        <v>377.14</v>
      </c>
      <c r="M43" s="17"/>
      <c r="N43" s="28"/>
      <c r="O43" s="17">
        <f t="shared" si="9"/>
        <v>0</v>
      </c>
      <c r="P43" s="17"/>
      <c r="Q43" s="28"/>
      <c r="R43" s="17">
        <f t="shared" si="5"/>
        <v>0</v>
      </c>
      <c r="S43" s="17"/>
      <c r="T43" s="29"/>
      <c r="U43" s="17">
        <f t="shared" si="6"/>
        <v>0</v>
      </c>
      <c r="V43" s="17"/>
      <c r="W43" s="21">
        <f t="shared" si="7"/>
        <v>377.14</v>
      </c>
      <c r="X43" s="26"/>
      <c r="Y43" s="23"/>
    </row>
    <row r="44" ht="15.75" customHeight="1">
      <c r="A44" s="26" t="s">
        <v>22</v>
      </c>
      <c r="B44" s="26" t="s">
        <v>23</v>
      </c>
      <c r="C44" s="15">
        <v>45320.0</v>
      </c>
      <c r="D44" s="15">
        <v>45322.0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3.0</v>
      </c>
      <c r="L44" s="17">
        <f t="shared" si="3"/>
        <v>565.71</v>
      </c>
      <c r="M44" s="47">
        <v>565.71</v>
      </c>
      <c r="N44" s="28"/>
      <c r="O44" s="17">
        <f t="shared" si="9"/>
        <v>0</v>
      </c>
      <c r="P44" s="17"/>
      <c r="Q44" s="28"/>
      <c r="R44" s="17">
        <f t="shared" si="5"/>
        <v>0</v>
      </c>
      <c r="S44" s="17"/>
      <c r="T44" s="29"/>
      <c r="U44" s="17">
        <f t="shared" si="6"/>
        <v>0</v>
      </c>
      <c r="V44" s="17"/>
      <c r="W44" s="48">
        <v>0.0</v>
      </c>
      <c r="X44" s="49">
        <v>45326.0</v>
      </c>
      <c r="Y44" s="23"/>
      <c r="Z44" s="31"/>
    </row>
    <row r="45" ht="15.75" customHeight="1">
      <c r="A45" s="26" t="s">
        <v>88</v>
      </c>
      <c r="B45" s="26" t="s">
        <v>89</v>
      </c>
      <c r="C45" s="30"/>
      <c r="D45" s="30"/>
      <c r="E45" s="28"/>
      <c r="F45" s="17">
        <f t="shared" si="1"/>
        <v>0</v>
      </c>
      <c r="G45" s="17"/>
      <c r="H45" s="28"/>
      <c r="I45" s="17">
        <f t="shared" si="2"/>
        <v>0</v>
      </c>
      <c r="J45" s="17"/>
      <c r="K45" s="16"/>
      <c r="L45" s="17">
        <f t="shared" si="3"/>
        <v>0</v>
      </c>
      <c r="M45" s="17"/>
      <c r="N45" s="28"/>
      <c r="O45" s="17">
        <f t="shared" si="9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21">
        <f>SUM(F45+I45+L45+O45+R45)</f>
        <v>0</v>
      </c>
      <c r="X45" s="26"/>
      <c r="Y45" s="23"/>
    </row>
    <row r="46" ht="15.75" customHeight="1">
      <c r="A46" s="26" t="s">
        <v>121</v>
      </c>
      <c r="B46" s="26" t="s">
        <v>122</v>
      </c>
      <c r="C46" s="30">
        <v>45320.0</v>
      </c>
      <c r="D46" s="30">
        <v>45320.0</v>
      </c>
      <c r="E46" s="28">
        <v>1.0</v>
      </c>
      <c r="F46" s="17">
        <f t="shared" si="1"/>
        <v>214.22</v>
      </c>
      <c r="G46" s="17">
        <v>214.22</v>
      </c>
      <c r="H46" s="28"/>
      <c r="I46" s="17">
        <f t="shared" si="2"/>
        <v>0</v>
      </c>
      <c r="J46" s="17"/>
      <c r="K46" s="16"/>
      <c r="L46" s="17">
        <f t="shared" si="3"/>
        <v>0</v>
      </c>
      <c r="M46" s="17"/>
      <c r="N46" s="28"/>
      <c r="O46" s="17">
        <f t="shared" si="9"/>
        <v>0</v>
      </c>
      <c r="P46" s="17"/>
      <c r="Q46" s="28"/>
      <c r="R46" s="17">
        <f t="shared" si="5"/>
        <v>0</v>
      </c>
      <c r="S46" s="17"/>
      <c r="T46" s="29"/>
      <c r="U46" s="17">
        <f t="shared" si="6"/>
        <v>0</v>
      </c>
      <c r="V46" s="17"/>
      <c r="W46" s="21">
        <v>214.22</v>
      </c>
      <c r="X46" s="39">
        <v>45326.0</v>
      </c>
      <c r="Y46" s="23"/>
    </row>
    <row r="47" ht="15.75" customHeight="1">
      <c r="A47" s="26" t="s">
        <v>92</v>
      </c>
      <c r="B47" s="26" t="s">
        <v>93</v>
      </c>
      <c r="C47" s="30"/>
      <c r="D47" s="30"/>
      <c r="E47" s="28"/>
      <c r="F47" s="17">
        <f t="shared" si="1"/>
        <v>0</v>
      </c>
      <c r="G47" s="17"/>
      <c r="H47" s="28"/>
      <c r="I47" s="17">
        <f t="shared" si="2"/>
        <v>0</v>
      </c>
      <c r="J47" s="17"/>
      <c r="K47" s="16"/>
      <c r="L47" s="17">
        <f t="shared" si="3"/>
        <v>0</v>
      </c>
      <c r="M47" s="17"/>
      <c r="N47" s="28"/>
      <c r="O47" s="17">
        <f t="shared" si="9"/>
        <v>0</v>
      </c>
      <c r="P47" s="17"/>
      <c r="Q47" s="28"/>
      <c r="R47" s="17">
        <f t="shared" si="5"/>
        <v>0</v>
      </c>
      <c r="S47" s="17"/>
      <c r="T47" s="29"/>
      <c r="U47" s="17">
        <f t="shared" si="6"/>
        <v>0</v>
      </c>
      <c r="V47" s="17"/>
      <c r="W47" s="21">
        <f>SUM(F47+I47+L47+O47+R47)</f>
        <v>0</v>
      </c>
      <c r="X47" s="26"/>
      <c r="Y47" s="23"/>
    </row>
    <row r="48" ht="15.75" customHeight="1">
      <c r="A48" s="26" t="s">
        <v>65</v>
      </c>
      <c r="B48" s="26" t="s">
        <v>94</v>
      </c>
      <c r="C48" s="30">
        <v>45321.0</v>
      </c>
      <c r="D48" s="30">
        <v>45322.0</v>
      </c>
      <c r="E48" s="28"/>
      <c r="F48" s="17">
        <f t="shared" si="1"/>
        <v>0</v>
      </c>
      <c r="G48" s="17"/>
      <c r="H48" s="28"/>
      <c r="I48" s="17">
        <f t="shared" si="2"/>
        <v>0</v>
      </c>
      <c r="J48" s="17"/>
      <c r="K48" s="16">
        <v>2.0</v>
      </c>
      <c r="L48" s="17">
        <f t="shared" si="3"/>
        <v>377.14</v>
      </c>
      <c r="M48" s="17">
        <v>377.14</v>
      </c>
      <c r="N48" s="28"/>
      <c r="O48" s="17">
        <f t="shared" si="9"/>
        <v>0</v>
      </c>
      <c r="P48" s="17"/>
      <c r="Q48" s="28"/>
      <c r="R48" s="17">
        <f t="shared" si="5"/>
        <v>0</v>
      </c>
      <c r="S48" s="17"/>
      <c r="T48" s="29"/>
      <c r="U48" s="17">
        <f t="shared" si="6"/>
        <v>0</v>
      </c>
      <c r="V48" s="17"/>
      <c r="W48" s="21">
        <v>0.0</v>
      </c>
      <c r="X48" s="39">
        <v>45326.0</v>
      </c>
      <c r="Y48" s="23"/>
    </row>
    <row r="49" ht="15.75" customHeight="1">
      <c r="A49" s="26" t="s">
        <v>65</v>
      </c>
      <c r="B49" s="26" t="s">
        <v>21</v>
      </c>
      <c r="C49" s="15">
        <v>45320.0</v>
      </c>
      <c r="D49" s="15">
        <v>45322.0</v>
      </c>
      <c r="E49" s="28"/>
      <c r="F49" s="17">
        <f t="shared" si="1"/>
        <v>0</v>
      </c>
      <c r="G49" s="17"/>
      <c r="H49" s="28"/>
      <c r="I49" s="17">
        <f t="shared" si="2"/>
        <v>0</v>
      </c>
      <c r="J49" s="17"/>
      <c r="K49" s="16">
        <v>3.0</v>
      </c>
      <c r="L49" s="17">
        <f t="shared" si="3"/>
        <v>565.71</v>
      </c>
      <c r="M49" s="17">
        <v>565.71</v>
      </c>
      <c r="N49" s="28"/>
      <c r="O49" s="17">
        <f t="shared" si="9"/>
        <v>0</v>
      </c>
      <c r="P49" s="17"/>
      <c r="Q49" s="28"/>
      <c r="R49" s="17">
        <f t="shared" si="5"/>
        <v>0</v>
      </c>
      <c r="S49" s="17"/>
      <c r="T49" s="29"/>
      <c r="U49" s="17">
        <f t="shared" si="6"/>
        <v>0</v>
      </c>
      <c r="V49" s="17"/>
      <c r="W49" s="21">
        <f>SUM(F49+I49+L49+O49+R49)</f>
        <v>565.71</v>
      </c>
      <c r="X49" s="39">
        <v>45326.0</v>
      </c>
      <c r="Y49" s="23"/>
    </row>
    <row r="50" ht="15.75" customHeight="1">
      <c r="A50" s="40" t="s">
        <v>81</v>
      </c>
      <c r="B50" s="41"/>
      <c r="C50" s="41"/>
      <c r="D50" s="41"/>
      <c r="E50" s="42"/>
      <c r="F50" s="43">
        <f t="shared" ref="F50:G50" si="10">SUM(F4:F45)</f>
        <v>642.66</v>
      </c>
      <c r="G50" s="43">
        <f t="shared" si="10"/>
        <v>642.66</v>
      </c>
      <c r="H50" s="42"/>
      <c r="I50" s="43">
        <f t="shared" ref="I50:J50" si="11">SUM(I4:I45)</f>
        <v>12987.57</v>
      </c>
      <c r="J50" s="43">
        <f t="shared" si="11"/>
        <v>12912.12</v>
      </c>
      <c r="K50" s="42"/>
      <c r="L50" s="43">
        <f t="shared" ref="L50:M50" si="12">SUM(L4:L45)</f>
        <v>10559.92</v>
      </c>
      <c r="M50" s="43">
        <f t="shared" si="12"/>
        <v>14140.36</v>
      </c>
      <c r="N50" s="42"/>
      <c r="O50" s="43">
        <f t="shared" ref="O50:P50" si="13">SUM(O4:O45)</f>
        <v>353.1</v>
      </c>
      <c r="P50" s="43">
        <f t="shared" si="13"/>
        <v>353.1</v>
      </c>
      <c r="Q50" s="42"/>
      <c r="R50" s="43">
        <f t="shared" ref="R50:S50" si="14">SUM(R4:R45)</f>
        <v>0</v>
      </c>
      <c r="S50" s="43">
        <f t="shared" si="14"/>
        <v>0</v>
      </c>
      <c r="T50" s="42"/>
      <c r="U50" s="43">
        <f t="shared" ref="U50:W50" si="15">SUM(U4:U45)</f>
        <v>0</v>
      </c>
      <c r="V50" s="43">
        <f t="shared" si="15"/>
        <v>0</v>
      </c>
      <c r="W50" s="43">
        <f t="shared" si="15"/>
        <v>23977.54</v>
      </c>
      <c r="X50" s="41"/>
      <c r="Y50" s="44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  <row r="1010" ht="15.75" customHeight="1">
      <c r="E1010" s="1"/>
      <c r="H1010" s="1"/>
      <c r="K1010" s="1"/>
      <c r="N1010" s="1"/>
      <c r="Q1010" s="1"/>
      <c r="T1010" s="1"/>
      <c r="W1010" s="3"/>
    </row>
    <row r="1011" ht="15.75" customHeight="1">
      <c r="E1011" s="1"/>
      <c r="H1011" s="1"/>
      <c r="K1011" s="1"/>
      <c r="N1011" s="1"/>
      <c r="Q1011" s="1"/>
      <c r="T1011" s="1"/>
      <c r="W1011" s="3"/>
    </row>
    <row r="1012" ht="15.75" customHeight="1">
      <c r="E1012" s="1"/>
      <c r="H1012" s="1"/>
      <c r="K1012" s="1"/>
      <c r="N1012" s="1"/>
      <c r="Q1012" s="1"/>
      <c r="T1012" s="1"/>
      <c r="W1012" s="3"/>
    </row>
    <row r="1013" ht="15.75" customHeight="1">
      <c r="E1013" s="1"/>
      <c r="H1013" s="1"/>
      <c r="K1013" s="1"/>
      <c r="N1013" s="1"/>
      <c r="Q1013" s="1"/>
      <c r="T1013" s="1"/>
      <c r="W1013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20</v>
      </c>
      <c r="B4" s="14" t="s">
        <v>21</v>
      </c>
      <c r="C4" s="15">
        <v>45323.0</v>
      </c>
      <c r="D4" s="15">
        <v>45329.0</v>
      </c>
      <c r="E4" s="16"/>
      <c r="F4" s="17">
        <f t="shared" ref="F4:F44" si="1">PRODUCT(E4)*214.22</f>
        <v>0</v>
      </c>
      <c r="G4" s="17"/>
      <c r="H4" s="16"/>
      <c r="I4" s="17">
        <f t="shared" ref="I4:I44" si="2">PRODUCT(H4)*316.77</f>
        <v>0</v>
      </c>
      <c r="J4" s="17"/>
      <c r="K4" s="16">
        <v>4.0</v>
      </c>
      <c r="L4" s="17">
        <f t="shared" ref="L4:L44" si="3">PRODUCT(K4)*188.57</f>
        <v>754.28</v>
      </c>
      <c r="M4" s="17">
        <v>754.28</v>
      </c>
      <c r="N4" s="16"/>
      <c r="O4" s="17">
        <f t="shared" ref="O4:O16" si="4">PRODUCT(N4)*58.85</f>
        <v>0</v>
      </c>
      <c r="P4" s="17"/>
      <c r="Q4" s="16"/>
      <c r="R4" s="17">
        <f t="shared" ref="R4:R44" si="5">PRODUCT(Q4)*30.16</f>
        <v>0</v>
      </c>
      <c r="S4" s="17"/>
      <c r="T4" s="20">
        <v>10.0</v>
      </c>
      <c r="U4" s="17">
        <f t="shared" ref="U4:U44" si="6">PRODUCT(T4)*33.37</f>
        <v>333.7</v>
      </c>
      <c r="V4" s="17"/>
      <c r="W4" s="21">
        <f t="shared" ref="W4:W18" si="7">SUM(F4+I4+L4+O4+R4)</f>
        <v>754.28</v>
      </c>
      <c r="X4" s="22">
        <v>45333.0</v>
      </c>
      <c r="Y4" s="23"/>
    </row>
    <row r="5">
      <c r="A5" s="14" t="s">
        <v>82</v>
      </c>
      <c r="B5" s="14" t="s">
        <v>83</v>
      </c>
      <c r="C5" s="30">
        <v>45323.0</v>
      </c>
      <c r="D5" s="15">
        <v>45329.0</v>
      </c>
      <c r="E5" s="16"/>
      <c r="F5" s="17">
        <f t="shared" si="1"/>
        <v>0</v>
      </c>
      <c r="G5" s="17"/>
      <c r="H5" s="16"/>
      <c r="I5" s="17">
        <f t="shared" si="2"/>
        <v>0</v>
      </c>
      <c r="J5" s="17"/>
      <c r="K5" s="16">
        <v>4.0</v>
      </c>
      <c r="L5" s="17">
        <f t="shared" si="3"/>
        <v>754.28</v>
      </c>
      <c r="M5" s="17">
        <v>754.28</v>
      </c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754.28</v>
      </c>
      <c r="X5" s="22">
        <v>45333.0</v>
      </c>
      <c r="Y5" s="24"/>
    </row>
    <row r="6">
      <c r="A6" s="14" t="s">
        <v>24</v>
      </c>
      <c r="B6" s="14" t="s">
        <v>25</v>
      </c>
      <c r="C6" s="15">
        <v>45322.0</v>
      </c>
      <c r="D6" s="15">
        <v>45322.0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1.0</v>
      </c>
      <c r="L6" s="17">
        <f t="shared" si="3"/>
        <v>188.57</v>
      </c>
      <c r="M6" s="17">
        <v>188.57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21">
        <f t="shared" si="7"/>
        <v>188.57</v>
      </c>
      <c r="X6" s="22">
        <v>45333.0</v>
      </c>
      <c r="Y6" s="24"/>
    </row>
    <row r="7">
      <c r="A7" s="14" t="s">
        <v>26</v>
      </c>
      <c r="B7" s="14" t="s">
        <v>27</v>
      </c>
      <c r="C7" s="30">
        <v>45323.0</v>
      </c>
      <c r="D7" s="15">
        <v>45329.0</v>
      </c>
      <c r="E7" s="16"/>
      <c r="F7" s="17">
        <f t="shared" si="1"/>
        <v>0</v>
      </c>
      <c r="G7" s="17"/>
      <c r="H7" s="16"/>
      <c r="I7" s="17">
        <f t="shared" si="2"/>
        <v>0</v>
      </c>
      <c r="J7" s="17"/>
      <c r="K7" s="16">
        <v>4.0</v>
      </c>
      <c r="L7" s="17">
        <f t="shared" si="3"/>
        <v>754.28</v>
      </c>
      <c r="M7" s="17">
        <v>754.28</v>
      </c>
      <c r="N7" s="16">
        <v>4.0</v>
      </c>
      <c r="O7" s="17">
        <f t="shared" si="4"/>
        <v>235.4</v>
      </c>
      <c r="P7" s="47">
        <v>235.4</v>
      </c>
      <c r="Q7" s="16"/>
      <c r="R7" s="17">
        <f t="shared" si="5"/>
        <v>0</v>
      </c>
      <c r="S7" s="17"/>
      <c r="T7" s="20">
        <v>35.0</v>
      </c>
      <c r="U7" s="17">
        <f t="shared" si="6"/>
        <v>1167.95</v>
      </c>
      <c r="V7" s="17"/>
      <c r="W7" s="21">
        <f t="shared" si="7"/>
        <v>989.68</v>
      </c>
      <c r="X7" s="22">
        <v>45333.0</v>
      </c>
      <c r="Y7" s="23"/>
    </row>
    <row r="8">
      <c r="A8" s="26" t="s">
        <v>30</v>
      </c>
      <c r="B8" s="26" t="s">
        <v>31</v>
      </c>
      <c r="C8" s="15">
        <v>45327.0</v>
      </c>
      <c r="D8" s="15">
        <v>45328.0</v>
      </c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16"/>
      <c r="L8" s="17">
        <f t="shared" si="3"/>
        <v>0</v>
      </c>
      <c r="M8" s="17"/>
      <c r="N8" s="16">
        <v>4.0</v>
      </c>
      <c r="O8" s="17">
        <f t="shared" si="4"/>
        <v>235.4</v>
      </c>
      <c r="P8" s="17">
        <v>235.4</v>
      </c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235.4</v>
      </c>
      <c r="X8" s="22">
        <v>45333.0</v>
      </c>
      <c r="Y8" s="23"/>
    </row>
    <row r="9">
      <c r="A9" s="26" t="s">
        <v>39</v>
      </c>
      <c r="B9" s="26" t="s">
        <v>40</v>
      </c>
      <c r="C9" s="30">
        <v>45310.0</v>
      </c>
      <c r="D9" s="15">
        <v>45328.0</v>
      </c>
      <c r="E9" s="16"/>
      <c r="F9" s="17">
        <f t="shared" si="1"/>
        <v>0</v>
      </c>
      <c r="G9" s="17"/>
      <c r="H9" s="16">
        <v>19.0</v>
      </c>
      <c r="I9" s="17">
        <f t="shared" si="2"/>
        <v>6018.63</v>
      </c>
      <c r="J9" s="17">
        <v>6018.63</v>
      </c>
      <c r="K9" s="16"/>
      <c r="L9" s="17">
        <f t="shared" si="3"/>
        <v>0</v>
      </c>
      <c r="M9" s="17"/>
      <c r="N9" s="16"/>
      <c r="O9" s="17">
        <f t="shared" si="4"/>
        <v>0</v>
      </c>
      <c r="P9" s="17"/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21">
        <f t="shared" si="7"/>
        <v>6018.63</v>
      </c>
      <c r="X9" s="22">
        <v>45333.0</v>
      </c>
      <c r="Y9" s="23"/>
    </row>
    <row r="10">
      <c r="A10" s="26" t="s">
        <v>95</v>
      </c>
      <c r="B10" s="26" t="s">
        <v>58</v>
      </c>
      <c r="C10" s="30">
        <v>45323.0</v>
      </c>
      <c r="D10" s="15">
        <v>45329.0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>
        <v>4.0</v>
      </c>
      <c r="L10" s="17">
        <f t="shared" si="3"/>
        <v>754.28</v>
      </c>
      <c r="M10" s="17">
        <v>565.71</v>
      </c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7"/>
        <v>754.28</v>
      </c>
      <c r="X10" s="22">
        <v>45340.0</v>
      </c>
      <c r="Y10" s="23"/>
    </row>
    <row r="11">
      <c r="A11" s="26" t="s">
        <v>47</v>
      </c>
      <c r="B11" s="26" t="s">
        <v>84</v>
      </c>
      <c r="C11" s="30">
        <v>45323.0</v>
      </c>
      <c r="D11" s="15">
        <v>45329.0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4.0</v>
      </c>
      <c r="L11" s="17">
        <f t="shared" si="3"/>
        <v>754.28</v>
      </c>
      <c r="M11" s="1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7"/>
        <v>754.28</v>
      </c>
      <c r="X11" s="22">
        <v>45333.0</v>
      </c>
      <c r="Y11" s="46"/>
    </row>
    <row r="12">
      <c r="A12" s="26" t="s">
        <v>123</v>
      </c>
      <c r="B12" s="26" t="s">
        <v>124</v>
      </c>
      <c r="C12" s="15">
        <v>45327.0</v>
      </c>
      <c r="D12" s="15">
        <v>45693.0</v>
      </c>
      <c r="E12" s="16">
        <v>1.0</v>
      </c>
      <c r="F12" s="17">
        <f t="shared" si="1"/>
        <v>214.22</v>
      </c>
      <c r="G12" s="17">
        <v>214.22</v>
      </c>
      <c r="H12" s="16"/>
      <c r="I12" s="17">
        <f t="shared" si="2"/>
        <v>0</v>
      </c>
      <c r="J12" s="17"/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7"/>
        <v>214.22</v>
      </c>
      <c r="X12" s="22">
        <v>45333.0</v>
      </c>
      <c r="Y12" s="23"/>
    </row>
    <row r="13">
      <c r="A13" s="26" t="s">
        <v>125</v>
      </c>
      <c r="B13" s="26" t="s">
        <v>126</v>
      </c>
      <c r="C13" s="15">
        <v>45327.0</v>
      </c>
      <c r="D13" s="15">
        <v>45327.0</v>
      </c>
      <c r="E13" s="16">
        <v>1.0</v>
      </c>
      <c r="F13" s="17">
        <f t="shared" si="1"/>
        <v>214.22</v>
      </c>
      <c r="G13" s="17">
        <v>214.22</v>
      </c>
      <c r="H13" s="16"/>
      <c r="I13" s="17">
        <f t="shared" si="2"/>
        <v>0</v>
      </c>
      <c r="J13" s="17"/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7"/>
        <v>214.22</v>
      </c>
      <c r="X13" s="22">
        <v>45333.0</v>
      </c>
      <c r="Y13" s="23"/>
    </row>
    <row r="14">
      <c r="A14" s="26" t="s">
        <v>97</v>
      </c>
      <c r="B14" s="26" t="s">
        <v>98</v>
      </c>
      <c r="C14" s="15"/>
      <c r="D14" s="15"/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si="7"/>
        <v>0</v>
      </c>
      <c r="X14" s="26"/>
      <c r="Y14" s="23"/>
    </row>
    <row r="15">
      <c r="A15" s="26" t="s">
        <v>99</v>
      </c>
      <c r="B15" s="26" t="s">
        <v>100</v>
      </c>
      <c r="C15" s="15"/>
      <c r="D15" s="15"/>
      <c r="E15" s="16"/>
      <c r="F15" s="17">
        <f t="shared" si="1"/>
        <v>0</v>
      </c>
      <c r="G15" s="17"/>
      <c r="H15" s="16"/>
      <c r="I15" s="17">
        <f t="shared" si="2"/>
        <v>0</v>
      </c>
      <c r="J15" s="17"/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7"/>
        <v>0</v>
      </c>
      <c r="X15" s="26"/>
      <c r="Y15" s="23"/>
    </row>
    <row r="16">
      <c r="A16" s="26" t="s">
        <v>101</v>
      </c>
      <c r="B16" s="26" t="s">
        <v>102</v>
      </c>
      <c r="C16" s="15"/>
      <c r="D16" s="15"/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/>
      <c r="L16" s="17">
        <f t="shared" si="3"/>
        <v>0</v>
      </c>
      <c r="M16" s="1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7"/>
        <v>0</v>
      </c>
      <c r="X16" s="26"/>
      <c r="Y16" s="23"/>
    </row>
    <row r="17">
      <c r="A17" s="26" t="s">
        <v>103</v>
      </c>
      <c r="B17" s="26" t="s">
        <v>104</v>
      </c>
      <c r="C17" s="15"/>
      <c r="D17" s="15"/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16"/>
      <c r="L17" s="17">
        <f t="shared" si="3"/>
        <v>0</v>
      </c>
      <c r="M17" s="17"/>
      <c r="N17" s="16"/>
      <c r="O17" s="17">
        <f t="shared" ref="O17:O20" si="8">PRODUCT(N17)*188.57</f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7"/>
        <v>0</v>
      </c>
      <c r="X17" s="26"/>
      <c r="Y17" s="23"/>
    </row>
    <row r="18">
      <c r="A18" s="26" t="s">
        <v>105</v>
      </c>
      <c r="B18" s="26" t="s">
        <v>106</v>
      </c>
      <c r="C18" s="15"/>
      <c r="D18" s="15"/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/>
      <c r="L18" s="17">
        <f t="shared" si="3"/>
        <v>0</v>
      </c>
      <c r="M18" s="17"/>
      <c r="N18" s="16"/>
      <c r="O18" s="17">
        <f t="shared" si="8"/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7"/>
        <v>0</v>
      </c>
      <c r="X18" s="26"/>
      <c r="Y18" s="23"/>
    </row>
    <row r="19">
      <c r="A19" s="26" t="s">
        <v>107</v>
      </c>
      <c r="B19" s="26" t="s">
        <v>108</v>
      </c>
      <c r="C19" s="15">
        <v>45309.0</v>
      </c>
      <c r="D19" s="15">
        <v>45312.0</v>
      </c>
      <c r="E19" s="16"/>
      <c r="F19" s="17">
        <f t="shared" si="1"/>
        <v>0</v>
      </c>
      <c r="G19" s="17"/>
      <c r="H19" s="16">
        <v>4.0</v>
      </c>
      <c r="I19" s="17">
        <f t="shared" si="2"/>
        <v>1267.08</v>
      </c>
      <c r="J19" s="17">
        <v>1267.08</v>
      </c>
      <c r="K19" s="16"/>
      <c r="L19" s="17">
        <f t="shared" si="3"/>
        <v>0</v>
      </c>
      <c r="M19" s="17"/>
      <c r="N19" s="16"/>
      <c r="O19" s="17">
        <f t="shared" si="8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48">
        <v>0.0</v>
      </c>
      <c r="X19" s="22">
        <v>45333.0</v>
      </c>
      <c r="Y19" s="23"/>
    </row>
    <row r="20">
      <c r="A20" s="26" t="s">
        <v>109</v>
      </c>
      <c r="B20" s="26" t="s">
        <v>110</v>
      </c>
      <c r="C20" s="15">
        <v>45308.0</v>
      </c>
      <c r="D20" s="15">
        <v>45324.0</v>
      </c>
      <c r="E20" s="16"/>
      <c r="F20" s="17">
        <f t="shared" si="1"/>
        <v>0</v>
      </c>
      <c r="G20" s="17"/>
      <c r="H20" s="16">
        <v>14.0</v>
      </c>
      <c r="I20" s="17">
        <f t="shared" si="2"/>
        <v>4434.78</v>
      </c>
      <c r="J20" s="17">
        <v>4434.78</v>
      </c>
      <c r="K20" s="16"/>
      <c r="L20" s="17">
        <f t="shared" si="3"/>
        <v>0</v>
      </c>
      <c r="M20" s="17"/>
      <c r="N20" s="16"/>
      <c r="O20" s="17">
        <f t="shared" si="8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48">
        <v>0.0</v>
      </c>
      <c r="X20" s="22">
        <v>45333.0</v>
      </c>
      <c r="Y20" s="23"/>
    </row>
    <row r="21">
      <c r="A21" s="26" t="s">
        <v>41</v>
      </c>
      <c r="B21" s="26" t="s">
        <v>42</v>
      </c>
      <c r="C21" s="15"/>
      <c r="D21" s="15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>PRODUCT(N18)*188.57</f>
        <v>0</v>
      </c>
      <c r="P21" s="17"/>
      <c r="Q21" s="16"/>
      <c r="R21" s="17">
        <f t="shared" si="5"/>
        <v>0</v>
      </c>
      <c r="S21" s="17"/>
      <c r="T21" s="20">
        <v>18.0</v>
      </c>
      <c r="U21" s="17">
        <f t="shared" si="6"/>
        <v>600.66</v>
      </c>
      <c r="V21" s="17"/>
      <c r="W21" s="21">
        <f>SUM(F21+I21+L21+O21+R21)</f>
        <v>0</v>
      </c>
      <c r="X21" s="26"/>
      <c r="Y21" s="23"/>
    </row>
    <row r="22">
      <c r="A22" s="26" t="s">
        <v>43</v>
      </c>
      <c r="B22" s="26" t="s">
        <v>44</v>
      </c>
      <c r="C22" s="30">
        <v>45327.0</v>
      </c>
      <c r="D22" s="15">
        <v>45328.0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/>
      <c r="L22" s="17">
        <f t="shared" si="3"/>
        <v>0</v>
      </c>
      <c r="M22" s="17"/>
      <c r="N22" s="16">
        <v>4.0</v>
      </c>
      <c r="O22" s="17">
        <f t="shared" ref="O22:O44" si="9">PRODUCT(N22)*58.85</f>
        <v>235.4</v>
      </c>
      <c r="P22" s="17">
        <v>235.4</v>
      </c>
      <c r="Q22" s="16">
        <v>4.0</v>
      </c>
      <c r="R22" s="17">
        <f t="shared" si="5"/>
        <v>120.64</v>
      </c>
      <c r="S22" s="17">
        <v>120.64</v>
      </c>
      <c r="T22" s="20"/>
      <c r="U22" s="17">
        <f t="shared" si="6"/>
        <v>0</v>
      </c>
      <c r="V22" s="17"/>
      <c r="W22" s="48">
        <v>0.0</v>
      </c>
      <c r="X22" s="22">
        <v>45333.0</v>
      </c>
      <c r="Y22" s="23"/>
    </row>
    <row r="23">
      <c r="A23" s="26" t="s">
        <v>85</v>
      </c>
      <c r="B23" s="26" t="s">
        <v>86</v>
      </c>
      <c r="C23" s="30">
        <v>45323.0</v>
      </c>
      <c r="D23" s="15">
        <v>45329.0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>
        <v>4.0</v>
      </c>
      <c r="L23" s="17">
        <f t="shared" si="3"/>
        <v>754.28</v>
      </c>
      <c r="M23" s="17">
        <v>754.28</v>
      </c>
      <c r="N23" s="16"/>
      <c r="O23" s="17">
        <f t="shared" si="9"/>
        <v>0</v>
      </c>
      <c r="P23" s="17"/>
      <c r="Q23" s="16"/>
      <c r="R23" s="17">
        <f t="shared" si="5"/>
        <v>0</v>
      </c>
      <c r="S23" s="17"/>
      <c r="T23" s="20">
        <v>18.0</v>
      </c>
      <c r="U23" s="17">
        <f t="shared" si="6"/>
        <v>600.66</v>
      </c>
      <c r="V23" s="17"/>
      <c r="W23" s="48">
        <v>0.0</v>
      </c>
      <c r="X23" s="22">
        <v>45333.0</v>
      </c>
      <c r="Y23" s="23"/>
    </row>
    <row r="24">
      <c r="A24" s="26" t="s">
        <v>47</v>
      </c>
      <c r="B24" s="26" t="s">
        <v>48</v>
      </c>
      <c r="C24" s="15">
        <v>45304.0</v>
      </c>
      <c r="D24" s="15">
        <v>45321.0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3.0</v>
      </c>
      <c r="L24" s="17">
        <f t="shared" si="3"/>
        <v>565.71</v>
      </c>
      <c r="M24" s="47">
        <v>565.71</v>
      </c>
      <c r="N24" s="16"/>
      <c r="O24" s="17">
        <f t="shared" si="9"/>
        <v>0</v>
      </c>
      <c r="P24" s="17"/>
      <c r="Q24" s="16"/>
      <c r="R24" s="17">
        <f t="shared" si="5"/>
        <v>0</v>
      </c>
      <c r="S24" s="17"/>
      <c r="T24" s="20">
        <v>18.0</v>
      </c>
      <c r="U24" s="17">
        <f t="shared" si="6"/>
        <v>600.66</v>
      </c>
      <c r="V24" s="17"/>
      <c r="W24" s="48">
        <v>0.0</v>
      </c>
      <c r="X24" s="49">
        <v>45333.0</v>
      </c>
      <c r="Y24" s="23"/>
    </row>
    <row r="25">
      <c r="A25" s="26" t="s">
        <v>49</v>
      </c>
      <c r="B25" s="26" t="s">
        <v>50</v>
      </c>
      <c r="C25" s="15"/>
      <c r="D25" s="15"/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/>
      <c r="L25" s="17">
        <f t="shared" si="3"/>
        <v>0</v>
      </c>
      <c r="M25" s="17"/>
      <c r="N25" s="16"/>
      <c r="O25" s="17">
        <f t="shared" si="9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21">
        <f>SUM(F25+I25+L25+O25+R25)</f>
        <v>0</v>
      </c>
      <c r="X25" s="26"/>
      <c r="Y25" s="23"/>
    </row>
    <row r="26" ht="15.75" customHeight="1">
      <c r="A26" s="26" t="s">
        <v>53</v>
      </c>
      <c r="B26" s="26" t="s">
        <v>54</v>
      </c>
      <c r="C26" s="15">
        <v>45323.0</v>
      </c>
      <c r="D26" s="15">
        <v>45328.0</v>
      </c>
      <c r="E26" s="16"/>
      <c r="F26" s="17">
        <f t="shared" si="1"/>
        <v>0</v>
      </c>
      <c r="G26" s="17"/>
      <c r="H26" s="16">
        <v>6.0</v>
      </c>
      <c r="I26" s="17">
        <f t="shared" si="2"/>
        <v>1900.62</v>
      </c>
      <c r="J26" s="17">
        <v>1900.62</v>
      </c>
      <c r="K26" s="16"/>
      <c r="L26" s="17">
        <f t="shared" si="3"/>
        <v>0</v>
      </c>
      <c r="M26" s="17"/>
      <c r="N26" s="16"/>
      <c r="O26" s="17">
        <f t="shared" si="9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48">
        <v>0.0</v>
      </c>
      <c r="X26" s="22">
        <v>45333.0</v>
      </c>
      <c r="Y26" s="23"/>
    </row>
    <row r="27" ht="15.75" customHeight="1">
      <c r="A27" s="26" t="s">
        <v>57</v>
      </c>
      <c r="B27" s="26" t="s">
        <v>58</v>
      </c>
      <c r="C27" s="15">
        <v>45327.0</v>
      </c>
      <c r="D27" s="15">
        <v>45327.0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17"/>
      <c r="K27" s="16">
        <v>1.0</v>
      </c>
      <c r="L27" s="17">
        <f t="shared" si="3"/>
        <v>188.57</v>
      </c>
      <c r="M27" s="17">
        <v>188.57</v>
      </c>
      <c r="N27" s="16"/>
      <c r="O27" s="17">
        <f t="shared" si="9"/>
        <v>0</v>
      </c>
      <c r="P27" s="17"/>
      <c r="Q27" s="16"/>
      <c r="R27" s="17">
        <f t="shared" si="5"/>
        <v>0</v>
      </c>
      <c r="S27" s="17"/>
      <c r="T27" s="20">
        <v>18.0</v>
      </c>
      <c r="U27" s="17">
        <f t="shared" si="6"/>
        <v>600.66</v>
      </c>
      <c r="V27" s="17"/>
      <c r="W27" s="48">
        <v>0.0</v>
      </c>
      <c r="X27" s="22">
        <v>45333.0</v>
      </c>
      <c r="Y27" s="23"/>
    </row>
    <row r="28" ht="15.75" customHeight="1">
      <c r="A28" s="26" t="s">
        <v>59</v>
      </c>
      <c r="B28" s="26" t="s">
        <v>60</v>
      </c>
      <c r="C28" s="15">
        <v>45327.0</v>
      </c>
      <c r="D28" s="15">
        <v>45328.0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17"/>
      <c r="K28" s="16">
        <v>2.0</v>
      </c>
      <c r="L28" s="17">
        <f t="shared" si="3"/>
        <v>377.14</v>
      </c>
      <c r="M28" s="17">
        <v>377.14</v>
      </c>
      <c r="N28" s="16"/>
      <c r="O28" s="17">
        <f t="shared" si="9"/>
        <v>0</v>
      </c>
      <c r="P28" s="17"/>
      <c r="Q28" s="16"/>
      <c r="R28" s="17">
        <f t="shared" si="5"/>
        <v>0</v>
      </c>
      <c r="S28" s="17"/>
      <c r="T28" s="20">
        <v>10.0</v>
      </c>
      <c r="U28" s="17">
        <f t="shared" si="6"/>
        <v>333.7</v>
      </c>
      <c r="V28" s="17"/>
      <c r="W28" s="48">
        <v>0.0</v>
      </c>
      <c r="X28" s="22">
        <v>45333.0</v>
      </c>
      <c r="Y28" s="23"/>
    </row>
    <row r="29" ht="15.75" customHeight="1">
      <c r="A29" s="26" t="s">
        <v>127</v>
      </c>
      <c r="B29" s="26" t="s">
        <v>128</v>
      </c>
      <c r="C29" s="30">
        <v>45323.0</v>
      </c>
      <c r="D29" s="15">
        <v>45329.0</v>
      </c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16">
        <v>4.0</v>
      </c>
      <c r="L29" s="17">
        <f t="shared" si="3"/>
        <v>754.28</v>
      </c>
      <c r="M29" s="17">
        <v>754.28</v>
      </c>
      <c r="N29" s="28"/>
      <c r="O29" s="17">
        <f t="shared" si="9"/>
        <v>0</v>
      </c>
      <c r="P29" s="17"/>
      <c r="Q29" s="28"/>
      <c r="R29" s="17">
        <f t="shared" si="5"/>
        <v>0</v>
      </c>
      <c r="S29" s="17"/>
      <c r="T29" s="29"/>
      <c r="U29" s="17">
        <f t="shared" si="6"/>
        <v>0</v>
      </c>
      <c r="V29" s="17"/>
      <c r="W29" s="48">
        <v>0.0</v>
      </c>
      <c r="X29" s="22">
        <v>45333.0</v>
      </c>
      <c r="Y29" s="23"/>
    </row>
    <row r="30" ht="15.75" customHeight="1">
      <c r="A30" s="26" t="s">
        <v>63</v>
      </c>
      <c r="B30" s="26" t="s">
        <v>64</v>
      </c>
      <c r="C30" s="30">
        <v>45327.0</v>
      </c>
      <c r="D30" s="15">
        <v>45328.0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3.0</v>
      </c>
      <c r="L30" s="17">
        <f t="shared" si="3"/>
        <v>565.71</v>
      </c>
      <c r="M30" s="17">
        <v>565.71</v>
      </c>
      <c r="N30" s="28"/>
      <c r="O30" s="17">
        <f t="shared" si="9"/>
        <v>0</v>
      </c>
      <c r="P30" s="17"/>
      <c r="Q30" s="28"/>
      <c r="R30" s="17">
        <f t="shared" si="5"/>
        <v>0</v>
      </c>
      <c r="S30" s="17"/>
      <c r="T30" s="29"/>
      <c r="U30" s="17">
        <f t="shared" si="6"/>
        <v>0</v>
      </c>
      <c r="V30" s="17"/>
      <c r="W30" s="48">
        <v>0.0</v>
      </c>
      <c r="X30" s="22">
        <v>45333.0</v>
      </c>
      <c r="Y30" s="23"/>
    </row>
    <row r="31" ht="15.75" customHeight="1">
      <c r="A31" s="26" t="s">
        <v>69</v>
      </c>
      <c r="B31" s="26" t="s">
        <v>129</v>
      </c>
      <c r="C31" s="30">
        <v>45327.0</v>
      </c>
      <c r="D31" s="15">
        <v>45329.0</v>
      </c>
      <c r="E31" s="28">
        <v>1.0</v>
      </c>
      <c r="F31" s="17">
        <f t="shared" si="1"/>
        <v>214.22</v>
      </c>
      <c r="G31" s="47">
        <v>214.22</v>
      </c>
      <c r="H31" s="28"/>
      <c r="I31" s="17">
        <f t="shared" si="2"/>
        <v>0</v>
      </c>
      <c r="J31" s="17"/>
      <c r="K31" s="16">
        <v>2.0</v>
      </c>
      <c r="L31" s="17">
        <f t="shared" si="3"/>
        <v>377.14</v>
      </c>
      <c r="M31" s="47">
        <v>377.14</v>
      </c>
      <c r="N31" s="28"/>
      <c r="O31" s="17">
        <f t="shared" si="9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17"/>
      <c r="W31" s="48">
        <v>0.0</v>
      </c>
      <c r="X31" s="22">
        <v>45333.0</v>
      </c>
      <c r="Y31" s="23"/>
    </row>
    <row r="32" ht="15.75" customHeight="1">
      <c r="A32" s="26" t="s">
        <v>67</v>
      </c>
      <c r="B32" s="26" t="s">
        <v>68</v>
      </c>
      <c r="C32" s="30">
        <v>45323.0</v>
      </c>
      <c r="D32" s="15">
        <v>45329.0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4.0</v>
      </c>
      <c r="L32" s="17">
        <f t="shared" si="3"/>
        <v>754.28</v>
      </c>
      <c r="M32" s="17">
        <v>754.28</v>
      </c>
      <c r="N32" s="28"/>
      <c r="O32" s="17">
        <f t="shared" si="9"/>
        <v>0</v>
      </c>
      <c r="P32" s="17"/>
      <c r="Q32" s="28"/>
      <c r="R32" s="17">
        <f t="shared" si="5"/>
        <v>0</v>
      </c>
      <c r="S32" s="17"/>
      <c r="T32" s="20">
        <v>18.0</v>
      </c>
      <c r="U32" s="17">
        <f t="shared" si="6"/>
        <v>600.66</v>
      </c>
      <c r="V32" s="17"/>
      <c r="W32" s="48">
        <v>0.0</v>
      </c>
      <c r="X32" s="22">
        <v>45333.0</v>
      </c>
      <c r="Y32" s="23"/>
    </row>
    <row r="33" ht="15.75" customHeight="1">
      <c r="A33" s="26" t="s">
        <v>69</v>
      </c>
      <c r="B33" s="26" t="s">
        <v>70</v>
      </c>
      <c r="C33" s="30">
        <v>45323.0</v>
      </c>
      <c r="D33" s="15">
        <v>45329.0</v>
      </c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>
        <v>4.0</v>
      </c>
      <c r="L33" s="17">
        <f t="shared" si="3"/>
        <v>754.28</v>
      </c>
      <c r="M33" s="17">
        <v>754.28</v>
      </c>
      <c r="N33" s="28"/>
      <c r="O33" s="17">
        <f t="shared" si="9"/>
        <v>0</v>
      </c>
      <c r="P33" s="17"/>
      <c r="Q33" s="28"/>
      <c r="R33" s="17">
        <f t="shared" si="5"/>
        <v>0</v>
      </c>
      <c r="S33" s="17"/>
      <c r="T33" s="29"/>
      <c r="U33" s="17">
        <f t="shared" si="6"/>
        <v>0</v>
      </c>
      <c r="V33" s="17"/>
      <c r="W33" s="48">
        <v>0.0</v>
      </c>
      <c r="X33" s="22">
        <v>45333.0</v>
      </c>
      <c r="Y33" s="23"/>
    </row>
    <row r="34" ht="15.75" customHeight="1">
      <c r="A34" s="26" t="s">
        <v>71</v>
      </c>
      <c r="B34" s="26" t="s">
        <v>72</v>
      </c>
      <c r="C34" s="30">
        <v>45327.0</v>
      </c>
      <c r="D34" s="15">
        <v>45329.0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3.0</v>
      </c>
      <c r="L34" s="17">
        <f t="shared" si="3"/>
        <v>565.71</v>
      </c>
      <c r="M34" s="17">
        <v>565.71</v>
      </c>
      <c r="N34" s="28"/>
      <c r="O34" s="17">
        <f t="shared" si="9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48">
        <v>0.0</v>
      </c>
      <c r="X34" s="22">
        <v>45333.0</v>
      </c>
      <c r="Y34" s="23"/>
    </row>
    <row r="35" ht="15.75" customHeight="1">
      <c r="A35" s="26" t="s">
        <v>73</v>
      </c>
      <c r="B35" s="26" t="s">
        <v>74</v>
      </c>
      <c r="C35" s="30"/>
      <c r="D35" s="15"/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/>
      <c r="L35" s="17">
        <f t="shared" si="3"/>
        <v>0</v>
      </c>
      <c r="M35" s="17"/>
      <c r="N35" s="28"/>
      <c r="O35" s="17">
        <f t="shared" si="9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21">
        <f t="shared" ref="W35:W36" si="10">SUM(F35+I35+L35+O35+R35)</f>
        <v>0</v>
      </c>
      <c r="X35" s="26"/>
      <c r="Y35" s="23"/>
    </row>
    <row r="36" ht="15.75" customHeight="1">
      <c r="A36" s="26" t="s">
        <v>75</v>
      </c>
      <c r="B36" s="26" t="s">
        <v>76</v>
      </c>
      <c r="C36" s="30"/>
      <c r="D36" s="30"/>
      <c r="E36" s="28"/>
      <c r="F36" s="17">
        <f t="shared" si="1"/>
        <v>0</v>
      </c>
      <c r="G36" s="17"/>
      <c r="H36" s="28"/>
      <c r="I36" s="17">
        <f t="shared" si="2"/>
        <v>0</v>
      </c>
      <c r="J36" s="17"/>
      <c r="K36" s="16"/>
      <c r="L36" s="17">
        <f t="shared" si="3"/>
        <v>0</v>
      </c>
      <c r="M36" s="17"/>
      <c r="N36" s="28"/>
      <c r="O36" s="17">
        <f t="shared" si="9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 t="shared" si="10"/>
        <v>0</v>
      </c>
      <c r="X36" s="22">
        <v>45333.0</v>
      </c>
      <c r="Y36" s="23"/>
    </row>
    <row r="37" ht="15.75" customHeight="1">
      <c r="A37" s="26" t="s">
        <v>111</v>
      </c>
      <c r="B37" s="26" t="s">
        <v>112</v>
      </c>
      <c r="C37" s="30">
        <v>45323.0</v>
      </c>
      <c r="D37" s="15">
        <v>45329.0</v>
      </c>
      <c r="E37" s="28"/>
      <c r="F37" s="17">
        <f t="shared" si="1"/>
        <v>0</v>
      </c>
      <c r="G37" s="17"/>
      <c r="H37" s="28"/>
      <c r="I37" s="17">
        <f t="shared" si="2"/>
        <v>0</v>
      </c>
      <c r="J37" s="17"/>
      <c r="K37" s="16">
        <v>4.0</v>
      </c>
      <c r="L37" s="17">
        <f t="shared" si="3"/>
        <v>754.28</v>
      </c>
      <c r="M37" s="17">
        <v>754.28</v>
      </c>
      <c r="N37" s="28"/>
      <c r="O37" s="17">
        <f t="shared" si="9"/>
        <v>0</v>
      </c>
      <c r="P37" s="17"/>
      <c r="Q37" s="28"/>
      <c r="R37" s="17">
        <f t="shared" si="5"/>
        <v>0</v>
      </c>
      <c r="S37" s="17"/>
      <c r="T37" s="29"/>
      <c r="U37" s="17">
        <f t="shared" si="6"/>
        <v>0</v>
      </c>
      <c r="V37" s="17"/>
      <c r="W37" s="48">
        <v>0.0</v>
      </c>
      <c r="X37" s="22">
        <v>45333.0</v>
      </c>
      <c r="Y37" s="23"/>
    </row>
    <row r="38" ht="15.75" customHeight="1">
      <c r="A38" s="26" t="s">
        <v>79</v>
      </c>
      <c r="B38" s="26" t="s">
        <v>80</v>
      </c>
      <c r="C38" s="30">
        <v>45327.0</v>
      </c>
      <c r="D38" s="30">
        <v>45329.0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4.0</v>
      </c>
      <c r="L38" s="17">
        <f t="shared" si="3"/>
        <v>754.28</v>
      </c>
      <c r="M38" s="17"/>
      <c r="N38" s="28"/>
      <c r="O38" s="17">
        <f t="shared" si="9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48">
        <v>0.0</v>
      </c>
      <c r="X38" s="22">
        <v>45333.0</v>
      </c>
      <c r="Y38" s="23"/>
    </row>
    <row r="39" ht="15.75" customHeight="1">
      <c r="A39" s="26" t="s">
        <v>22</v>
      </c>
      <c r="B39" s="26" t="s">
        <v>23</v>
      </c>
      <c r="C39" s="30">
        <v>45323.0</v>
      </c>
      <c r="D39" s="15">
        <v>45329.0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4.0</v>
      </c>
      <c r="L39" s="17">
        <f t="shared" si="3"/>
        <v>754.28</v>
      </c>
      <c r="M39" s="17">
        <v>754.28</v>
      </c>
      <c r="N39" s="28"/>
      <c r="O39" s="17">
        <f t="shared" si="9"/>
        <v>0</v>
      </c>
      <c r="P39" s="17"/>
      <c r="Q39" s="28"/>
      <c r="R39" s="17">
        <f t="shared" si="5"/>
        <v>0</v>
      </c>
      <c r="S39" s="17"/>
      <c r="T39" s="29">
        <v>12.0</v>
      </c>
      <c r="U39" s="17">
        <f t="shared" si="6"/>
        <v>400.44</v>
      </c>
      <c r="V39" s="17"/>
      <c r="W39" s="48">
        <v>0.0</v>
      </c>
      <c r="X39" s="22">
        <v>45333.0</v>
      </c>
      <c r="Y39" s="23"/>
      <c r="Z39" s="31"/>
    </row>
    <row r="40" ht="15.75" customHeight="1">
      <c r="A40" s="26" t="s">
        <v>88</v>
      </c>
      <c r="B40" s="26" t="s">
        <v>89</v>
      </c>
      <c r="C40" s="30"/>
      <c r="D40" s="30"/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3"/>
        <v>0</v>
      </c>
      <c r="M40" s="17"/>
      <c r="N40" s="28"/>
      <c r="O40" s="17">
        <f t="shared" si="9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21">
        <f>SUM(F40+I40+L40+O40+R40)</f>
        <v>0</v>
      </c>
      <c r="X40" s="26"/>
      <c r="Y40" s="23"/>
    </row>
    <row r="41" ht="15.75" customHeight="1">
      <c r="A41" s="26" t="s">
        <v>113</v>
      </c>
      <c r="B41" s="26" t="s">
        <v>114</v>
      </c>
      <c r="C41" s="30">
        <v>45318.0</v>
      </c>
      <c r="D41" s="30">
        <v>45324.0</v>
      </c>
      <c r="E41" s="28">
        <v>1.0</v>
      </c>
      <c r="F41" s="17">
        <f t="shared" si="1"/>
        <v>214.22</v>
      </c>
      <c r="G41" s="17"/>
      <c r="H41" s="28">
        <v>7.0</v>
      </c>
      <c r="I41" s="17">
        <f t="shared" si="2"/>
        <v>2217.39</v>
      </c>
      <c r="J41" s="17">
        <v>2217.39</v>
      </c>
      <c r="K41" s="16"/>
      <c r="L41" s="17">
        <f t="shared" si="3"/>
        <v>0</v>
      </c>
      <c r="M41" s="17"/>
      <c r="N41" s="28"/>
      <c r="O41" s="17">
        <f t="shared" si="9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48">
        <v>0.0</v>
      </c>
      <c r="X41" s="22">
        <v>45333.0</v>
      </c>
      <c r="Y41" s="23"/>
    </row>
    <row r="42" ht="15.75" customHeight="1">
      <c r="A42" s="26" t="s">
        <v>92</v>
      </c>
      <c r="B42" s="26" t="s">
        <v>93</v>
      </c>
      <c r="C42" s="30"/>
      <c r="D42" s="30"/>
      <c r="E42" s="28"/>
      <c r="F42" s="17">
        <f t="shared" si="1"/>
        <v>0</v>
      </c>
      <c r="G42" s="17"/>
      <c r="H42" s="28"/>
      <c r="I42" s="17">
        <f t="shared" si="2"/>
        <v>0</v>
      </c>
      <c r="J42" s="17"/>
      <c r="K42" s="16"/>
      <c r="L42" s="17">
        <f t="shared" si="3"/>
        <v>0</v>
      </c>
      <c r="M42" s="17"/>
      <c r="N42" s="28"/>
      <c r="O42" s="17">
        <f t="shared" si="9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>SUM(F42+I42+L42+O42+R42)</f>
        <v>0</v>
      </c>
      <c r="X42" s="26"/>
      <c r="Y42" s="23"/>
    </row>
    <row r="43" ht="15.75" customHeight="1">
      <c r="A43" s="26" t="s">
        <v>65</v>
      </c>
      <c r="B43" s="26" t="s">
        <v>94</v>
      </c>
      <c r="C43" s="30">
        <v>45323.0</v>
      </c>
      <c r="D43" s="30">
        <v>45328.0</v>
      </c>
      <c r="E43" s="28"/>
      <c r="F43" s="17">
        <f t="shared" si="1"/>
        <v>0</v>
      </c>
      <c r="G43" s="17"/>
      <c r="H43" s="28"/>
      <c r="I43" s="17">
        <f t="shared" si="2"/>
        <v>0</v>
      </c>
      <c r="J43" s="17"/>
      <c r="K43" s="16">
        <v>3.0</v>
      </c>
      <c r="L43" s="17">
        <f t="shared" si="3"/>
        <v>565.71</v>
      </c>
      <c r="M43" s="17">
        <v>565.71</v>
      </c>
      <c r="N43" s="28"/>
      <c r="O43" s="17">
        <f t="shared" si="9"/>
        <v>0</v>
      </c>
      <c r="P43" s="17"/>
      <c r="Q43" s="28"/>
      <c r="R43" s="17">
        <f t="shared" si="5"/>
        <v>0</v>
      </c>
      <c r="S43" s="17"/>
      <c r="T43" s="29">
        <v>12.0</v>
      </c>
      <c r="U43" s="17">
        <f t="shared" si="6"/>
        <v>400.44</v>
      </c>
      <c r="V43" s="17"/>
      <c r="W43" s="48">
        <v>0.0</v>
      </c>
      <c r="X43" s="50">
        <v>45333.0</v>
      </c>
      <c r="Y43" s="23"/>
    </row>
    <row r="44" ht="15.75" customHeight="1">
      <c r="A44" s="26" t="s">
        <v>65</v>
      </c>
      <c r="B44" s="26" t="s">
        <v>21</v>
      </c>
      <c r="C44" s="30">
        <v>45323.0</v>
      </c>
      <c r="D44" s="15">
        <v>45329.0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4.0</v>
      </c>
      <c r="L44" s="17">
        <f t="shared" si="3"/>
        <v>754.28</v>
      </c>
      <c r="M44" s="17">
        <v>754.28</v>
      </c>
      <c r="N44" s="28"/>
      <c r="O44" s="17">
        <f t="shared" si="9"/>
        <v>0</v>
      </c>
      <c r="P44" s="17"/>
      <c r="Q44" s="28"/>
      <c r="R44" s="17">
        <f t="shared" si="5"/>
        <v>0</v>
      </c>
      <c r="S44" s="17"/>
      <c r="T44" s="29">
        <v>12.0</v>
      </c>
      <c r="U44" s="17">
        <f t="shared" si="6"/>
        <v>400.44</v>
      </c>
      <c r="V44" s="17"/>
      <c r="W44" s="21">
        <f>SUM(F44+I44+L44+O44+R44)</f>
        <v>754.28</v>
      </c>
      <c r="X44" s="22">
        <v>45333.0</v>
      </c>
      <c r="Y44" s="23"/>
    </row>
    <row r="45" ht="15.75" customHeight="1">
      <c r="A45" s="40" t="s">
        <v>81</v>
      </c>
      <c r="B45" s="41"/>
      <c r="C45" s="41"/>
      <c r="D45" s="41"/>
      <c r="E45" s="42"/>
      <c r="F45" s="43">
        <f>SUM(F31:F44)</f>
        <v>428.44</v>
      </c>
      <c r="G45" s="43">
        <f>SUM(G4:G40)</f>
        <v>642.66</v>
      </c>
      <c r="H45" s="42"/>
      <c r="I45" s="43">
        <f t="shared" ref="I45:J45" si="11">SUM(I4:I40)</f>
        <v>13621.11</v>
      </c>
      <c r="J45" s="43">
        <f t="shared" si="11"/>
        <v>13621.11</v>
      </c>
      <c r="K45" s="42"/>
      <c r="L45" s="43">
        <f t="shared" ref="L45:M45" si="12">SUM(L4:L40)</f>
        <v>11879.91</v>
      </c>
      <c r="M45" s="43">
        <f t="shared" si="12"/>
        <v>10937.06</v>
      </c>
      <c r="N45" s="42"/>
      <c r="O45" s="43">
        <f t="shared" ref="O45:P45" si="13">SUM(O4:O40)</f>
        <v>706.2</v>
      </c>
      <c r="P45" s="43">
        <f t="shared" si="13"/>
        <v>706.2</v>
      </c>
      <c r="Q45" s="42"/>
      <c r="R45" s="43">
        <f t="shared" ref="R45:S45" si="14">SUM(R4:R40)</f>
        <v>120.64</v>
      </c>
      <c r="S45" s="43">
        <f t="shared" si="14"/>
        <v>120.64</v>
      </c>
      <c r="T45" s="42"/>
      <c r="U45" s="43">
        <f t="shared" ref="U45:W45" si="15">SUM(U4:U40)</f>
        <v>5239.09</v>
      </c>
      <c r="V45" s="43">
        <f t="shared" si="15"/>
        <v>0</v>
      </c>
      <c r="W45" s="43">
        <f t="shared" si="15"/>
        <v>10877.84</v>
      </c>
      <c r="X45" s="41"/>
      <c r="Y45" s="44"/>
    </row>
    <row r="46" ht="15.75" customHeight="1">
      <c r="E46" s="1"/>
      <c r="H46" s="1"/>
      <c r="K46" s="1"/>
      <c r="N46" s="1"/>
      <c r="Q46" s="1"/>
      <c r="T46" s="1"/>
      <c r="W46" s="3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20</v>
      </c>
      <c r="B4" s="14" t="s">
        <v>21</v>
      </c>
      <c r="C4" s="15">
        <v>45330.0</v>
      </c>
      <c r="D4" s="15">
        <v>45336.0</v>
      </c>
      <c r="E4" s="16"/>
      <c r="F4" s="17">
        <f t="shared" ref="F4:F45" si="1">PRODUCT(E4)*214.22</f>
        <v>0</v>
      </c>
      <c r="G4" s="17"/>
      <c r="H4" s="16"/>
      <c r="I4" s="17">
        <f t="shared" ref="I4:I45" si="2">PRODUCT(H4)*316.77</f>
        <v>0</v>
      </c>
      <c r="J4" s="17"/>
      <c r="K4" s="16">
        <v>4.0</v>
      </c>
      <c r="L4" s="17">
        <f t="shared" ref="L4:L32" si="3">PRODUCT(K4)*188.57</f>
        <v>754.28</v>
      </c>
      <c r="M4" s="17"/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20"/>
      <c r="U4" s="17">
        <f t="shared" ref="U4:U45" si="6">PRODUCT(T4)*33.37</f>
        <v>0</v>
      </c>
      <c r="V4" s="17"/>
      <c r="W4" s="21">
        <f t="shared" ref="W4:W30" si="7">SUM(F4+I4+L4+O4+R4)</f>
        <v>754.28</v>
      </c>
      <c r="X4" s="22">
        <v>45340.0</v>
      </c>
      <c r="Y4" s="23"/>
    </row>
    <row r="5">
      <c r="A5" s="14" t="s">
        <v>130</v>
      </c>
      <c r="B5" s="14" t="s">
        <v>131</v>
      </c>
      <c r="C5" s="30">
        <v>45335.0</v>
      </c>
      <c r="D5" s="30">
        <v>45335.0</v>
      </c>
      <c r="E5" s="16">
        <v>1.0</v>
      </c>
      <c r="F5" s="17">
        <f t="shared" si="1"/>
        <v>214.22</v>
      </c>
      <c r="G5" s="17">
        <v>214.22</v>
      </c>
      <c r="H5" s="16"/>
      <c r="I5" s="17">
        <f t="shared" si="2"/>
        <v>0</v>
      </c>
      <c r="J5" s="17"/>
      <c r="K5" s="16"/>
      <c r="L5" s="17">
        <f t="shared" si="3"/>
        <v>0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214.22</v>
      </c>
      <c r="X5" s="39">
        <v>45340.0</v>
      </c>
      <c r="Y5" s="24"/>
    </row>
    <row r="6">
      <c r="A6" s="14" t="s">
        <v>82</v>
      </c>
      <c r="B6" s="14" t="s">
        <v>83</v>
      </c>
      <c r="C6" s="30">
        <v>45330.0</v>
      </c>
      <c r="D6" s="15">
        <v>45337.0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4.0</v>
      </c>
      <c r="L6" s="17">
        <f t="shared" si="3"/>
        <v>754.28</v>
      </c>
      <c r="M6" s="17">
        <v>754.28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21">
        <f t="shared" si="7"/>
        <v>754.28</v>
      </c>
      <c r="X6" s="22">
        <v>45706.0</v>
      </c>
      <c r="Y6" s="24"/>
    </row>
    <row r="7">
      <c r="A7" s="14" t="s">
        <v>24</v>
      </c>
      <c r="B7" s="14" t="s">
        <v>25</v>
      </c>
      <c r="C7" s="15">
        <v>45307.0</v>
      </c>
      <c r="D7" s="15">
        <v>45320.0</v>
      </c>
      <c r="E7" s="16"/>
      <c r="F7" s="17">
        <f t="shared" si="1"/>
        <v>0</v>
      </c>
      <c r="G7" s="17"/>
      <c r="H7" s="16"/>
      <c r="I7" s="17">
        <f t="shared" si="2"/>
        <v>0</v>
      </c>
      <c r="J7" s="17"/>
      <c r="K7" s="16">
        <v>8.0</v>
      </c>
      <c r="L7" s="17">
        <f t="shared" si="3"/>
        <v>1508.56</v>
      </c>
      <c r="M7" s="17">
        <v>1508.56</v>
      </c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/>
      <c r="U7" s="17">
        <f t="shared" si="6"/>
        <v>0</v>
      </c>
      <c r="V7" s="17"/>
      <c r="W7" s="21">
        <f t="shared" si="7"/>
        <v>1508.56</v>
      </c>
      <c r="X7" s="22">
        <v>45714.0</v>
      </c>
      <c r="Y7" s="24"/>
    </row>
    <row r="8">
      <c r="A8" s="14" t="s">
        <v>26</v>
      </c>
      <c r="B8" s="14" t="s">
        <v>27</v>
      </c>
      <c r="C8" s="30">
        <v>45314.0</v>
      </c>
      <c r="D8" s="15">
        <v>45323.0</v>
      </c>
      <c r="E8" s="16"/>
      <c r="F8" s="17">
        <f t="shared" si="1"/>
        <v>0</v>
      </c>
      <c r="G8" s="17"/>
      <c r="H8" s="16">
        <v>10.0</v>
      </c>
      <c r="I8" s="17">
        <f t="shared" si="2"/>
        <v>3167.7</v>
      </c>
      <c r="J8" s="17">
        <v>3167.7</v>
      </c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3167.7</v>
      </c>
      <c r="X8" s="39">
        <v>45340.0</v>
      </c>
      <c r="Y8" s="23"/>
    </row>
    <row r="9">
      <c r="A9" s="26" t="s">
        <v>30</v>
      </c>
      <c r="B9" s="26" t="s">
        <v>31</v>
      </c>
      <c r="C9" s="15">
        <v>45330.0</v>
      </c>
      <c r="D9" s="15">
        <v>45337.0</v>
      </c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16">
        <v>5.0</v>
      </c>
      <c r="O9" s="17">
        <f t="shared" si="4"/>
        <v>294.25</v>
      </c>
      <c r="P9" s="17">
        <v>294.25</v>
      </c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21">
        <f t="shared" si="7"/>
        <v>294.25</v>
      </c>
      <c r="X9" s="45">
        <v>45340.0</v>
      </c>
      <c r="Y9" s="23"/>
    </row>
    <row r="10">
      <c r="A10" s="51" t="s">
        <v>39</v>
      </c>
      <c r="B10" s="26" t="s">
        <v>40</v>
      </c>
      <c r="C10" s="30">
        <v>45329.0</v>
      </c>
      <c r="D10" s="15">
        <v>45329.0</v>
      </c>
      <c r="E10" s="16"/>
      <c r="F10" s="17">
        <f t="shared" si="1"/>
        <v>0</v>
      </c>
      <c r="G10" s="17"/>
      <c r="H10" s="16">
        <v>1.0</v>
      </c>
      <c r="I10" s="17">
        <f t="shared" si="2"/>
        <v>316.77</v>
      </c>
      <c r="J10" s="17">
        <v>316.77</v>
      </c>
      <c r="K10" s="16">
        <v>4.0</v>
      </c>
      <c r="L10" s="17">
        <f t="shared" si="3"/>
        <v>754.28</v>
      </c>
      <c r="M10" s="17">
        <v>754.28</v>
      </c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7"/>
        <v>1071.05</v>
      </c>
      <c r="X10" s="39">
        <v>45340.0</v>
      </c>
      <c r="Y10" s="23"/>
    </row>
    <row r="11">
      <c r="A11" s="26" t="s">
        <v>95</v>
      </c>
      <c r="B11" s="26" t="s">
        <v>58</v>
      </c>
      <c r="C11" s="30">
        <v>45330.0</v>
      </c>
      <c r="D11" s="15">
        <v>45337.0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5.0</v>
      </c>
      <c r="L11" s="17">
        <f t="shared" si="3"/>
        <v>942.85</v>
      </c>
      <c r="M11" s="17">
        <v>942.85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7"/>
        <v>942.85</v>
      </c>
      <c r="X11" s="39">
        <v>45340.0</v>
      </c>
      <c r="Y11" s="23"/>
    </row>
    <row r="12">
      <c r="A12" s="26" t="s">
        <v>47</v>
      </c>
      <c r="B12" s="26" t="s">
        <v>84</v>
      </c>
      <c r="C12" s="30">
        <v>45335.0</v>
      </c>
      <c r="D12" s="15">
        <v>45337.0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>
        <v>3.0</v>
      </c>
      <c r="L12" s="17">
        <f t="shared" si="3"/>
        <v>565.71</v>
      </c>
      <c r="M12" s="17">
        <v>565.71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7"/>
        <v>565.71</v>
      </c>
      <c r="X12" s="39">
        <v>45340.0</v>
      </c>
      <c r="Y12" s="46"/>
    </row>
    <row r="13">
      <c r="A13" s="26" t="s">
        <v>71</v>
      </c>
      <c r="B13" s="26" t="s">
        <v>96</v>
      </c>
      <c r="C13" s="15">
        <v>45317.0</v>
      </c>
      <c r="D13" s="15">
        <v>45331.0</v>
      </c>
      <c r="E13" s="16"/>
      <c r="F13" s="17">
        <f t="shared" si="1"/>
        <v>0</v>
      </c>
      <c r="G13" s="17"/>
      <c r="H13" s="16">
        <v>15.0</v>
      </c>
      <c r="I13" s="17">
        <f t="shared" si="2"/>
        <v>4751.55</v>
      </c>
      <c r="J13" s="17">
        <v>3484.47</v>
      </c>
      <c r="K13" s="16"/>
      <c r="L13" s="17">
        <f t="shared" si="3"/>
        <v>0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7"/>
        <v>4751.55</v>
      </c>
      <c r="X13" s="22">
        <v>45347.0</v>
      </c>
      <c r="Y13" s="23"/>
    </row>
    <row r="14">
      <c r="A14" s="26" t="s">
        <v>73</v>
      </c>
      <c r="B14" s="26" t="s">
        <v>74</v>
      </c>
      <c r="C14" s="15">
        <v>45316.0</v>
      </c>
      <c r="D14" s="15">
        <v>45328.0</v>
      </c>
      <c r="E14" s="16"/>
      <c r="F14" s="17">
        <f t="shared" si="1"/>
        <v>0</v>
      </c>
      <c r="G14" s="17"/>
      <c r="H14" s="16">
        <v>13.0</v>
      </c>
      <c r="I14" s="17">
        <f t="shared" si="2"/>
        <v>4118.01</v>
      </c>
      <c r="J14" s="17">
        <v>4118.01</v>
      </c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si="7"/>
        <v>4118.01</v>
      </c>
      <c r="X14" s="39">
        <v>45340.0</v>
      </c>
      <c r="Y14" s="23"/>
    </row>
    <row r="15">
      <c r="A15" s="26" t="s">
        <v>97</v>
      </c>
      <c r="B15" s="26" t="s">
        <v>98</v>
      </c>
      <c r="C15" s="15">
        <v>45318.0</v>
      </c>
      <c r="D15" s="15">
        <v>45334.0</v>
      </c>
      <c r="E15" s="16"/>
      <c r="F15" s="17">
        <f t="shared" si="1"/>
        <v>0</v>
      </c>
      <c r="G15" s="17"/>
      <c r="H15" s="16">
        <v>17.0</v>
      </c>
      <c r="I15" s="17">
        <f t="shared" si="2"/>
        <v>5385.09</v>
      </c>
      <c r="J15" s="17">
        <v>5385.09</v>
      </c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7"/>
        <v>5385.09</v>
      </c>
      <c r="X15" s="39">
        <v>45340.0</v>
      </c>
      <c r="Y15" s="23"/>
    </row>
    <row r="16">
      <c r="A16" s="26" t="s">
        <v>99</v>
      </c>
      <c r="B16" s="26" t="s">
        <v>100</v>
      </c>
      <c r="C16" s="15">
        <v>45316.0</v>
      </c>
      <c r="D16" s="15">
        <v>45332.0</v>
      </c>
      <c r="E16" s="16"/>
      <c r="F16" s="17">
        <f t="shared" si="1"/>
        <v>0</v>
      </c>
      <c r="G16" s="17"/>
      <c r="H16" s="16">
        <v>17.0</v>
      </c>
      <c r="I16" s="17">
        <f t="shared" si="2"/>
        <v>5385.09</v>
      </c>
      <c r="J16" s="17">
        <v>5385.09</v>
      </c>
      <c r="K16" s="16"/>
      <c r="L16" s="17">
        <f t="shared" si="3"/>
        <v>0</v>
      </c>
      <c r="M16" s="1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7"/>
        <v>5385.09</v>
      </c>
      <c r="X16" s="39">
        <v>45340.0</v>
      </c>
      <c r="Y16" s="23"/>
    </row>
    <row r="17">
      <c r="A17" s="26" t="s">
        <v>101</v>
      </c>
      <c r="B17" s="26" t="s">
        <v>102</v>
      </c>
      <c r="C17" s="15">
        <v>45315.0</v>
      </c>
      <c r="D17" s="15">
        <v>45324.0</v>
      </c>
      <c r="E17" s="16"/>
      <c r="F17" s="17">
        <f t="shared" si="1"/>
        <v>0</v>
      </c>
      <c r="G17" s="17"/>
      <c r="H17" s="16">
        <v>10.0</v>
      </c>
      <c r="I17" s="17">
        <f t="shared" si="2"/>
        <v>3167.7</v>
      </c>
      <c r="J17" s="17">
        <v>3167.7</v>
      </c>
      <c r="K17" s="16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7"/>
        <v>3167.7</v>
      </c>
      <c r="X17" s="39">
        <v>45340.0</v>
      </c>
      <c r="Y17" s="23"/>
    </row>
    <row r="18">
      <c r="A18" s="26" t="s">
        <v>132</v>
      </c>
      <c r="B18" s="26" t="s">
        <v>133</v>
      </c>
      <c r="C18" s="15">
        <v>45336.0</v>
      </c>
      <c r="D18" s="15">
        <v>45337.0</v>
      </c>
      <c r="E18" s="16">
        <v>1.0</v>
      </c>
      <c r="F18" s="17">
        <f t="shared" si="1"/>
        <v>214.22</v>
      </c>
      <c r="G18" s="17"/>
      <c r="H18" s="16"/>
      <c r="I18" s="17">
        <f t="shared" si="2"/>
        <v>0</v>
      </c>
      <c r="J18" s="17"/>
      <c r="K18" s="16">
        <v>1.0</v>
      </c>
      <c r="L18" s="17">
        <f t="shared" si="3"/>
        <v>188.57</v>
      </c>
      <c r="M18" s="17"/>
      <c r="N18" s="16"/>
      <c r="O18" s="17">
        <f t="shared" ref="O18:O21" si="8">PRODUCT(N18)*188.57</f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7"/>
        <v>402.79</v>
      </c>
      <c r="X18" s="26"/>
      <c r="Y18" s="23"/>
    </row>
    <row r="19">
      <c r="A19" s="26" t="s">
        <v>105</v>
      </c>
      <c r="B19" s="26" t="s">
        <v>106</v>
      </c>
      <c r="C19" s="15">
        <v>45311.0</v>
      </c>
      <c r="D19" s="15">
        <v>45330.0</v>
      </c>
      <c r="E19" s="16"/>
      <c r="F19" s="17">
        <f t="shared" si="1"/>
        <v>0</v>
      </c>
      <c r="G19" s="17"/>
      <c r="H19" s="16">
        <v>15.0</v>
      </c>
      <c r="I19" s="17">
        <f t="shared" si="2"/>
        <v>4751.55</v>
      </c>
      <c r="J19" s="17">
        <v>4751.55</v>
      </c>
      <c r="K19" s="16"/>
      <c r="L19" s="17">
        <f t="shared" si="3"/>
        <v>0</v>
      </c>
      <c r="M19" s="17"/>
      <c r="N19" s="16"/>
      <c r="O19" s="17">
        <f t="shared" si="8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21">
        <f t="shared" si="7"/>
        <v>4751.55</v>
      </c>
      <c r="X19" s="39">
        <v>45340.0</v>
      </c>
      <c r="Y19" s="23"/>
    </row>
    <row r="20">
      <c r="A20" s="26" t="s">
        <v>107</v>
      </c>
      <c r="B20" s="26" t="s">
        <v>108</v>
      </c>
      <c r="C20" s="15">
        <v>45309.0</v>
      </c>
      <c r="D20" s="15">
        <v>45312.0</v>
      </c>
      <c r="E20" s="16"/>
      <c r="F20" s="17">
        <f t="shared" si="1"/>
        <v>0</v>
      </c>
      <c r="G20" s="17"/>
      <c r="H20" s="16">
        <v>4.0</v>
      </c>
      <c r="I20" s="17">
        <f t="shared" si="2"/>
        <v>1267.08</v>
      </c>
      <c r="J20" s="17"/>
      <c r="K20" s="16"/>
      <c r="L20" s="17">
        <f t="shared" si="3"/>
        <v>0</v>
      </c>
      <c r="M20" s="17"/>
      <c r="N20" s="16"/>
      <c r="O20" s="17">
        <f t="shared" si="8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si="7"/>
        <v>1267.08</v>
      </c>
      <c r="X20" s="26"/>
      <c r="Y20" s="23"/>
    </row>
    <row r="21">
      <c r="A21" s="26" t="s">
        <v>109</v>
      </c>
      <c r="B21" s="26" t="s">
        <v>110</v>
      </c>
      <c r="C21" s="15">
        <v>45308.0</v>
      </c>
      <c r="D21" s="15">
        <v>45317.0</v>
      </c>
      <c r="E21" s="16"/>
      <c r="F21" s="17">
        <f t="shared" si="1"/>
        <v>0</v>
      </c>
      <c r="G21" s="17"/>
      <c r="H21" s="16">
        <v>14.0</v>
      </c>
      <c r="I21" s="17">
        <f t="shared" si="2"/>
        <v>4434.78</v>
      </c>
      <c r="J21" s="17">
        <v>4434.78</v>
      </c>
      <c r="K21" s="16">
        <v>3.0</v>
      </c>
      <c r="L21" s="17">
        <f t="shared" si="3"/>
        <v>565.71</v>
      </c>
      <c r="M21" s="17">
        <v>565.71</v>
      </c>
      <c r="N21" s="16"/>
      <c r="O21" s="17">
        <f t="shared" si="8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7"/>
        <v>5000.49</v>
      </c>
      <c r="X21" s="26"/>
      <c r="Y21" s="23"/>
    </row>
    <row r="22">
      <c r="A22" s="26" t="s">
        <v>41</v>
      </c>
      <c r="B22" s="26" t="s">
        <v>42</v>
      </c>
      <c r="C22" s="15">
        <v>45314.0</v>
      </c>
      <c r="D22" s="15">
        <v>45337.0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12.0</v>
      </c>
      <c r="L22" s="17">
        <f t="shared" si="3"/>
        <v>2262.84</v>
      </c>
      <c r="M22" s="17">
        <v>2262.84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21">
        <f t="shared" si="7"/>
        <v>2262.84</v>
      </c>
      <c r="X22" s="39">
        <v>45340.0</v>
      </c>
      <c r="Y22" s="23"/>
    </row>
    <row r="23">
      <c r="A23" s="26" t="s">
        <v>43</v>
      </c>
      <c r="B23" s="26" t="s">
        <v>44</v>
      </c>
      <c r="C23" s="30">
        <v>45330.0</v>
      </c>
      <c r="D23" s="15">
        <v>45337.0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/>
      <c r="L23" s="17">
        <f t="shared" si="3"/>
        <v>0</v>
      </c>
      <c r="M23" s="17"/>
      <c r="N23" s="16">
        <v>5.0</v>
      </c>
      <c r="O23" s="17">
        <f t="shared" ref="O23:O45" si="9">PRODUCT(N23)*58.85</f>
        <v>294.25</v>
      </c>
      <c r="P23" s="17">
        <v>294.25</v>
      </c>
      <c r="Q23" s="16">
        <v>4.0</v>
      </c>
      <c r="R23" s="17">
        <f t="shared" si="5"/>
        <v>120.64</v>
      </c>
      <c r="S23" s="17"/>
      <c r="T23" s="20"/>
      <c r="U23" s="17">
        <f t="shared" si="6"/>
        <v>0</v>
      </c>
      <c r="V23" s="17"/>
      <c r="W23" s="21">
        <f t="shared" si="7"/>
        <v>414.89</v>
      </c>
      <c r="X23" s="39">
        <v>45340.0</v>
      </c>
      <c r="Y23" s="23"/>
    </row>
    <row r="24">
      <c r="A24" s="26" t="s">
        <v>85</v>
      </c>
      <c r="B24" s="26" t="s">
        <v>86</v>
      </c>
      <c r="C24" s="30">
        <v>45330.0</v>
      </c>
      <c r="D24" s="15">
        <v>45337.0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5.0</v>
      </c>
      <c r="L24" s="17">
        <f t="shared" si="3"/>
        <v>942.85</v>
      </c>
      <c r="M24" s="17">
        <v>942.85</v>
      </c>
      <c r="N24" s="16"/>
      <c r="O24" s="17">
        <f t="shared" si="9"/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21">
        <f t="shared" si="7"/>
        <v>942.85</v>
      </c>
      <c r="X24" s="39">
        <v>45340.0</v>
      </c>
      <c r="Y24" s="23"/>
    </row>
    <row r="25">
      <c r="A25" s="52" t="s">
        <v>103</v>
      </c>
      <c r="B25" s="53" t="s">
        <v>104</v>
      </c>
      <c r="C25" s="15">
        <v>45315.0</v>
      </c>
      <c r="D25" s="15">
        <v>45324.0</v>
      </c>
      <c r="E25" s="16"/>
      <c r="F25" s="17">
        <f t="shared" si="1"/>
        <v>0</v>
      </c>
      <c r="G25" s="17"/>
      <c r="H25" s="16">
        <v>10.0</v>
      </c>
      <c r="I25" s="17">
        <f t="shared" si="2"/>
        <v>3167.7</v>
      </c>
      <c r="J25" s="17">
        <v>3167.7</v>
      </c>
      <c r="K25" s="16"/>
      <c r="L25" s="17">
        <f t="shared" si="3"/>
        <v>0</v>
      </c>
      <c r="M25" s="17"/>
      <c r="N25" s="16"/>
      <c r="O25" s="17">
        <f t="shared" si="9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21">
        <f t="shared" si="7"/>
        <v>3167.7</v>
      </c>
      <c r="X25" s="39">
        <v>45340.0</v>
      </c>
      <c r="Y25" s="23"/>
    </row>
    <row r="26">
      <c r="A26" s="26"/>
      <c r="B26" s="26"/>
      <c r="C26" s="15"/>
      <c r="D26" s="15"/>
      <c r="E26" s="16"/>
      <c r="F26" s="17">
        <f t="shared" si="1"/>
        <v>0</v>
      </c>
      <c r="G26" s="17"/>
      <c r="H26" s="16"/>
      <c r="I26" s="17">
        <f t="shared" si="2"/>
        <v>0</v>
      </c>
      <c r="J26" s="17"/>
      <c r="K26" s="16"/>
      <c r="L26" s="17">
        <f t="shared" si="3"/>
        <v>0</v>
      </c>
      <c r="M26" s="17"/>
      <c r="N26" s="16"/>
      <c r="O26" s="17">
        <f t="shared" si="9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 t="shared" si="7"/>
        <v>0</v>
      </c>
      <c r="X26" s="26"/>
      <c r="Y26" s="23"/>
    </row>
    <row r="27" ht="15.75" customHeight="1">
      <c r="A27" s="26" t="s">
        <v>53</v>
      </c>
      <c r="B27" s="26" t="s">
        <v>54</v>
      </c>
      <c r="C27" s="15">
        <v>45329.0</v>
      </c>
      <c r="D27" s="15">
        <v>45330.0</v>
      </c>
      <c r="E27" s="16"/>
      <c r="F27" s="17">
        <f t="shared" si="1"/>
        <v>0</v>
      </c>
      <c r="G27" s="17"/>
      <c r="H27" s="16">
        <v>2.0</v>
      </c>
      <c r="I27" s="17">
        <f t="shared" si="2"/>
        <v>633.54</v>
      </c>
      <c r="J27" s="17"/>
      <c r="K27" s="16"/>
      <c r="L27" s="17">
        <f t="shared" si="3"/>
        <v>0</v>
      </c>
      <c r="M27" s="17"/>
      <c r="N27" s="16"/>
      <c r="O27" s="17">
        <f t="shared" si="9"/>
        <v>0</v>
      </c>
      <c r="P27" s="17"/>
      <c r="Q27" s="16"/>
      <c r="R27" s="17">
        <f t="shared" si="5"/>
        <v>0</v>
      </c>
      <c r="S27" s="17"/>
      <c r="T27" s="20"/>
      <c r="U27" s="17">
        <f t="shared" si="6"/>
        <v>0</v>
      </c>
      <c r="V27" s="17"/>
      <c r="W27" s="21">
        <f t="shared" si="7"/>
        <v>633.54</v>
      </c>
      <c r="X27" s="39">
        <v>45340.0</v>
      </c>
      <c r="Y27" s="23"/>
    </row>
    <row r="28" ht="15.75" customHeight="1">
      <c r="A28" s="26" t="s">
        <v>57</v>
      </c>
      <c r="B28" s="26" t="s">
        <v>58</v>
      </c>
      <c r="C28" s="15">
        <v>45323.0</v>
      </c>
      <c r="D28" s="15">
        <v>45336.0</v>
      </c>
      <c r="E28" s="16"/>
      <c r="F28" s="17">
        <f t="shared" si="1"/>
        <v>0</v>
      </c>
      <c r="G28" s="17"/>
      <c r="H28" s="16">
        <v>2.0</v>
      </c>
      <c r="I28" s="17">
        <f t="shared" si="2"/>
        <v>633.54</v>
      </c>
      <c r="J28" s="17"/>
      <c r="K28" s="16">
        <v>3.0</v>
      </c>
      <c r="L28" s="17">
        <f t="shared" si="3"/>
        <v>565.71</v>
      </c>
      <c r="M28" s="17"/>
      <c r="N28" s="16"/>
      <c r="O28" s="17">
        <f t="shared" si="9"/>
        <v>0</v>
      </c>
      <c r="P28" s="17"/>
      <c r="Q28" s="16"/>
      <c r="R28" s="17">
        <f t="shared" si="5"/>
        <v>0</v>
      </c>
      <c r="S28" s="17"/>
      <c r="T28" s="20"/>
      <c r="U28" s="17">
        <f t="shared" si="6"/>
        <v>0</v>
      </c>
      <c r="V28" s="17"/>
      <c r="W28" s="21">
        <f t="shared" si="7"/>
        <v>1199.25</v>
      </c>
      <c r="X28" s="50">
        <v>45354.0</v>
      </c>
      <c r="Y28" s="23"/>
    </row>
    <row r="29" ht="15.75" customHeight="1">
      <c r="A29" s="26" t="s">
        <v>59</v>
      </c>
      <c r="B29" s="26" t="s">
        <v>60</v>
      </c>
      <c r="C29" s="15">
        <v>45330.0</v>
      </c>
      <c r="D29" s="15">
        <v>45337.0</v>
      </c>
      <c r="E29" s="16"/>
      <c r="F29" s="17">
        <f t="shared" si="1"/>
        <v>0</v>
      </c>
      <c r="G29" s="17"/>
      <c r="H29" s="16"/>
      <c r="I29" s="17">
        <f t="shared" si="2"/>
        <v>0</v>
      </c>
      <c r="J29" s="17"/>
      <c r="K29" s="16">
        <v>5.0</v>
      </c>
      <c r="L29" s="17">
        <f t="shared" si="3"/>
        <v>942.85</v>
      </c>
      <c r="M29" s="17">
        <v>942.85</v>
      </c>
      <c r="N29" s="16"/>
      <c r="O29" s="17">
        <f t="shared" si="9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21">
        <f t="shared" si="7"/>
        <v>942.85</v>
      </c>
      <c r="X29" s="39">
        <v>45340.0</v>
      </c>
      <c r="Y29" s="23"/>
    </row>
    <row r="30" ht="15.75" customHeight="1">
      <c r="A30" s="26" t="s">
        <v>127</v>
      </c>
      <c r="B30" s="26" t="s">
        <v>128</v>
      </c>
      <c r="C30" s="30">
        <v>45330.0</v>
      </c>
      <c r="D30" s="15">
        <v>45337.0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3.0</v>
      </c>
      <c r="L30" s="17">
        <f t="shared" si="3"/>
        <v>565.71</v>
      </c>
      <c r="M30" s="17">
        <v>565.71</v>
      </c>
      <c r="N30" s="28"/>
      <c r="O30" s="17">
        <f t="shared" si="9"/>
        <v>0</v>
      </c>
      <c r="P30" s="17"/>
      <c r="Q30" s="28"/>
      <c r="R30" s="17">
        <f t="shared" si="5"/>
        <v>0</v>
      </c>
      <c r="S30" s="17"/>
      <c r="T30" s="29"/>
      <c r="U30" s="17">
        <f t="shared" si="6"/>
        <v>0</v>
      </c>
      <c r="V30" s="17"/>
      <c r="W30" s="21">
        <f t="shared" si="7"/>
        <v>565.71</v>
      </c>
      <c r="X30" s="39">
        <v>45340.0</v>
      </c>
      <c r="Y30" s="23"/>
    </row>
    <row r="31" ht="15.75" customHeight="1">
      <c r="A31" s="26" t="s">
        <v>69</v>
      </c>
      <c r="B31" s="26" t="s">
        <v>129</v>
      </c>
      <c r="C31" s="30">
        <v>45330.0</v>
      </c>
      <c r="D31" s="15">
        <v>45337.0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16">
        <v>5.0</v>
      </c>
      <c r="L31" s="17">
        <f t="shared" si="3"/>
        <v>942.85</v>
      </c>
      <c r="M31" s="47">
        <v>942.85</v>
      </c>
      <c r="N31" s="28"/>
      <c r="O31" s="17">
        <f t="shared" si="9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17"/>
      <c r="W31" s="48">
        <v>0.0</v>
      </c>
      <c r="X31" s="50">
        <v>45340.0</v>
      </c>
      <c r="Y31" s="23"/>
    </row>
    <row r="32" ht="15.75" customHeight="1">
      <c r="A32" s="26" t="s">
        <v>65</v>
      </c>
      <c r="B32" s="26" t="s">
        <v>21</v>
      </c>
      <c r="C32" s="30">
        <v>45330.0</v>
      </c>
      <c r="D32" s="15">
        <v>45337.0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5.0</v>
      </c>
      <c r="L32" s="17">
        <f t="shared" si="3"/>
        <v>942.85</v>
      </c>
      <c r="M32" s="17">
        <v>942.85</v>
      </c>
      <c r="N32" s="28"/>
      <c r="O32" s="17">
        <f t="shared" si="9"/>
        <v>0</v>
      </c>
      <c r="P32" s="17"/>
      <c r="Q32" s="28"/>
      <c r="R32" s="17">
        <f t="shared" si="5"/>
        <v>0</v>
      </c>
      <c r="S32" s="17"/>
      <c r="T32" s="29"/>
      <c r="U32" s="17">
        <f t="shared" si="6"/>
        <v>0</v>
      </c>
      <c r="V32" s="17"/>
      <c r="W32" s="48">
        <v>0.0</v>
      </c>
      <c r="X32" s="39">
        <v>45340.0</v>
      </c>
      <c r="Y32" s="23"/>
    </row>
    <row r="33" ht="15.75" customHeight="1">
      <c r="A33" s="26" t="s">
        <v>67</v>
      </c>
      <c r="B33" s="26" t="s">
        <v>68</v>
      </c>
      <c r="C33" s="30">
        <v>45330.0</v>
      </c>
      <c r="D33" s="15">
        <v>45337.0</v>
      </c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>
        <v>5.0</v>
      </c>
      <c r="L33" s="17">
        <v>942.85</v>
      </c>
      <c r="M33" s="17">
        <v>942.85</v>
      </c>
      <c r="N33" s="28"/>
      <c r="O33" s="17">
        <f t="shared" si="9"/>
        <v>0</v>
      </c>
      <c r="P33" s="17"/>
      <c r="Q33" s="28"/>
      <c r="R33" s="17">
        <f t="shared" si="5"/>
        <v>0</v>
      </c>
      <c r="S33" s="17"/>
      <c r="T33" s="20"/>
      <c r="U33" s="17">
        <f t="shared" si="6"/>
        <v>0</v>
      </c>
      <c r="V33" s="17"/>
      <c r="W33" s="48">
        <v>0.0</v>
      </c>
      <c r="X33" s="39">
        <v>45340.0</v>
      </c>
      <c r="Y33" s="23"/>
    </row>
    <row r="34" ht="15.75" customHeight="1">
      <c r="A34" s="26" t="s">
        <v>69</v>
      </c>
      <c r="B34" s="26" t="s">
        <v>70</v>
      </c>
      <c r="C34" s="30">
        <v>45334.0</v>
      </c>
      <c r="D34" s="15">
        <v>45337.0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3.0</v>
      </c>
      <c r="L34" s="17">
        <f t="shared" ref="L34:L45" si="10">PRODUCT(K34)*188.57</f>
        <v>565.71</v>
      </c>
      <c r="M34" s="17">
        <v>565.71</v>
      </c>
      <c r="N34" s="28"/>
      <c r="O34" s="17">
        <f t="shared" si="9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48">
        <v>0.0</v>
      </c>
      <c r="X34" s="39">
        <v>45340.0</v>
      </c>
      <c r="Y34" s="23"/>
    </row>
    <row r="35" ht="15.75" customHeight="1">
      <c r="A35" s="26" t="s">
        <v>71</v>
      </c>
      <c r="B35" s="26" t="s">
        <v>72</v>
      </c>
      <c r="C35" s="30">
        <v>45330.0</v>
      </c>
      <c r="D35" s="15">
        <v>45337.0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5.0</v>
      </c>
      <c r="L35" s="17">
        <f t="shared" si="10"/>
        <v>942.85</v>
      </c>
      <c r="M35" s="17">
        <v>942.85</v>
      </c>
      <c r="N35" s="28"/>
      <c r="O35" s="17">
        <f t="shared" si="9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48">
        <v>0.0</v>
      </c>
      <c r="X35" s="39">
        <v>45340.0</v>
      </c>
      <c r="Y35" s="23"/>
    </row>
    <row r="36" ht="15.75" customHeight="1">
      <c r="A36" s="26"/>
      <c r="B36" s="26"/>
      <c r="C36" s="30"/>
      <c r="D36" s="15"/>
      <c r="E36" s="28"/>
      <c r="F36" s="17">
        <f t="shared" si="1"/>
        <v>0</v>
      </c>
      <c r="G36" s="17"/>
      <c r="H36" s="28"/>
      <c r="I36" s="17">
        <f t="shared" si="2"/>
        <v>0</v>
      </c>
      <c r="J36" s="17"/>
      <c r="K36" s="16"/>
      <c r="L36" s="17">
        <f t="shared" si="10"/>
        <v>0</v>
      </c>
      <c r="M36" s="17"/>
      <c r="N36" s="28"/>
      <c r="O36" s="17">
        <f t="shared" si="9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>SUM(F36+I36+L36+O36+R36)</f>
        <v>0</v>
      </c>
      <c r="X36" s="26"/>
      <c r="Y36" s="23"/>
    </row>
    <row r="37" ht="15.75" customHeight="1">
      <c r="A37" s="26" t="s">
        <v>121</v>
      </c>
      <c r="B37" s="26" t="s">
        <v>134</v>
      </c>
      <c r="C37" s="30">
        <v>45321.0</v>
      </c>
      <c r="D37" s="30">
        <v>45337.0</v>
      </c>
      <c r="E37" s="28"/>
      <c r="F37" s="17">
        <f t="shared" si="1"/>
        <v>0</v>
      </c>
      <c r="G37" s="17"/>
      <c r="H37" s="28">
        <v>7.0</v>
      </c>
      <c r="I37" s="17">
        <f t="shared" si="2"/>
        <v>2217.39</v>
      </c>
      <c r="J37" s="17">
        <v>2217.39</v>
      </c>
      <c r="K37" s="16"/>
      <c r="L37" s="17">
        <f t="shared" si="10"/>
        <v>0</v>
      </c>
      <c r="M37" s="17"/>
      <c r="N37" s="28"/>
      <c r="O37" s="17">
        <f t="shared" si="9"/>
        <v>0</v>
      </c>
      <c r="P37" s="17"/>
      <c r="Q37" s="28"/>
      <c r="R37" s="17">
        <f t="shared" si="5"/>
        <v>0</v>
      </c>
      <c r="S37" s="17"/>
      <c r="T37" s="29"/>
      <c r="U37" s="17">
        <f t="shared" si="6"/>
        <v>0</v>
      </c>
      <c r="V37" s="17"/>
      <c r="W37" s="48">
        <v>0.0</v>
      </c>
      <c r="X37" s="39">
        <v>45340.0</v>
      </c>
      <c r="Y37" s="23"/>
    </row>
    <row r="38" ht="15.75" customHeight="1">
      <c r="A38" s="26" t="s">
        <v>111</v>
      </c>
      <c r="B38" s="26" t="s">
        <v>112</v>
      </c>
      <c r="C38" s="30">
        <v>45330.0</v>
      </c>
      <c r="D38" s="15">
        <v>45337.0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5.0</v>
      </c>
      <c r="L38" s="17">
        <f t="shared" si="10"/>
        <v>942.85</v>
      </c>
      <c r="M38" s="17">
        <v>942.85</v>
      </c>
      <c r="N38" s="28"/>
      <c r="O38" s="17">
        <f t="shared" si="9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48">
        <v>0.0</v>
      </c>
      <c r="X38" s="39">
        <v>45340.0</v>
      </c>
      <c r="Y38" s="23"/>
    </row>
    <row r="39" ht="15.75" customHeight="1">
      <c r="A39" s="26" t="s">
        <v>79</v>
      </c>
      <c r="B39" s="26" t="s">
        <v>80</v>
      </c>
      <c r="C39" s="30">
        <v>45335.0</v>
      </c>
      <c r="D39" s="30">
        <v>45336.0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2.0</v>
      </c>
      <c r="L39" s="17">
        <f t="shared" si="10"/>
        <v>377.14</v>
      </c>
      <c r="M39" s="47">
        <v>377.14</v>
      </c>
      <c r="N39" s="28"/>
      <c r="O39" s="17">
        <f t="shared" si="9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48">
        <v>0.0</v>
      </c>
      <c r="X39" s="50">
        <v>45354.0</v>
      </c>
      <c r="Y39" s="23"/>
    </row>
    <row r="40" ht="15.75" customHeight="1">
      <c r="A40" s="26" t="s">
        <v>135</v>
      </c>
      <c r="B40" s="26" t="s">
        <v>62</v>
      </c>
      <c r="C40" s="30">
        <v>45330.0</v>
      </c>
      <c r="D40" s="15">
        <v>45337.0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>
        <v>4.0</v>
      </c>
      <c r="L40" s="17">
        <f t="shared" si="10"/>
        <v>754.28</v>
      </c>
      <c r="M40" s="17">
        <v>754.28</v>
      </c>
      <c r="N40" s="28"/>
      <c r="O40" s="17">
        <f t="shared" si="9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48">
        <v>0.0</v>
      </c>
      <c r="X40" s="39">
        <v>45340.0</v>
      </c>
      <c r="Y40" s="23"/>
      <c r="Z40" s="31"/>
    </row>
    <row r="41" ht="15.75" customHeight="1">
      <c r="A41" s="26" t="s">
        <v>136</v>
      </c>
      <c r="B41" s="26" t="s">
        <v>137</v>
      </c>
      <c r="C41" s="30">
        <v>45330.0</v>
      </c>
      <c r="D41" s="30">
        <v>45330.0</v>
      </c>
      <c r="E41" s="28">
        <v>1.0</v>
      </c>
      <c r="F41" s="17">
        <f t="shared" si="1"/>
        <v>214.22</v>
      </c>
      <c r="G41" s="17">
        <v>214.22</v>
      </c>
      <c r="H41" s="28"/>
      <c r="I41" s="17">
        <f t="shared" si="2"/>
        <v>0</v>
      </c>
      <c r="J41" s="17"/>
      <c r="K41" s="16"/>
      <c r="L41" s="17">
        <f t="shared" si="10"/>
        <v>0</v>
      </c>
      <c r="M41" s="17"/>
      <c r="N41" s="28"/>
      <c r="O41" s="17">
        <f t="shared" si="9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48">
        <v>0.0</v>
      </c>
      <c r="X41" s="39">
        <v>45340.0</v>
      </c>
      <c r="Y41" s="23"/>
    </row>
    <row r="42" ht="15.75" customHeight="1">
      <c r="A42" s="26" t="s">
        <v>113</v>
      </c>
      <c r="B42" s="26" t="s">
        <v>114</v>
      </c>
      <c r="C42" s="30"/>
      <c r="D42" s="30"/>
      <c r="E42" s="28"/>
      <c r="F42" s="17">
        <f t="shared" si="1"/>
        <v>0</v>
      </c>
      <c r="G42" s="17"/>
      <c r="H42" s="28"/>
      <c r="I42" s="17">
        <f t="shared" si="2"/>
        <v>0</v>
      </c>
      <c r="J42" s="17"/>
      <c r="K42" s="16"/>
      <c r="L42" s="17">
        <f t="shared" si="10"/>
        <v>0</v>
      </c>
      <c r="M42" s="17"/>
      <c r="N42" s="28"/>
      <c r="O42" s="17">
        <f t="shared" si="9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>SUM(F42+I42+L42+O42+R42)</f>
        <v>0</v>
      </c>
      <c r="X42" s="26"/>
      <c r="Y42" s="23"/>
    </row>
    <row r="43" ht="15.75" customHeight="1">
      <c r="A43" s="26" t="s">
        <v>115</v>
      </c>
      <c r="B43" s="26" t="s">
        <v>116</v>
      </c>
      <c r="C43" s="30">
        <v>45321.0</v>
      </c>
      <c r="D43" s="30">
        <v>45337.0</v>
      </c>
      <c r="E43" s="28"/>
      <c r="F43" s="17">
        <f t="shared" si="1"/>
        <v>0</v>
      </c>
      <c r="G43" s="17"/>
      <c r="H43" s="28">
        <v>17.0</v>
      </c>
      <c r="I43" s="17">
        <f t="shared" si="2"/>
        <v>5385.09</v>
      </c>
      <c r="J43" s="17">
        <v>5385.09</v>
      </c>
      <c r="K43" s="16"/>
      <c r="L43" s="17">
        <f t="shared" si="10"/>
        <v>0</v>
      </c>
      <c r="M43" s="17"/>
      <c r="N43" s="28"/>
      <c r="O43" s="17">
        <f t="shared" si="9"/>
        <v>0</v>
      </c>
      <c r="P43" s="17"/>
      <c r="Q43" s="28"/>
      <c r="R43" s="17">
        <f t="shared" si="5"/>
        <v>0</v>
      </c>
      <c r="S43" s="17"/>
      <c r="T43" s="29"/>
      <c r="U43" s="17">
        <f t="shared" si="6"/>
        <v>0</v>
      </c>
      <c r="V43" s="17"/>
      <c r="W43" s="48">
        <v>0.0</v>
      </c>
      <c r="X43" s="39">
        <v>45340.0</v>
      </c>
      <c r="Y43" s="23"/>
    </row>
    <row r="44" ht="15.75" customHeight="1">
      <c r="A44" s="26" t="s">
        <v>138</v>
      </c>
      <c r="B44" s="26" t="s">
        <v>66</v>
      </c>
      <c r="C44" s="30">
        <v>45330.0</v>
      </c>
      <c r="D44" s="30">
        <v>45330.0</v>
      </c>
      <c r="E44" s="28">
        <v>1.0</v>
      </c>
      <c r="F44" s="17">
        <f t="shared" si="1"/>
        <v>214.22</v>
      </c>
      <c r="G44" s="17">
        <v>214.22</v>
      </c>
      <c r="H44" s="28"/>
      <c r="I44" s="17">
        <f t="shared" si="2"/>
        <v>0</v>
      </c>
      <c r="J44" s="17"/>
      <c r="K44" s="16"/>
      <c r="L44" s="17">
        <f t="shared" si="10"/>
        <v>0</v>
      </c>
      <c r="M44" s="17"/>
      <c r="N44" s="28"/>
      <c r="O44" s="17">
        <f t="shared" si="9"/>
        <v>0</v>
      </c>
      <c r="P44" s="17"/>
      <c r="Q44" s="28"/>
      <c r="R44" s="17">
        <f t="shared" si="5"/>
        <v>0</v>
      </c>
      <c r="S44" s="17"/>
      <c r="T44" s="29"/>
      <c r="U44" s="17">
        <f t="shared" si="6"/>
        <v>0</v>
      </c>
      <c r="V44" s="17"/>
      <c r="W44" s="48">
        <v>0.0</v>
      </c>
      <c r="X44" s="39">
        <v>45340.0</v>
      </c>
      <c r="Y44" s="23"/>
    </row>
    <row r="45" ht="15.75" customHeight="1">
      <c r="A45" s="26" t="s">
        <v>117</v>
      </c>
      <c r="B45" s="26" t="s">
        <v>139</v>
      </c>
      <c r="C45" s="30">
        <v>45321.0</v>
      </c>
      <c r="D45" s="15">
        <v>45327.0</v>
      </c>
      <c r="E45" s="28"/>
      <c r="F45" s="17">
        <f t="shared" si="1"/>
        <v>0</v>
      </c>
      <c r="G45" s="17"/>
      <c r="H45" s="28">
        <v>7.0</v>
      </c>
      <c r="I45" s="17">
        <f t="shared" si="2"/>
        <v>2217.39</v>
      </c>
      <c r="J45" s="17">
        <v>2217.39</v>
      </c>
      <c r="K45" s="16"/>
      <c r="L45" s="17">
        <f t="shared" si="10"/>
        <v>0</v>
      </c>
      <c r="M45" s="17"/>
      <c r="N45" s="28"/>
      <c r="O45" s="17">
        <f t="shared" si="9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48">
        <v>0.0</v>
      </c>
      <c r="X45" s="39">
        <v>45340.0</v>
      </c>
      <c r="Y45" s="23"/>
    </row>
    <row r="46" ht="15.75" customHeight="1">
      <c r="A46" s="40" t="s">
        <v>81</v>
      </c>
      <c r="B46" s="41"/>
      <c r="C46" s="41"/>
      <c r="D46" s="41"/>
      <c r="E46" s="42"/>
      <c r="F46" s="43">
        <f>SUM(F32:F45)</f>
        <v>428.44</v>
      </c>
      <c r="G46" s="43">
        <f>SUM(G4:G41)</f>
        <v>428.44</v>
      </c>
      <c r="H46" s="42"/>
      <c r="I46" s="43">
        <f t="shared" ref="I46:J46" si="11">SUM(I4:I45)</f>
        <v>50999.97</v>
      </c>
      <c r="J46" s="43">
        <f t="shared" si="11"/>
        <v>47198.73</v>
      </c>
      <c r="K46" s="42"/>
      <c r="L46" s="43">
        <f>SUM(L4:L41)</f>
        <v>17725.58</v>
      </c>
      <c r="M46" s="43">
        <f>SUM(M3:M45)</f>
        <v>16217.02</v>
      </c>
      <c r="N46" s="42"/>
      <c r="O46" s="43">
        <f t="shared" ref="O46:P46" si="12">SUM(O4:O41)</f>
        <v>588.5</v>
      </c>
      <c r="P46" s="43">
        <f t="shared" si="12"/>
        <v>588.5</v>
      </c>
      <c r="Q46" s="42"/>
      <c r="R46" s="43">
        <f t="shared" ref="R46:S46" si="13">SUM(R4:R41)</f>
        <v>120.64</v>
      </c>
      <c r="S46" s="43">
        <f t="shared" si="13"/>
        <v>0</v>
      </c>
      <c r="T46" s="42"/>
      <c r="U46" s="43">
        <f t="shared" ref="U46:W46" si="14">SUM(U4:U41)</f>
        <v>0</v>
      </c>
      <c r="V46" s="43">
        <f t="shared" si="14"/>
        <v>0</v>
      </c>
      <c r="W46" s="43">
        <f t="shared" si="14"/>
        <v>53631.88</v>
      </c>
      <c r="X46" s="41"/>
      <c r="Y46" s="44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20</v>
      </c>
      <c r="B4" s="14" t="s">
        <v>21</v>
      </c>
      <c r="C4" s="30">
        <v>45342.0</v>
      </c>
      <c r="D4" s="15">
        <v>45345.0</v>
      </c>
      <c r="E4" s="16"/>
      <c r="F4" s="17">
        <f t="shared" ref="F4:F45" si="1">PRODUCT(E4)*214.22</f>
        <v>0</v>
      </c>
      <c r="G4" s="17"/>
      <c r="H4" s="16"/>
      <c r="I4" s="17">
        <f t="shared" ref="I4:I45" si="2">PRODUCT(H4)*316.77</f>
        <v>0</v>
      </c>
      <c r="J4" s="17"/>
      <c r="K4" s="16">
        <v>3.0</v>
      </c>
      <c r="L4" s="17">
        <f t="shared" ref="L4:L45" si="3">PRODUCT(K4)*188.57</f>
        <v>565.71</v>
      </c>
      <c r="M4" s="17"/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20">
        <v>8.0</v>
      </c>
      <c r="U4" s="17">
        <f t="shared" ref="U4:U45" si="6">PRODUCT(T4)*33.37</f>
        <v>266.96</v>
      </c>
      <c r="V4" s="17"/>
      <c r="W4" s="21">
        <f t="shared" ref="W4:W5" si="7">SUM(F4+I4+L4+O4+R4)</f>
        <v>565.71</v>
      </c>
      <c r="X4" s="26"/>
      <c r="Y4" s="23"/>
    </row>
    <row r="5">
      <c r="A5" s="14" t="s">
        <v>130</v>
      </c>
      <c r="B5" s="14" t="s">
        <v>131</v>
      </c>
      <c r="C5" s="30"/>
      <c r="D5" s="30"/>
      <c r="E5" s="16"/>
      <c r="F5" s="17">
        <f t="shared" si="1"/>
        <v>0</v>
      </c>
      <c r="G5" s="17"/>
      <c r="H5" s="16"/>
      <c r="I5" s="17">
        <f t="shared" si="2"/>
        <v>0</v>
      </c>
      <c r="J5" s="17"/>
      <c r="K5" s="16"/>
      <c r="L5" s="17">
        <f t="shared" si="3"/>
        <v>0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0</v>
      </c>
      <c r="X5" s="26"/>
      <c r="Y5" s="24"/>
    </row>
    <row r="6">
      <c r="A6" s="14" t="s">
        <v>82</v>
      </c>
      <c r="B6" s="14" t="s">
        <v>83</v>
      </c>
      <c r="C6" s="30">
        <v>45342.0</v>
      </c>
      <c r="D6" s="15">
        <v>45345.0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4.0</v>
      </c>
      <c r="L6" s="17">
        <f t="shared" si="3"/>
        <v>754.28</v>
      </c>
      <c r="M6" s="47">
        <v>754.28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>
        <v>12.0</v>
      </c>
      <c r="U6" s="17">
        <f t="shared" si="6"/>
        <v>400.44</v>
      </c>
      <c r="V6" s="17"/>
      <c r="W6" s="48">
        <v>0.0</v>
      </c>
      <c r="X6" s="50">
        <v>45347.0</v>
      </c>
      <c r="Y6" s="24"/>
    </row>
    <row r="7">
      <c r="A7" s="14" t="s">
        <v>22</v>
      </c>
      <c r="B7" s="14" t="s">
        <v>23</v>
      </c>
      <c r="C7" s="15">
        <v>45324.0</v>
      </c>
      <c r="D7" s="15">
        <v>45329.0</v>
      </c>
      <c r="E7" s="16"/>
      <c r="F7" s="17">
        <f t="shared" si="1"/>
        <v>0</v>
      </c>
      <c r="G7" s="17"/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>
        <v>6.0</v>
      </c>
      <c r="U7" s="17">
        <f t="shared" si="6"/>
        <v>200.22</v>
      </c>
      <c r="V7" s="17"/>
      <c r="W7" s="21">
        <f t="shared" ref="W7:W38" si="8">SUM(F7+I7+L7+O7+R7)</f>
        <v>0</v>
      </c>
      <c r="X7" s="26"/>
      <c r="Y7" s="24"/>
    </row>
    <row r="8">
      <c r="A8" s="14" t="s">
        <v>65</v>
      </c>
      <c r="B8" s="14" t="s">
        <v>140</v>
      </c>
      <c r="C8" s="30">
        <v>45344.0</v>
      </c>
      <c r="D8" s="15">
        <v>45345.0</v>
      </c>
      <c r="E8" s="16">
        <v>1.0</v>
      </c>
      <c r="F8" s="17">
        <f t="shared" si="1"/>
        <v>214.22</v>
      </c>
      <c r="G8" s="17">
        <v>214.22</v>
      </c>
      <c r="H8" s="16"/>
      <c r="I8" s="17">
        <f t="shared" si="2"/>
        <v>0</v>
      </c>
      <c r="J8" s="17"/>
      <c r="K8" s="16">
        <v>1.0</v>
      </c>
      <c r="L8" s="17">
        <f t="shared" si="3"/>
        <v>188.57</v>
      </c>
      <c r="M8" s="17">
        <v>188.57</v>
      </c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8"/>
        <v>402.79</v>
      </c>
      <c r="X8" s="22">
        <v>45347.0</v>
      </c>
      <c r="Y8" s="23"/>
    </row>
    <row r="9">
      <c r="A9" s="26" t="s">
        <v>30</v>
      </c>
      <c r="B9" s="26" t="s">
        <v>31</v>
      </c>
      <c r="C9" s="30">
        <v>45342.0</v>
      </c>
      <c r="D9" s="15">
        <v>45345.0</v>
      </c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16">
        <v>2.0</v>
      </c>
      <c r="O9" s="17">
        <f t="shared" si="4"/>
        <v>117.7</v>
      </c>
      <c r="P9" s="17">
        <v>117.7</v>
      </c>
      <c r="Q9" s="16">
        <v>4.0</v>
      </c>
      <c r="R9" s="17">
        <f t="shared" si="5"/>
        <v>120.64</v>
      </c>
      <c r="S9" s="17">
        <v>120.64</v>
      </c>
      <c r="T9" s="20"/>
      <c r="U9" s="17">
        <f t="shared" si="6"/>
        <v>0</v>
      </c>
      <c r="V9" s="17"/>
      <c r="W9" s="21">
        <f t="shared" si="8"/>
        <v>238.34</v>
      </c>
      <c r="X9" s="45">
        <v>45347.0</v>
      </c>
      <c r="Y9" s="23"/>
    </row>
    <row r="10">
      <c r="A10" s="26" t="s">
        <v>39</v>
      </c>
      <c r="B10" s="26" t="s">
        <v>40</v>
      </c>
      <c r="C10" s="30">
        <v>45342.0</v>
      </c>
      <c r="D10" s="15">
        <v>45345.0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>
        <v>4.0</v>
      </c>
      <c r="L10" s="17">
        <f t="shared" si="3"/>
        <v>754.28</v>
      </c>
      <c r="M10" s="17">
        <v>754.28</v>
      </c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21">
        <f t="shared" si="8"/>
        <v>754.28</v>
      </c>
      <c r="X10" s="22">
        <v>45347.0</v>
      </c>
      <c r="Y10" s="23"/>
    </row>
    <row r="11">
      <c r="A11" s="26" t="s">
        <v>95</v>
      </c>
      <c r="B11" s="26" t="s">
        <v>58</v>
      </c>
      <c r="C11" s="30">
        <v>45342.0</v>
      </c>
      <c r="D11" s="15">
        <v>45345.0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4.0</v>
      </c>
      <c r="L11" s="17">
        <f t="shared" si="3"/>
        <v>754.28</v>
      </c>
      <c r="M11" s="17">
        <v>754.25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si="8"/>
        <v>754.28</v>
      </c>
      <c r="X11" s="22">
        <v>45347.0</v>
      </c>
      <c r="Y11" s="23"/>
    </row>
    <row r="12">
      <c r="A12" s="26" t="s">
        <v>47</v>
      </c>
      <c r="B12" s="26" t="s">
        <v>84</v>
      </c>
      <c r="C12" s="30">
        <v>45342.0</v>
      </c>
      <c r="D12" s="15">
        <v>45345.0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>
        <v>4.0</v>
      </c>
      <c r="L12" s="17">
        <f t="shared" si="3"/>
        <v>754.28</v>
      </c>
      <c r="M12" s="17">
        <v>754.28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21">
        <f t="shared" si="8"/>
        <v>754.28</v>
      </c>
      <c r="X12" s="22">
        <v>45347.0</v>
      </c>
      <c r="Y12" s="46"/>
    </row>
    <row r="13">
      <c r="A13" s="26" t="s">
        <v>71</v>
      </c>
      <c r="B13" s="26" t="s">
        <v>96</v>
      </c>
      <c r="C13" s="30">
        <v>45342.0</v>
      </c>
      <c r="D13" s="15">
        <v>45345.0</v>
      </c>
      <c r="E13" s="16"/>
      <c r="F13" s="17">
        <f t="shared" si="1"/>
        <v>0</v>
      </c>
      <c r="G13" s="17"/>
      <c r="H13" s="16"/>
      <c r="I13" s="17">
        <f t="shared" si="2"/>
        <v>0</v>
      </c>
      <c r="J13" s="17"/>
      <c r="K13" s="16">
        <v>4.0</v>
      </c>
      <c r="L13" s="17">
        <f t="shared" si="3"/>
        <v>754.28</v>
      </c>
      <c r="M13" s="1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21">
        <f t="shared" si="8"/>
        <v>754.28</v>
      </c>
      <c r="X13" s="26"/>
      <c r="Y13" s="23"/>
    </row>
    <row r="14">
      <c r="A14" s="26" t="s">
        <v>73</v>
      </c>
      <c r="B14" s="26" t="s">
        <v>74</v>
      </c>
      <c r="C14" s="15"/>
      <c r="D14" s="15"/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si="8"/>
        <v>0</v>
      </c>
      <c r="X14" s="26"/>
      <c r="Y14" s="23"/>
    </row>
    <row r="15">
      <c r="A15" s="26" t="s">
        <v>97</v>
      </c>
      <c r="B15" s="26" t="s">
        <v>98</v>
      </c>
      <c r="C15" s="15"/>
      <c r="D15" s="15"/>
      <c r="E15" s="16"/>
      <c r="F15" s="17">
        <f t="shared" si="1"/>
        <v>0</v>
      </c>
      <c r="G15" s="17"/>
      <c r="H15" s="16"/>
      <c r="I15" s="17">
        <f t="shared" si="2"/>
        <v>0</v>
      </c>
      <c r="J15" s="17"/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8"/>
        <v>0</v>
      </c>
      <c r="X15" s="26"/>
      <c r="Y15" s="23"/>
    </row>
    <row r="16">
      <c r="A16" s="26" t="s">
        <v>99</v>
      </c>
      <c r="B16" s="26" t="s">
        <v>100</v>
      </c>
      <c r="C16" s="30">
        <v>45342.0</v>
      </c>
      <c r="D16" s="15">
        <v>45345.0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>
        <v>3.0</v>
      </c>
      <c r="L16" s="17">
        <f t="shared" si="3"/>
        <v>565.71</v>
      </c>
      <c r="M16" s="17">
        <v>565.71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21">
        <f t="shared" si="8"/>
        <v>565.71</v>
      </c>
      <c r="X16" s="22">
        <v>45347.0</v>
      </c>
      <c r="Y16" s="23"/>
    </row>
    <row r="17">
      <c r="A17" s="26" t="s">
        <v>88</v>
      </c>
      <c r="B17" s="26" t="s">
        <v>89</v>
      </c>
      <c r="C17" s="30">
        <v>45342.0</v>
      </c>
      <c r="D17" s="15">
        <v>45345.0</v>
      </c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16">
        <v>3.0</v>
      </c>
      <c r="L17" s="17">
        <f t="shared" si="3"/>
        <v>565.71</v>
      </c>
      <c r="M17" s="17">
        <v>565.71</v>
      </c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 t="shared" si="8"/>
        <v>565.71</v>
      </c>
      <c r="X17" s="22">
        <v>45347.0</v>
      </c>
      <c r="Y17" s="23"/>
    </row>
    <row r="18">
      <c r="A18" s="26" t="s">
        <v>47</v>
      </c>
      <c r="B18" s="26" t="s">
        <v>48</v>
      </c>
      <c r="C18" s="15">
        <v>45323.0</v>
      </c>
      <c r="D18" s="15">
        <v>45345.0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>
        <v>14.0</v>
      </c>
      <c r="L18" s="17">
        <f t="shared" si="3"/>
        <v>2639.98</v>
      </c>
      <c r="M18" s="17">
        <v>2639.98</v>
      </c>
      <c r="N18" s="16"/>
      <c r="O18" s="17">
        <f t="shared" ref="O18:O21" si="9">PRODUCT(N18)*188.57</f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21">
        <f t="shared" si="8"/>
        <v>2639.98</v>
      </c>
      <c r="X18" s="22">
        <v>45347.0</v>
      </c>
      <c r="Y18" s="23"/>
    </row>
    <row r="19">
      <c r="A19" s="26" t="s">
        <v>105</v>
      </c>
      <c r="B19" s="26" t="s">
        <v>106</v>
      </c>
      <c r="C19" s="30">
        <v>45342.0</v>
      </c>
      <c r="D19" s="15">
        <v>45345.0</v>
      </c>
      <c r="E19" s="16"/>
      <c r="F19" s="17">
        <f t="shared" si="1"/>
        <v>0</v>
      </c>
      <c r="G19" s="17"/>
      <c r="H19" s="16"/>
      <c r="I19" s="17">
        <f t="shared" si="2"/>
        <v>0</v>
      </c>
      <c r="J19" s="17"/>
      <c r="K19" s="16">
        <v>4.0</v>
      </c>
      <c r="L19" s="17">
        <f t="shared" si="3"/>
        <v>754.28</v>
      </c>
      <c r="M19" s="17">
        <v>754.28</v>
      </c>
      <c r="N19" s="16"/>
      <c r="O19" s="17">
        <f t="shared" si="9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21">
        <f t="shared" si="8"/>
        <v>754.28</v>
      </c>
      <c r="X19" s="22">
        <v>45347.0</v>
      </c>
      <c r="Y19" s="23"/>
    </row>
    <row r="20">
      <c r="A20" s="26" t="s">
        <v>107</v>
      </c>
      <c r="B20" s="26" t="s">
        <v>108</v>
      </c>
      <c r="C20" s="15"/>
      <c r="D20" s="15"/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16"/>
      <c r="L20" s="17">
        <f t="shared" si="3"/>
        <v>0</v>
      </c>
      <c r="M20" s="17"/>
      <c r="N20" s="16"/>
      <c r="O20" s="17">
        <f t="shared" si="9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si="8"/>
        <v>0</v>
      </c>
      <c r="X20" s="26"/>
      <c r="Y20" s="23"/>
    </row>
    <row r="21">
      <c r="A21" s="26" t="s">
        <v>109</v>
      </c>
      <c r="B21" s="26" t="s">
        <v>110</v>
      </c>
      <c r="C21" s="15">
        <v>45325.0</v>
      </c>
      <c r="D21" s="15">
        <v>45334.0</v>
      </c>
      <c r="E21" s="16"/>
      <c r="F21" s="17">
        <f t="shared" si="1"/>
        <v>0</v>
      </c>
      <c r="G21" s="17"/>
      <c r="H21" s="16">
        <v>10.0</v>
      </c>
      <c r="I21" s="17">
        <f t="shared" si="2"/>
        <v>3167.7</v>
      </c>
      <c r="J21" s="17">
        <v>3167.7</v>
      </c>
      <c r="K21" s="16">
        <v>3.0</v>
      </c>
      <c r="L21" s="17">
        <f t="shared" si="3"/>
        <v>565.71</v>
      </c>
      <c r="M21" s="17">
        <v>565.71</v>
      </c>
      <c r="N21" s="16"/>
      <c r="O21" s="17">
        <f t="shared" si="9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8"/>
        <v>3733.41</v>
      </c>
      <c r="X21" s="22">
        <v>45347.0</v>
      </c>
      <c r="Y21" s="23"/>
    </row>
    <row r="22">
      <c r="A22" s="26" t="s">
        <v>41</v>
      </c>
      <c r="B22" s="26" t="s">
        <v>42</v>
      </c>
      <c r="C22" s="30">
        <v>45342.0</v>
      </c>
      <c r="D22" s="15">
        <v>45345.0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4.0</v>
      </c>
      <c r="L22" s="17">
        <f t="shared" si="3"/>
        <v>754.28</v>
      </c>
      <c r="M22" s="17">
        <v>754.28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20">
        <v>12.0</v>
      </c>
      <c r="U22" s="17">
        <f t="shared" si="6"/>
        <v>400.44</v>
      </c>
      <c r="V22" s="17"/>
      <c r="W22" s="21">
        <f t="shared" si="8"/>
        <v>754.28</v>
      </c>
      <c r="X22" s="22">
        <v>45347.0</v>
      </c>
      <c r="Y22" s="23"/>
    </row>
    <row r="23">
      <c r="A23" s="26" t="s">
        <v>43</v>
      </c>
      <c r="B23" s="26" t="s">
        <v>44</v>
      </c>
      <c r="C23" s="30">
        <v>45342.0</v>
      </c>
      <c r="D23" s="15">
        <v>45345.0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/>
      <c r="L23" s="17">
        <f t="shared" si="3"/>
        <v>0</v>
      </c>
      <c r="M23" s="17"/>
      <c r="N23" s="16">
        <v>3.0</v>
      </c>
      <c r="O23" s="17">
        <f t="shared" ref="O23:O45" si="10">PRODUCT(N23)*58.85</f>
        <v>176.55</v>
      </c>
      <c r="P23" s="17">
        <v>176.55</v>
      </c>
      <c r="Q23" s="16">
        <v>4.0</v>
      </c>
      <c r="R23" s="17">
        <f t="shared" si="5"/>
        <v>120.64</v>
      </c>
      <c r="S23" s="17">
        <v>120.64</v>
      </c>
      <c r="T23" s="20"/>
      <c r="U23" s="17">
        <f t="shared" si="6"/>
        <v>0</v>
      </c>
      <c r="V23" s="17"/>
      <c r="W23" s="21">
        <f t="shared" si="8"/>
        <v>297.19</v>
      </c>
      <c r="X23" s="22">
        <v>45347.0</v>
      </c>
      <c r="Y23" s="23"/>
    </row>
    <row r="24">
      <c r="A24" s="26" t="s">
        <v>85</v>
      </c>
      <c r="B24" s="26" t="s">
        <v>86</v>
      </c>
      <c r="C24" s="30">
        <v>45342.0</v>
      </c>
      <c r="D24" s="15">
        <v>45345.0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3.0</v>
      </c>
      <c r="L24" s="17">
        <f t="shared" si="3"/>
        <v>565.71</v>
      </c>
      <c r="M24" s="17">
        <v>565.71</v>
      </c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21">
        <f t="shared" si="8"/>
        <v>565.71</v>
      </c>
      <c r="X24" s="22">
        <v>45347.0</v>
      </c>
      <c r="Y24" s="23"/>
    </row>
    <row r="25">
      <c r="A25" s="52" t="s">
        <v>49</v>
      </c>
      <c r="B25" s="53" t="s">
        <v>50</v>
      </c>
      <c r="C25" s="15">
        <v>45323.0</v>
      </c>
      <c r="D25" s="15">
        <v>45345.0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>
        <v>15.0</v>
      </c>
      <c r="L25" s="17">
        <f t="shared" si="3"/>
        <v>2828.55</v>
      </c>
      <c r="M25" s="17">
        <v>2828.55</v>
      </c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21">
        <f t="shared" si="8"/>
        <v>2828.55</v>
      </c>
      <c r="X25" s="22">
        <v>45347.0</v>
      </c>
      <c r="Y25" s="23"/>
    </row>
    <row r="26">
      <c r="A26" s="26" t="s">
        <v>65</v>
      </c>
      <c r="B26" s="26" t="s">
        <v>94</v>
      </c>
      <c r="C26" s="15">
        <v>45323.0</v>
      </c>
      <c r="D26" s="15">
        <v>45334.0</v>
      </c>
      <c r="E26" s="16"/>
      <c r="F26" s="17">
        <f t="shared" si="1"/>
        <v>0</v>
      </c>
      <c r="G26" s="17"/>
      <c r="H26" s="16"/>
      <c r="I26" s="17">
        <f t="shared" si="2"/>
        <v>0</v>
      </c>
      <c r="J26" s="17"/>
      <c r="K26" s="16"/>
      <c r="L26" s="17">
        <f t="shared" si="3"/>
        <v>0</v>
      </c>
      <c r="M26" s="17"/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20">
        <v>12.0</v>
      </c>
      <c r="U26" s="17">
        <f t="shared" si="6"/>
        <v>400.44</v>
      </c>
      <c r="V26" s="17"/>
      <c r="W26" s="21">
        <f t="shared" si="8"/>
        <v>0</v>
      </c>
      <c r="X26" s="26"/>
      <c r="Y26" s="23"/>
    </row>
    <row r="27" ht="15.75" customHeight="1">
      <c r="A27" s="26" t="s">
        <v>53</v>
      </c>
      <c r="B27" s="26" t="s">
        <v>54</v>
      </c>
      <c r="C27" s="15"/>
      <c r="D27" s="15"/>
      <c r="E27" s="16"/>
      <c r="F27" s="17">
        <f t="shared" si="1"/>
        <v>0</v>
      </c>
      <c r="G27" s="17"/>
      <c r="H27" s="16"/>
      <c r="I27" s="17">
        <f t="shared" si="2"/>
        <v>0</v>
      </c>
      <c r="J27" s="17"/>
      <c r="K27" s="16"/>
      <c r="L27" s="17">
        <f t="shared" si="3"/>
        <v>0</v>
      </c>
      <c r="M27" s="17"/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20"/>
      <c r="U27" s="17">
        <f t="shared" si="6"/>
        <v>0</v>
      </c>
      <c r="V27" s="17"/>
      <c r="W27" s="21">
        <f t="shared" si="8"/>
        <v>0</v>
      </c>
      <c r="X27" s="26"/>
      <c r="Y27" s="23"/>
    </row>
    <row r="28" ht="15.75" customHeight="1">
      <c r="A28" s="26" t="s">
        <v>57</v>
      </c>
      <c r="B28" s="26" t="s">
        <v>58</v>
      </c>
      <c r="C28" s="54">
        <v>45342.0</v>
      </c>
      <c r="D28" s="54">
        <v>45345.0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17"/>
      <c r="K28" s="16">
        <v>4.0</v>
      </c>
      <c r="L28" s="17">
        <f t="shared" si="3"/>
        <v>754.28</v>
      </c>
      <c r="M28" s="17">
        <v>754.28</v>
      </c>
      <c r="N28" s="16"/>
      <c r="O28" s="17">
        <f t="shared" si="10"/>
        <v>0</v>
      </c>
      <c r="P28" s="17"/>
      <c r="Q28" s="16"/>
      <c r="R28" s="17">
        <f t="shared" si="5"/>
        <v>0</v>
      </c>
      <c r="S28" s="17"/>
      <c r="T28" s="20"/>
      <c r="U28" s="17">
        <f t="shared" si="6"/>
        <v>0</v>
      </c>
      <c r="V28" s="17"/>
      <c r="W28" s="21">
        <f t="shared" si="8"/>
        <v>754.28</v>
      </c>
      <c r="X28" s="22">
        <v>45347.0</v>
      </c>
      <c r="Y28" s="23"/>
    </row>
    <row r="29" ht="15.75" customHeight="1">
      <c r="A29" s="26" t="s">
        <v>59</v>
      </c>
      <c r="B29" s="26" t="s">
        <v>60</v>
      </c>
      <c r="C29" s="15">
        <v>45342.0</v>
      </c>
      <c r="D29" s="15">
        <v>45343.0</v>
      </c>
      <c r="E29" s="16"/>
      <c r="F29" s="17">
        <f t="shared" si="1"/>
        <v>0</v>
      </c>
      <c r="G29" s="17"/>
      <c r="H29" s="16"/>
      <c r="I29" s="17">
        <f t="shared" si="2"/>
        <v>0</v>
      </c>
      <c r="J29" s="17"/>
      <c r="K29" s="16">
        <v>2.0</v>
      </c>
      <c r="L29" s="17">
        <f t="shared" si="3"/>
        <v>377.14</v>
      </c>
      <c r="M29" s="17">
        <v>377.14</v>
      </c>
      <c r="N29" s="16"/>
      <c r="O29" s="17">
        <f t="shared" si="10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21">
        <f t="shared" si="8"/>
        <v>377.14</v>
      </c>
      <c r="X29" s="22">
        <v>45347.0</v>
      </c>
      <c r="Y29" s="23"/>
    </row>
    <row r="30" ht="15.75" customHeight="1">
      <c r="A30" s="26" t="s">
        <v>127</v>
      </c>
      <c r="B30" s="26" t="s">
        <v>128</v>
      </c>
      <c r="C30" s="30">
        <v>45342.0</v>
      </c>
      <c r="D30" s="15">
        <v>45345.0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4.0</v>
      </c>
      <c r="L30" s="17">
        <f t="shared" si="3"/>
        <v>754.28</v>
      </c>
      <c r="M30" s="17">
        <v>754.28</v>
      </c>
      <c r="N30" s="28"/>
      <c r="O30" s="17">
        <f t="shared" si="10"/>
        <v>0</v>
      </c>
      <c r="P30" s="17"/>
      <c r="Q30" s="28"/>
      <c r="R30" s="17">
        <f t="shared" si="5"/>
        <v>0</v>
      </c>
      <c r="S30" s="17"/>
      <c r="T30" s="29"/>
      <c r="U30" s="17">
        <f t="shared" si="6"/>
        <v>0</v>
      </c>
      <c r="V30" s="17"/>
      <c r="W30" s="21">
        <f t="shared" si="8"/>
        <v>754.28</v>
      </c>
      <c r="X30" s="22">
        <v>45347.0</v>
      </c>
      <c r="Y30" s="23"/>
    </row>
    <row r="31" ht="15.75" customHeight="1">
      <c r="A31" s="26" t="s">
        <v>69</v>
      </c>
      <c r="B31" s="26" t="s">
        <v>129</v>
      </c>
      <c r="C31" s="30">
        <v>45342.0</v>
      </c>
      <c r="D31" s="15">
        <v>45345.0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16">
        <v>4.0</v>
      </c>
      <c r="L31" s="17">
        <f t="shared" si="3"/>
        <v>754.28</v>
      </c>
      <c r="M31" s="17">
        <v>754.28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17"/>
      <c r="W31" s="21">
        <f t="shared" si="8"/>
        <v>754.28</v>
      </c>
      <c r="X31" s="22">
        <v>45347.0</v>
      </c>
      <c r="Y31" s="23"/>
    </row>
    <row r="32" ht="15.75" customHeight="1">
      <c r="A32" s="26" t="s">
        <v>65</v>
      </c>
      <c r="B32" s="26" t="s">
        <v>21</v>
      </c>
      <c r="C32" s="30">
        <v>45342.0</v>
      </c>
      <c r="D32" s="15">
        <v>45345.0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4.0</v>
      </c>
      <c r="L32" s="17">
        <f t="shared" si="3"/>
        <v>754.28</v>
      </c>
      <c r="M32" s="17">
        <v>754.28</v>
      </c>
      <c r="N32" s="28"/>
      <c r="O32" s="17">
        <f t="shared" si="10"/>
        <v>0</v>
      </c>
      <c r="P32" s="17"/>
      <c r="Q32" s="28"/>
      <c r="R32" s="17">
        <f t="shared" si="5"/>
        <v>0</v>
      </c>
      <c r="S32" s="17"/>
      <c r="T32" s="20">
        <v>12.0</v>
      </c>
      <c r="U32" s="17">
        <f t="shared" si="6"/>
        <v>400.44</v>
      </c>
      <c r="V32" s="17"/>
      <c r="W32" s="21">
        <f t="shared" si="8"/>
        <v>754.28</v>
      </c>
      <c r="X32" s="22">
        <v>45347.0</v>
      </c>
      <c r="Y32" s="23"/>
    </row>
    <row r="33" ht="15.75" customHeight="1">
      <c r="A33" s="26" t="s">
        <v>67</v>
      </c>
      <c r="B33" s="26" t="s">
        <v>68</v>
      </c>
      <c r="C33" s="30">
        <v>45342.0</v>
      </c>
      <c r="D33" s="15">
        <v>45345.0</v>
      </c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>
        <v>4.0</v>
      </c>
      <c r="L33" s="17">
        <f t="shared" si="3"/>
        <v>754.28</v>
      </c>
      <c r="M33" s="17">
        <v>754.28</v>
      </c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20">
        <v>12.0</v>
      </c>
      <c r="U33" s="17">
        <f t="shared" si="6"/>
        <v>400.44</v>
      </c>
      <c r="V33" s="17"/>
      <c r="W33" s="21">
        <f t="shared" si="8"/>
        <v>754.28</v>
      </c>
      <c r="X33" s="22">
        <v>45347.0</v>
      </c>
      <c r="Y33" s="23"/>
    </row>
    <row r="34" ht="15.75" customHeight="1">
      <c r="A34" s="26" t="s">
        <v>69</v>
      </c>
      <c r="B34" s="26" t="s">
        <v>70</v>
      </c>
      <c r="C34" s="30">
        <v>45342.0</v>
      </c>
      <c r="D34" s="15">
        <v>45345.0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4.0</v>
      </c>
      <c r="L34" s="17">
        <f t="shared" si="3"/>
        <v>754.28</v>
      </c>
      <c r="M34" s="17">
        <v>754.28</v>
      </c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21">
        <f t="shared" si="8"/>
        <v>754.28</v>
      </c>
      <c r="X34" s="22">
        <v>45347.0</v>
      </c>
      <c r="Y34" s="23"/>
    </row>
    <row r="35" ht="15.75" customHeight="1">
      <c r="A35" s="26" t="s">
        <v>71</v>
      </c>
      <c r="B35" s="26" t="s">
        <v>72</v>
      </c>
      <c r="C35" s="30">
        <v>45342.0</v>
      </c>
      <c r="D35" s="15">
        <v>45345.0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3.0</v>
      </c>
      <c r="L35" s="17">
        <f t="shared" si="3"/>
        <v>565.71</v>
      </c>
      <c r="M35" s="17">
        <v>565.71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21">
        <f t="shared" si="8"/>
        <v>565.71</v>
      </c>
      <c r="X35" s="22">
        <v>45347.0</v>
      </c>
      <c r="Y35" s="23"/>
    </row>
    <row r="36" ht="15.75" customHeight="1">
      <c r="A36" s="26" t="s">
        <v>65</v>
      </c>
      <c r="B36" s="26" t="s">
        <v>66</v>
      </c>
      <c r="C36" s="30">
        <v>45327.0</v>
      </c>
      <c r="D36" s="15">
        <v>45328.0</v>
      </c>
      <c r="E36" s="28"/>
      <c r="F36" s="17">
        <f t="shared" si="1"/>
        <v>0</v>
      </c>
      <c r="G36" s="17"/>
      <c r="H36" s="28">
        <v>2.0</v>
      </c>
      <c r="I36" s="17">
        <f t="shared" si="2"/>
        <v>633.54</v>
      </c>
      <c r="J36" s="17">
        <v>633.45</v>
      </c>
      <c r="K36" s="16"/>
      <c r="L36" s="17">
        <f t="shared" si="3"/>
        <v>0</v>
      </c>
      <c r="M36" s="17"/>
      <c r="N36" s="28"/>
      <c r="O36" s="17">
        <f t="shared" si="10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21">
        <f t="shared" si="8"/>
        <v>633.54</v>
      </c>
      <c r="X36" s="22">
        <v>45347.0</v>
      </c>
      <c r="Y36" s="23"/>
    </row>
    <row r="37" ht="15.75" customHeight="1">
      <c r="A37" s="26" t="s">
        <v>121</v>
      </c>
      <c r="B37" s="26" t="s">
        <v>134</v>
      </c>
      <c r="C37" s="30"/>
      <c r="D37" s="30"/>
      <c r="E37" s="28"/>
      <c r="F37" s="17">
        <f t="shared" si="1"/>
        <v>0</v>
      </c>
      <c r="G37" s="17"/>
      <c r="H37" s="28"/>
      <c r="I37" s="17">
        <f t="shared" si="2"/>
        <v>0</v>
      </c>
      <c r="J37" s="17"/>
      <c r="K37" s="16"/>
      <c r="L37" s="17">
        <f t="shared" si="3"/>
        <v>0</v>
      </c>
      <c r="M37" s="17"/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29"/>
      <c r="U37" s="17">
        <f t="shared" si="6"/>
        <v>0</v>
      </c>
      <c r="V37" s="17"/>
      <c r="W37" s="21">
        <f t="shared" si="8"/>
        <v>0</v>
      </c>
      <c r="X37" s="26"/>
      <c r="Y37" s="23"/>
    </row>
    <row r="38" ht="15.75" customHeight="1">
      <c r="A38" s="26" t="s">
        <v>111</v>
      </c>
      <c r="B38" s="26" t="s">
        <v>112</v>
      </c>
      <c r="C38" s="30">
        <v>45342.0</v>
      </c>
      <c r="D38" s="15">
        <v>45345.0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4.0</v>
      </c>
      <c r="L38" s="17">
        <f t="shared" si="3"/>
        <v>754.28</v>
      </c>
      <c r="M38" s="17">
        <v>754.28</v>
      </c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21">
        <f t="shared" si="8"/>
        <v>754.28</v>
      </c>
      <c r="X38" s="22">
        <v>45347.0</v>
      </c>
      <c r="Y38" s="23"/>
    </row>
    <row r="39" ht="15.75" customHeight="1">
      <c r="A39" s="26" t="s">
        <v>79</v>
      </c>
      <c r="B39" s="26" t="s">
        <v>80</v>
      </c>
      <c r="C39" s="30">
        <v>45342.0</v>
      </c>
      <c r="D39" s="15">
        <v>45345.0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2.0</v>
      </c>
      <c r="L39" s="17">
        <f t="shared" si="3"/>
        <v>377.14</v>
      </c>
      <c r="M39" s="47">
        <v>377.14</v>
      </c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48">
        <v>0.0</v>
      </c>
      <c r="X39" s="50">
        <v>45354.0</v>
      </c>
      <c r="Y39" s="23"/>
    </row>
    <row r="40" ht="15.75" customHeight="1">
      <c r="A40" s="26" t="s">
        <v>135</v>
      </c>
      <c r="B40" s="26" t="s">
        <v>62</v>
      </c>
      <c r="C40" s="30">
        <v>45342.0</v>
      </c>
      <c r="D40" s="15">
        <v>45345.0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>
        <v>4.0</v>
      </c>
      <c r="L40" s="17">
        <f t="shared" si="3"/>
        <v>754.28</v>
      </c>
      <c r="M40" s="17">
        <v>754.28</v>
      </c>
      <c r="N40" s="28"/>
      <c r="O40" s="17">
        <f t="shared" si="10"/>
        <v>0</v>
      </c>
      <c r="P40" s="17"/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21">
        <f t="shared" ref="W40:W45" si="11">SUM(F40+I40+L40+O40+R40)</f>
        <v>754.28</v>
      </c>
      <c r="X40" s="22">
        <v>45347.0</v>
      </c>
      <c r="Y40" s="23"/>
      <c r="Z40" s="31"/>
    </row>
    <row r="41" ht="15.75" customHeight="1">
      <c r="A41" s="26" t="s">
        <v>136</v>
      </c>
      <c r="B41" s="26" t="s">
        <v>137</v>
      </c>
      <c r="C41" s="30">
        <v>45342.0</v>
      </c>
      <c r="D41" s="15">
        <v>45345.0</v>
      </c>
      <c r="E41" s="28"/>
      <c r="F41" s="17">
        <f t="shared" si="1"/>
        <v>0</v>
      </c>
      <c r="G41" s="17"/>
      <c r="H41" s="28"/>
      <c r="I41" s="17">
        <f t="shared" si="2"/>
        <v>0</v>
      </c>
      <c r="J41" s="17"/>
      <c r="K41" s="16">
        <v>1.0</v>
      </c>
      <c r="L41" s="17">
        <f t="shared" si="3"/>
        <v>188.57</v>
      </c>
      <c r="M41" s="17">
        <v>188.57</v>
      </c>
      <c r="N41" s="28"/>
      <c r="O41" s="17">
        <f t="shared" si="10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21">
        <f t="shared" si="11"/>
        <v>188.57</v>
      </c>
      <c r="X41" s="22">
        <v>45347.0</v>
      </c>
      <c r="Y41" s="23"/>
    </row>
    <row r="42" ht="15.75" customHeight="1">
      <c r="A42" s="26" t="s">
        <v>113</v>
      </c>
      <c r="B42" s="26" t="s">
        <v>114</v>
      </c>
      <c r="C42" s="30">
        <v>45327.0</v>
      </c>
      <c r="D42" s="30">
        <v>45342.0</v>
      </c>
      <c r="E42" s="28"/>
      <c r="F42" s="17">
        <f t="shared" si="1"/>
        <v>0</v>
      </c>
      <c r="G42" s="17"/>
      <c r="H42" s="28">
        <v>16.0</v>
      </c>
      <c r="I42" s="17">
        <f t="shared" si="2"/>
        <v>5068.32</v>
      </c>
      <c r="J42" s="17">
        <v>5068.32</v>
      </c>
      <c r="K42" s="16"/>
      <c r="L42" s="17">
        <f t="shared" si="3"/>
        <v>0</v>
      </c>
      <c r="M42" s="17"/>
      <c r="N42" s="28"/>
      <c r="O42" s="17">
        <f t="shared" si="10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 t="shared" si="11"/>
        <v>5068.32</v>
      </c>
      <c r="X42" s="22">
        <v>45347.0</v>
      </c>
      <c r="Y42" s="23"/>
    </row>
    <row r="43" ht="15.75" customHeight="1">
      <c r="A43" s="26" t="s">
        <v>132</v>
      </c>
      <c r="B43" s="26" t="s">
        <v>133</v>
      </c>
      <c r="C43" s="30">
        <v>45342.0</v>
      </c>
      <c r="D43" s="30">
        <v>45342.0</v>
      </c>
      <c r="E43" s="28"/>
      <c r="F43" s="17">
        <f t="shared" si="1"/>
        <v>0</v>
      </c>
      <c r="G43" s="17"/>
      <c r="H43" s="28"/>
      <c r="I43" s="17">
        <f t="shared" si="2"/>
        <v>0</v>
      </c>
      <c r="J43" s="17"/>
      <c r="K43" s="16">
        <v>1.0</v>
      </c>
      <c r="L43" s="17">
        <f t="shared" si="3"/>
        <v>188.57</v>
      </c>
      <c r="M43" s="17">
        <v>188.57</v>
      </c>
      <c r="N43" s="28"/>
      <c r="O43" s="17">
        <f t="shared" si="10"/>
        <v>0</v>
      </c>
      <c r="P43" s="17"/>
      <c r="Q43" s="28"/>
      <c r="R43" s="17">
        <f t="shared" si="5"/>
        <v>0</v>
      </c>
      <c r="S43" s="17"/>
      <c r="T43" s="29"/>
      <c r="U43" s="17">
        <f t="shared" si="6"/>
        <v>0</v>
      </c>
      <c r="V43" s="17"/>
      <c r="W43" s="21">
        <f t="shared" si="11"/>
        <v>188.57</v>
      </c>
      <c r="X43" s="22">
        <v>45340.0</v>
      </c>
      <c r="Y43" s="23"/>
    </row>
    <row r="44" ht="15.75" customHeight="1">
      <c r="A44" s="26" t="s">
        <v>141</v>
      </c>
      <c r="B44" s="26" t="s">
        <v>142</v>
      </c>
      <c r="C44" s="30">
        <v>45329.0</v>
      </c>
      <c r="D44" s="15">
        <v>45345.0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11.0</v>
      </c>
      <c r="L44" s="17">
        <f t="shared" si="3"/>
        <v>2074.27</v>
      </c>
      <c r="M44" s="17">
        <v>2074.27</v>
      </c>
      <c r="N44" s="28"/>
      <c r="O44" s="17">
        <f t="shared" si="10"/>
        <v>0</v>
      </c>
      <c r="P44" s="17"/>
      <c r="Q44" s="28"/>
      <c r="R44" s="17">
        <f t="shared" si="5"/>
        <v>0</v>
      </c>
      <c r="S44" s="17"/>
      <c r="T44" s="29"/>
      <c r="U44" s="17">
        <f t="shared" si="6"/>
        <v>0</v>
      </c>
      <c r="V44" s="17"/>
      <c r="W44" s="21">
        <f t="shared" si="11"/>
        <v>2074.27</v>
      </c>
      <c r="X44" s="22">
        <v>45347.0</v>
      </c>
      <c r="Y44" s="23"/>
    </row>
    <row r="45" ht="15.75" customHeight="1">
      <c r="A45" s="26" t="s">
        <v>117</v>
      </c>
      <c r="B45" s="26" t="s">
        <v>139</v>
      </c>
      <c r="C45" s="30"/>
      <c r="D45" s="15"/>
      <c r="E45" s="28"/>
      <c r="F45" s="17">
        <f t="shared" si="1"/>
        <v>0</v>
      </c>
      <c r="G45" s="17"/>
      <c r="H45" s="28"/>
      <c r="I45" s="17">
        <f t="shared" si="2"/>
        <v>0</v>
      </c>
      <c r="J45" s="17"/>
      <c r="K45" s="16"/>
      <c r="L45" s="17">
        <f t="shared" si="3"/>
        <v>0</v>
      </c>
      <c r="M45" s="17"/>
      <c r="N45" s="28"/>
      <c r="O45" s="17">
        <f t="shared" si="10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21">
        <f t="shared" si="11"/>
        <v>0</v>
      </c>
      <c r="X45" s="26"/>
      <c r="Y45" s="23"/>
    </row>
    <row r="46" ht="15.75" customHeight="1">
      <c r="A46" s="40" t="s">
        <v>81</v>
      </c>
      <c r="B46" s="41"/>
      <c r="C46" s="41"/>
      <c r="D46" s="41"/>
      <c r="E46" s="42"/>
      <c r="F46" s="43">
        <f>SUM(F32:F45)</f>
        <v>0</v>
      </c>
      <c r="G46" s="43">
        <f>SUM(G4:G41)</f>
        <v>214.22</v>
      </c>
      <c r="H46" s="42"/>
      <c r="I46" s="43">
        <f>SUM(I4:I45)</f>
        <v>8869.56</v>
      </c>
      <c r="J46" s="43">
        <v>8869.56</v>
      </c>
      <c r="K46" s="42"/>
      <c r="L46" s="43">
        <f t="shared" ref="L46:M46" si="12">SUM(L4:L41)</f>
        <v>21308.41</v>
      </c>
      <c r="M46" s="43">
        <f t="shared" si="12"/>
        <v>19988.39</v>
      </c>
      <c r="N46" s="42"/>
      <c r="O46" s="43">
        <f t="shared" ref="O46:P46" si="13">SUM(O4:O41)</f>
        <v>294.25</v>
      </c>
      <c r="P46" s="43">
        <f t="shared" si="13"/>
        <v>294.25</v>
      </c>
      <c r="Q46" s="42"/>
      <c r="R46" s="43">
        <f t="shared" ref="R46:S46" si="14">SUM(R4:R41)</f>
        <v>241.28</v>
      </c>
      <c r="S46" s="43">
        <f t="shared" si="14"/>
        <v>241.28</v>
      </c>
      <c r="T46" s="42"/>
      <c r="U46" s="43">
        <f t="shared" ref="U46:W46" si="15">SUM(U4:U41)</f>
        <v>2469.38</v>
      </c>
      <c r="V46" s="43">
        <f t="shared" si="15"/>
        <v>0</v>
      </c>
      <c r="W46" s="43">
        <f t="shared" si="15"/>
        <v>24727.98</v>
      </c>
      <c r="X46" s="41"/>
      <c r="Y46" s="44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20</v>
      </c>
      <c r="B4" s="14" t="s">
        <v>21</v>
      </c>
      <c r="C4" s="30">
        <v>45346.0</v>
      </c>
      <c r="D4" s="15">
        <v>45351.0</v>
      </c>
      <c r="E4" s="16"/>
      <c r="F4" s="17">
        <f t="shared" ref="F4:F45" si="1">PRODUCT(E4)*214.22</f>
        <v>0</v>
      </c>
      <c r="G4" s="17"/>
      <c r="H4" s="16"/>
      <c r="I4" s="17">
        <f t="shared" ref="I4:I45" si="2">PRODUCT(H4)*316.77</f>
        <v>0</v>
      </c>
      <c r="J4" s="17"/>
      <c r="K4" s="16">
        <v>4.0</v>
      </c>
      <c r="L4" s="17">
        <f t="shared" ref="L4:L18" si="3">PRODUCT(K4)*188.57</f>
        <v>754.28</v>
      </c>
      <c r="M4" s="47">
        <v>754.28</v>
      </c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20"/>
      <c r="U4" s="17">
        <f t="shared" ref="U4:U45" si="6">PRODUCT(T4)*33.37</f>
        <v>0</v>
      </c>
      <c r="V4" s="17"/>
      <c r="W4" s="21">
        <f>SUM(F4+I4+L4+O4+R4)</f>
        <v>754.28</v>
      </c>
      <c r="X4" s="55">
        <v>45375.0</v>
      </c>
      <c r="Y4" s="23"/>
    </row>
    <row r="5">
      <c r="A5" s="14" t="s">
        <v>143</v>
      </c>
      <c r="B5" s="14" t="s">
        <v>144</v>
      </c>
      <c r="C5" s="30">
        <v>45337.0</v>
      </c>
      <c r="D5" s="30">
        <v>45337.0</v>
      </c>
      <c r="E5" s="16">
        <v>1.0</v>
      </c>
      <c r="F5" s="17">
        <f t="shared" si="1"/>
        <v>214.22</v>
      </c>
      <c r="G5" s="47">
        <v>214.22</v>
      </c>
      <c r="H5" s="16"/>
      <c r="I5" s="17">
        <f t="shared" si="2"/>
        <v>0</v>
      </c>
      <c r="J5" s="17"/>
      <c r="K5" s="16"/>
      <c r="L5" s="17">
        <f t="shared" si="3"/>
        <v>0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48">
        <v>0.0</v>
      </c>
      <c r="X5" s="55">
        <v>45354.0</v>
      </c>
      <c r="Y5" s="24"/>
    </row>
    <row r="6">
      <c r="A6" s="14" t="s">
        <v>82</v>
      </c>
      <c r="B6" s="14" t="s">
        <v>83</v>
      </c>
      <c r="C6" s="30">
        <v>45348.0</v>
      </c>
      <c r="D6" s="15">
        <v>45350.0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>
        <v>3.0</v>
      </c>
      <c r="L6" s="17">
        <f t="shared" si="3"/>
        <v>565.71</v>
      </c>
      <c r="M6" s="47">
        <v>565.71</v>
      </c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48">
        <v>0.0</v>
      </c>
      <c r="X6" s="55">
        <v>45354.0</v>
      </c>
      <c r="Y6" s="24"/>
    </row>
    <row r="7">
      <c r="A7" s="14" t="s">
        <v>145</v>
      </c>
      <c r="B7" s="14" t="s">
        <v>146</v>
      </c>
      <c r="C7" s="15">
        <v>45342.0</v>
      </c>
      <c r="D7" s="15">
        <v>45342.0</v>
      </c>
      <c r="E7" s="16">
        <v>1.0</v>
      </c>
      <c r="F7" s="17">
        <f t="shared" si="1"/>
        <v>214.22</v>
      </c>
      <c r="G7" s="47">
        <v>214.22</v>
      </c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20"/>
      <c r="U7" s="17">
        <f t="shared" si="6"/>
        <v>0</v>
      </c>
      <c r="V7" s="17"/>
      <c r="W7" s="48">
        <v>0.0</v>
      </c>
      <c r="X7" s="55">
        <v>45354.0</v>
      </c>
      <c r="Y7" s="24"/>
    </row>
    <row r="8">
      <c r="A8" s="14" t="s">
        <v>65</v>
      </c>
      <c r="B8" s="14" t="s">
        <v>140</v>
      </c>
      <c r="C8" s="30">
        <v>45348.0</v>
      </c>
      <c r="D8" s="15">
        <v>45351.0</v>
      </c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16">
        <v>4.0</v>
      </c>
      <c r="L8" s="17">
        <f t="shared" si="3"/>
        <v>754.28</v>
      </c>
      <c r="M8" s="47">
        <v>754.28</v>
      </c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48">
        <v>0.0</v>
      </c>
      <c r="X8" s="55">
        <v>45354.0</v>
      </c>
      <c r="Y8" s="23"/>
    </row>
    <row r="9">
      <c r="A9" s="26" t="s">
        <v>30</v>
      </c>
      <c r="B9" s="26" t="s">
        <v>31</v>
      </c>
      <c r="C9" s="30">
        <v>45348.0</v>
      </c>
      <c r="D9" s="15">
        <v>45350.0</v>
      </c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16">
        <v>3.0</v>
      </c>
      <c r="O9" s="17">
        <f t="shared" si="4"/>
        <v>176.55</v>
      </c>
      <c r="P9" s="47">
        <v>176.55</v>
      </c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48">
        <v>0.0</v>
      </c>
      <c r="X9" s="55">
        <v>45354.0</v>
      </c>
      <c r="Y9" s="23"/>
    </row>
    <row r="10">
      <c r="A10" s="26" t="s">
        <v>39</v>
      </c>
      <c r="B10" s="26" t="s">
        <v>40</v>
      </c>
      <c r="C10" s="30">
        <v>45348.0</v>
      </c>
      <c r="D10" s="15" t="s">
        <v>147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>
        <v>2.0</v>
      </c>
      <c r="L10" s="17">
        <f t="shared" si="3"/>
        <v>377.14</v>
      </c>
      <c r="M10" s="47">
        <v>377.14</v>
      </c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17"/>
      <c r="W10" s="48">
        <v>0.0</v>
      </c>
      <c r="X10" s="55">
        <v>45354.0</v>
      </c>
      <c r="Y10" s="23"/>
    </row>
    <row r="11">
      <c r="A11" s="26" t="s">
        <v>95</v>
      </c>
      <c r="B11" s="26" t="s">
        <v>58</v>
      </c>
      <c r="C11" s="30">
        <v>45348.0</v>
      </c>
      <c r="D11" s="15">
        <v>45351.0</v>
      </c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>
        <v>4.0</v>
      </c>
      <c r="L11" s="17">
        <f t="shared" si="3"/>
        <v>754.28</v>
      </c>
      <c r="M11" s="4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48">
        <v>0.0</v>
      </c>
      <c r="X11" s="55">
        <v>45354.0</v>
      </c>
      <c r="Y11" s="23"/>
    </row>
    <row r="12">
      <c r="A12" s="26" t="s">
        <v>47</v>
      </c>
      <c r="B12" s="26" t="s">
        <v>84</v>
      </c>
      <c r="C12" s="30">
        <v>45348.0</v>
      </c>
      <c r="D12" s="15">
        <v>45350.0</v>
      </c>
      <c r="E12" s="16"/>
      <c r="F12" s="17">
        <f t="shared" si="1"/>
        <v>0</v>
      </c>
      <c r="G12" s="17"/>
      <c r="H12" s="16"/>
      <c r="I12" s="17">
        <f t="shared" si="2"/>
        <v>0</v>
      </c>
      <c r="J12" s="17"/>
      <c r="K12" s="16">
        <v>3.0</v>
      </c>
      <c r="L12" s="17">
        <f t="shared" si="3"/>
        <v>565.71</v>
      </c>
      <c r="M12" s="47">
        <v>565.71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20"/>
      <c r="U12" s="17">
        <f t="shared" si="6"/>
        <v>0</v>
      </c>
      <c r="V12" s="17"/>
      <c r="W12" s="48">
        <v>0.0</v>
      </c>
      <c r="X12" s="55">
        <v>45354.0</v>
      </c>
      <c r="Y12" s="46"/>
    </row>
    <row r="13">
      <c r="A13" s="26" t="s">
        <v>71</v>
      </c>
      <c r="B13" s="26" t="s">
        <v>96</v>
      </c>
      <c r="C13" s="30">
        <v>45332.0</v>
      </c>
      <c r="D13" s="15">
        <v>45341.0</v>
      </c>
      <c r="E13" s="16"/>
      <c r="F13" s="17">
        <f t="shared" si="1"/>
        <v>0</v>
      </c>
      <c r="G13" s="17"/>
      <c r="H13" s="16">
        <v>10.0</v>
      </c>
      <c r="I13" s="17">
        <f t="shared" si="2"/>
        <v>3167.7</v>
      </c>
      <c r="J13" s="47">
        <v>3167.7</v>
      </c>
      <c r="K13" s="16">
        <v>4.0</v>
      </c>
      <c r="L13" s="17">
        <f t="shared" si="3"/>
        <v>754.28</v>
      </c>
      <c r="M13" s="47">
        <v>754.28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48">
        <v>0.0</v>
      </c>
      <c r="X13" s="55">
        <v>45361.0</v>
      </c>
      <c r="Y13" s="23"/>
    </row>
    <row r="14">
      <c r="A14" s="26" t="s">
        <v>73</v>
      </c>
      <c r="B14" s="26" t="s">
        <v>74</v>
      </c>
      <c r="C14" s="15"/>
      <c r="D14" s="15"/>
      <c r="E14" s="16"/>
      <c r="F14" s="17">
        <f t="shared" si="1"/>
        <v>0</v>
      </c>
      <c r="G14" s="17"/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>SUM(F14+I14+L14+O14+R14)</f>
        <v>0</v>
      </c>
      <c r="X14" s="56"/>
      <c r="Y14" s="23"/>
    </row>
    <row r="15">
      <c r="A15" s="26" t="s">
        <v>97</v>
      </c>
      <c r="B15" s="26" t="s">
        <v>98</v>
      </c>
      <c r="C15" s="15">
        <v>45335.0</v>
      </c>
      <c r="D15" s="15">
        <v>45349.0</v>
      </c>
      <c r="E15" s="16"/>
      <c r="F15" s="17">
        <f t="shared" si="1"/>
        <v>0</v>
      </c>
      <c r="G15" s="17"/>
      <c r="H15" s="16">
        <v>15.0</v>
      </c>
      <c r="I15" s="17">
        <f t="shared" si="2"/>
        <v>4751.55</v>
      </c>
      <c r="J15" s="47">
        <v>4751.55</v>
      </c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48">
        <v>0.0</v>
      </c>
      <c r="X15" s="55">
        <v>45354.0</v>
      </c>
      <c r="Y15" s="23"/>
    </row>
    <row r="16">
      <c r="A16" s="26" t="s">
        <v>99</v>
      </c>
      <c r="B16" s="26" t="s">
        <v>100</v>
      </c>
      <c r="C16" s="30">
        <v>45333.0</v>
      </c>
      <c r="D16" s="15">
        <v>45342.0</v>
      </c>
      <c r="E16" s="16"/>
      <c r="F16" s="17">
        <f t="shared" si="1"/>
        <v>0</v>
      </c>
      <c r="G16" s="17"/>
      <c r="H16" s="16">
        <v>10.0</v>
      </c>
      <c r="I16" s="17">
        <f t="shared" si="2"/>
        <v>3167.7</v>
      </c>
      <c r="J16" s="47">
        <v>3167.7</v>
      </c>
      <c r="K16" s="16">
        <v>5.0</v>
      </c>
      <c r="L16" s="17">
        <f t="shared" si="3"/>
        <v>942.85</v>
      </c>
      <c r="M16" s="47">
        <v>942.85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48">
        <v>0.0</v>
      </c>
      <c r="X16" s="55">
        <v>45354.0</v>
      </c>
      <c r="Y16" s="23"/>
    </row>
    <row r="17">
      <c r="A17" s="26" t="s">
        <v>88</v>
      </c>
      <c r="B17" s="26" t="s">
        <v>89</v>
      </c>
      <c r="C17" s="30"/>
      <c r="D17" s="15"/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16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>SUM(F17+I17+L17+O17+R17)</f>
        <v>0</v>
      </c>
      <c r="X17" s="56"/>
      <c r="Y17" s="23"/>
    </row>
    <row r="18">
      <c r="A18" s="26" t="s">
        <v>47</v>
      </c>
      <c r="B18" s="26" t="s">
        <v>48</v>
      </c>
      <c r="C18" s="15">
        <v>45346.0</v>
      </c>
      <c r="D18" s="15">
        <v>45351.0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57">
        <v>5.0</v>
      </c>
      <c r="L18" s="17">
        <f t="shared" si="3"/>
        <v>942.85</v>
      </c>
      <c r="M18" s="47">
        <v>942.85</v>
      </c>
      <c r="N18" s="16"/>
      <c r="O18" s="17">
        <f t="shared" ref="O18:O21" si="7">PRODUCT(N18)*188.57</f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48">
        <v>0.0</v>
      </c>
      <c r="X18" s="55">
        <v>45354.0</v>
      </c>
      <c r="Y18" s="23"/>
    </row>
    <row r="19">
      <c r="A19" s="26" t="s">
        <v>105</v>
      </c>
      <c r="B19" s="26" t="s">
        <v>106</v>
      </c>
      <c r="C19" s="30">
        <v>45332.0</v>
      </c>
      <c r="D19" s="15">
        <v>45341.0</v>
      </c>
      <c r="E19" s="16"/>
      <c r="F19" s="17">
        <f t="shared" si="1"/>
        <v>0</v>
      </c>
      <c r="G19" s="17"/>
      <c r="H19" s="16">
        <v>10.0</v>
      </c>
      <c r="I19" s="17">
        <f t="shared" si="2"/>
        <v>3167.7</v>
      </c>
      <c r="J19" s="47">
        <v>3167.7</v>
      </c>
      <c r="K19" s="16">
        <v>4.0</v>
      </c>
      <c r="L19" s="47">
        <v>754.28</v>
      </c>
      <c r="M19" s="47">
        <v>754.28</v>
      </c>
      <c r="N19" s="16"/>
      <c r="O19" s="17">
        <f t="shared" si="7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48">
        <v>0.0</v>
      </c>
      <c r="X19" s="55">
        <v>45354.0</v>
      </c>
      <c r="Y19" s="23"/>
    </row>
    <row r="20">
      <c r="A20" s="26" t="s">
        <v>107</v>
      </c>
      <c r="B20" s="26" t="s">
        <v>108</v>
      </c>
      <c r="C20" s="15"/>
      <c r="D20" s="15"/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16"/>
      <c r="L20" s="17">
        <f t="shared" ref="L20:L45" si="8">PRODUCT(K20)*188.57</f>
        <v>0</v>
      </c>
      <c r="M20" s="17"/>
      <c r="N20" s="16"/>
      <c r="O20" s="17">
        <f t="shared" si="7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21">
        <f t="shared" ref="W20:W21" si="9">SUM(F20+I20+L20+O20+R20)</f>
        <v>0</v>
      </c>
      <c r="X20" s="56"/>
      <c r="Y20" s="23"/>
    </row>
    <row r="21">
      <c r="A21" s="26" t="s">
        <v>109</v>
      </c>
      <c r="B21" s="26" t="s">
        <v>110</v>
      </c>
      <c r="C21" s="15"/>
      <c r="D21" s="15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8"/>
        <v>0</v>
      </c>
      <c r="M21" s="17"/>
      <c r="N21" s="16"/>
      <c r="O21" s="17">
        <f t="shared" si="7"/>
        <v>0</v>
      </c>
      <c r="P21" s="17"/>
      <c r="Q21" s="16"/>
      <c r="R21" s="17">
        <f t="shared" si="5"/>
        <v>0</v>
      </c>
      <c r="S21" s="17"/>
      <c r="T21" s="20"/>
      <c r="U21" s="17">
        <f t="shared" si="6"/>
        <v>0</v>
      </c>
      <c r="V21" s="17"/>
      <c r="W21" s="21">
        <f t="shared" si="9"/>
        <v>0</v>
      </c>
      <c r="X21" s="56"/>
      <c r="Y21" s="23"/>
    </row>
    <row r="22">
      <c r="A22" s="26" t="s">
        <v>41</v>
      </c>
      <c r="B22" s="26" t="s">
        <v>42</v>
      </c>
      <c r="C22" s="30">
        <v>45348.0</v>
      </c>
      <c r="D22" s="15">
        <v>45350.0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3.0</v>
      </c>
      <c r="L22" s="17">
        <f t="shared" si="8"/>
        <v>565.71</v>
      </c>
      <c r="M22" s="47">
        <v>565.71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48">
        <v>0.0</v>
      </c>
      <c r="X22" s="55">
        <v>45354.0</v>
      </c>
      <c r="Y22" s="23"/>
    </row>
    <row r="23">
      <c r="A23" s="26" t="s">
        <v>43</v>
      </c>
      <c r="B23" s="26" t="s">
        <v>44</v>
      </c>
      <c r="C23" s="30">
        <v>45348.0</v>
      </c>
      <c r="D23" s="15">
        <v>45349.0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/>
      <c r="L23" s="17">
        <f t="shared" si="8"/>
        <v>0</v>
      </c>
      <c r="M23" s="17"/>
      <c r="N23" s="16">
        <v>2.0</v>
      </c>
      <c r="O23" s="17">
        <f t="shared" ref="O23:O45" si="10">PRODUCT(N23)*58.85</f>
        <v>117.7</v>
      </c>
      <c r="P23" s="47">
        <v>117.7</v>
      </c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48">
        <v>0.0</v>
      </c>
      <c r="X23" s="55">
        <v>45354.0</v>
      </c>
      <c r="Y23" s="23"/>
    </row>
    <row r="24">
      <c r="A24" s="26" t="s">
        <v>85</v>
      </c>
      <c r="B24" s="26" t="s">
        <v>86</v>
      </c>
      <c r="C24" s="30">
        <v>45346.0</v>
      </c>
      <c r="D24" s="15">
        <v>45350.0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4.0</v>
      </c>
      <c r="L24" s="17">
        <f t="shared" si="8"/>
        <v>754.28</v>
      </c>
      <c r="M24" s="47">
        <v>754.28</v>
      </c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48">
        <v>0.0</v>
      </c>
      <c r="X24" s="55">
        <v>45354.0</v>
      </c>
      <c r="Y24" s="23"/>
    </row>
    <row r="25">
      <c r="A25" s="52" t="s">
        <v>49</v>
      </c>
      <c r="B25" s="53" t="s">
        <v>50</v>
      </c>
      <c r="C25" s="15">
        <v>45348.0</v>
      </c>
      <c r="D25" s="15">
        <v>45351.0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>
        <v>4.0</v>
      </c>
      <c r="L25" s="17">
        <f t="shared" si="8"/>
        <v>754.28</v>
      </c>
      <c r="M25" s="47">
        <v>754.28</v>
      </c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17"/>
      <c r="W25" s="48">
        <v>0.0</v>
      </c>
      <c r="X25" s="55">
        <v>45354.0</v>
      </c>
      <c r="Y25" s="23"/>
    </row>
    <row r="26">
      <c r="A26" s="26" t="s">
        <v>65</v>
      </c>
      <c r="B26" s="26" t="s">
        <v>94</v>
      </c>
      <c r="C26" s="15"/>
      <c r="D26" s="15"/>
      <c r="E26" s="16"/>
      <c r="F26" s="17">
        <f t="shared" si="1"/>
        <v>0</v>
      </c>
      <c r="G26" s="17"/>
      <c r="H26" s="16"/>
      <c r="I26" s="17">
        <f t="shared" si="2"/>
        <v>0</v>
      </c>
      <c r="J26" s="17"/>
      <c r="K26" s="16"/>
      <c r="L26" s="17">
        <f t="shared" si="8"/>
        <v>0</v>
      </c>
      <c r="M26" s="17"/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>SUM(F26+I26+L26+O26+R26)</f>
        <v>0</v>
      </c>
      <c r="X26" s="56"/>
      <c r="Y26" s="23"/>
    </row>
    <row r="27" ht="15.75" customHeight="1">
      <c r="A27" s="26" t="s">
        <v>53</v>
      </c>
      <c r="B27" s="26" t="s">
        <v>54</v>
      </c>
      <c r="C27" s="15">
        <v>45337.0</v>
      </c>
      <c r="D27" s="15">
        <v>45337.0</v>
      </c>
      <c r="E27" s="16">
        <v>1.0</v>
      </c>
      <c r="F27" s="17">
        <f t="shared" si="1"/>
        <v>214.22</v>
      </c>
      <c r="G27" s="47">
        <v>214.22</v>
      </c>
      <c r="H27" s="16"/>
      <c r="I27" s="17">
        <f t="shared" si="2"/>
        <v>0</v>
      </c>
      <c r="J27" s="17"/>
      <c r="K27" s="16"/>
      <c r="L27" s="17">
        <f t="shared" si="8"/>
        <v>0</v>
      </c>
      <c r="M27" s="17"/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20"/>
      <c r="U27" s="17">
        <f t="shared" si="6"/>
        <v>0</v>
      </c>
      <c r="V27" s="17"/>
      <c r="W27" s="48">
        <v>0.0</v>
      </c>
      <c r="X27" s="55">
        <v>45354.0</v>
      </c>
      <c r="Y27" s="23"/>
    </row>
    <row r="28" ht="15.75" customHeight="1">
      <c r="A28" s="58" t="s">
        <v>115</v>
      </c>
      <c r="B28" s="58" t="s">
        <v>116</v>
      </c>
      <c r="C28" s="59">
        <v>45348.0</v>
      </c>
      <c r="D28" s="59">
        <v>45351.0</v>
      </c>
      <c r="E28" s="16"/>
      <c r="F28" s="17">
        <f t="shared" si="1"/>
        <v>0</v>
      </c>
      <c r="G28" s="17"/>
      <c r="H28" s="57"/>
      <c r="I28" s="17">
        <f t="shared" si="2"/>
        <v>0</v>
      </c>
      <c r="J28" s="17"/>
      <c r="K28" s="57">
        <v>4.0</v>
      </c>
      <c r="L28" s="17">
        <f t="shared" si="8"/>
        <v>754.28</v>
      </c>
      <c r="M28" s="47">
        <v>754.28</v>
      </c>
      <c r="N28" s="16"/>
      <c r="O28" s="17">
        <f t="shared" si="10"/>
        <v>0</v>
      </c>
      <c r="P28" s="17"/>
      <c r="Q28" s="16"/>
      <c r="R28" s="17">
        <f t="shared" si="5"/>
        <v>0</v>
      </c>
      <c r="S28" s="17"/>
      <c r="T28" s="20"/>
      <c r="U28" s="17">
        <f t="shared" si="6"/>
        <v>0</v>
      </c>
      <c r="V28" s="17"/>
      <c r="W28" s="48">
        <v>0.0</v>
      </c>
      <c r="X28" s="55">
        <v>45354.0</v>
      </c>
      <c r="Y28" s="23"/>
    </row>
    <row r="29" ht="15.75" customHeight="1">
      <c r="A29" s="26" t="s">
        <v>148</v>
      </c>
      <c r="B29" s="26" t="s">
        <v>149</v>
      </c>
      <c r="C29" s="15">
        <v>45338.0</v>
      </c>
      <c r="D29" s="15">
        <v>45338.0</v>
      </c>
      <c r="E29" s="16">
        <v>1.0</v>
      </c>
      <c r="F29" s="17">
        <f t="shared" si="1"/>
        <v>214.22</v>
      </c>
      <c r="G29" s="47">
        <v>214.22</v>
      </c>
      <c r="H29" s="16"/>
      <c r="I29" s="17">
        <f t="shared" si="2"/>
        <v>0</v>
      </c>
      <c r="J29" s="17"/>
      <c r="K29" s="16"/>
      <c r="L29" s="17">
        <f t="shared" si="8"/>
        <v>0</v>
      </c>
      <c r="M29" s="17"/>
      <c r="N29" s="16"/>
      <c r="O29" s="17">
        <f t="shared" si="10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48">
        <v>0.0</v>
      </c>
      <c r="X29" s="55">
        <v>45354.0</v>
      </c>
      <c r="Y29" s="23"/>
    </row>
    <row r="30" ht="15.75" customHeight="1">
      <c r="A30" s="26" t="s">
        <v>127</v>
      </c>
      <c r="B30" s="26" t="s">
        <v>128</v>
      </c>
      <c r="C30" s="30">
        <v>45348.0</v>
      </c>
      <c r="D30" s="15">
        <v>45350.0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4.0</v>
      </c>
      <c r="L30" s="17">
        <f t="shared" si="8"/>
        <v>754.28</v>
      </c>
      <c r="M30" s="47">
        <v>754.28</v>
      </c>
      <c r="N30" s="28"/>
      <c r="O30" s="17">
        <f t="shared" si="10"/>
        <v>0</v>
      </c>
      <c r="P30" s="17"/>
      <c r="Q30" s="28"/>
      <c r="R30" s="17">
        <f t="shared" si="5"/>
        <v>0</v>
      </c>
      <c r="S30" s="17"/>
      <c r="T30" s="29"/>
      <c r="U30" s="17">
        <f t="shared" si="6"/>
        <v>0</v>
      </c>
      <c r="V30" s="17"/>
      <c r="W30" s="48">
        <v>0.0</v>
      </c>
      <c r="X30" s="55">
        <v>45354.0</v>
      </c>
      <c r="Y30" s="23"/>
    </row>
    <row r="31" ht="15.75" customHeight="1">
      <c r="A31" s="26" t="s">
        <v>69</v>
      </c>
      <c r="B31" s="26" t="s">
        <v>129</v>
      </c>
      <c r="C31" s="30">
        <v>45348.0</v>
      </c>
      <c r="D31" s="15">
        <v>45351.0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16">
        <v>4.0</v>
      </c>
      <c r="L31" s="17">
        <f t="shared" si="8"/>
        <v>754.28</v>
      </c>
      <c r="M31" s="47">
        <v>754.28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17"/>
      <c r="W31" s="48">
        <v>0.0</v>
      </c>
      <c r="X31" s="55">
        <v>45354.0</v>
      </c>
      <c r="Y31" s="23"/>
    </row>
    <row r="32" ht="15.75" customHeight="1">
      <c r="A32" s="26" t="s">
        <v>65</v>
      </c>
      <c r="B32" s="26" t="s">
        <v>21</v>
      </c>
      <c r="C32" s="30">
        <v>45348.0</v>
      </c>
      <c r="D32" s="15">
        <v>45351.0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4.0</v>
      </c>
      <c r="L32" s="17">
        <f t="shared" si="8"/>
        <v>754.28</v>
      </c>
      <c r="M32" s="47">
        <v>754.28</v>
      </c>
      <c r="N32" s="28"/>
      <c r="O32" s="17">
        <f t="shared" si="10"/>
        <v>0</v>
      </c>
      <c r="P32" s="17"/>
      <c r="Q32" s="28"/>
      <c r="R32" s="17">
        <f t="shared" si="5"/>
        <v>0</v>
      </c>
      <c r="S32" s="17"/>
      <c r="T32" s="20"/>
      <c r="U32" s="17">
        <f t="shared" si="6"/>
        <v>0</v>
      </c>
      <c r="V32" s="17"/>
      <c r="W32" s="48">
        <v>0.0</v>
      </c>
      <c r="X32" s="55">
        <v>45354.0</v>
      </c>
      <c r="Y32" s="23"/>
    </row>
    <row r="33" ht="15.75" customHeight="1">
      <c r="A33" s="26" t="s">
        <v>67</v>
      </c>
      <c r="B33" s="26" t="s">
        <v>68</v>
      </c>
      <c r="C33" s="30">
        <v>45348.0</v>
      </c>
      <c r="D33" s="15">
        <v>45350.0</v>
      </c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>
        <v>3.0</v>
      </c>
      <c r="L33" s="17">
        <f t="shared" si="8"/>
        <v>565.71</v>
      </c>
      <c r="M33" s="47">
        <v>565.71</v>
      </c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20"/>
      <c r="U33" s="17">
        <f t="shared" si="6"/>
        <v>0</v>
      </c>
      <c r="V33" s="17"/>
      <c r="W33" s="48">
        <v>0.0</v>
      </c>
      <c r="X33" s="55">
        <v>45354.0</v>
      </c>
      <c r="Y33" s="23"/>
    </row>
    <row r="34" ht="15.75" customHeight="1">
      <c r="A34" s="26" t="s">
        <v>69</v>
      </c>
      <c r="B34" s="26" t="s">
        <v>70</v>
      </c>
      <c r="C34" s="30">
        <v>45349.0</v>
      </c>
      <c r="D34" s="15">
        <v>45349.0</v>
      </c>
      <c r="E34" s="28"/>
      <c r="F34" s="17">
        <f t="shared" si="1"/>
        <v>0</v>
      </c>
      <c r="G34" s="17"/>
      <c r="H34" s="28"/>
      <c r="I34" s="17">
        <f t="shared" si="2"/>
        <v>0</v>
      </c>
      <c r="J34" s="17"/>
      <c r="K34" s="16">
        <v>1.0</v>
      </c>
      <c r="L34" s="17">
        <f t="shared" si="8"/>
        <v>188.57</v>
      </c>
      <c r="M34" s="47">
        <v>188.57</v>
      </c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48">
        <v>0.0</v>
      </c>
      <c r="X34" s="55">
        <v>45354.0</v>
      </c>
      <c r="Y34" s="23"/>
    </row>
    <row r="35" ht="15.75" customHeight="1">
      <c r="A35" s="26" t="s">
        <v>71</v>
      </c>
      <c r="B35" s="26" t="s">
        <v>72</v>
      </c>
      <c r="C35" s="30">
        <v>45346.0</v>
      </c>
      <c r="D35" s="15">
        <v>45350.0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17"/>
      <c r="K35" s="16">
        <v>4.0</v>
      </c>
      <c r="L35" s="17">
        <f t="shared" si="8"/>
        <v>754.28</v>
      </c>
      <c r="M35" s="47">
        <v>754.28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48">
        <v>0.0</v>
      </c>
      <c r="X35" s="55">
        <v>45354.0</v>
      </c>
      <c r="Y35" s="23"/>
    </row>
    <row r="36" ht="15.75" customHeight="1">
      <c r="A36" s="26" t="s">
        <v>115</v>
      </c>
      <c r="B36" s="26" t="s">
        <v>150</v>
      </c>
      <c r="C36" s="30">
        <v>45337.0</v>
      </c>
      <c r="D36" s="15">
        <v>45337.0</v>
      </c>
      <c r="E36" s="28">
        <v>1.0</v>
      </c>
      <c r="F36" s="17">
        <f t="shared" si="1"/>
        <v>214.22</v>
      </c>
      <c r="G36" s="47">
        <v>214.22</v>
      </c>
      <c r="H36" s="28"/>
      <c r="I36" s="17">
        <f t="shared" si="2"/>
        <v>0</v>
      </c>
      <c r="J36" s="17"/>
      <c r="K36" s="16"/>
      <c r="L36" s="17">
        <f t="shared" si="8"/>
        <v>0</v>
      </c>
      <c r="M36" s="17"/>
      <c r="N36" s="28"/>
      <c r="O36" s="17">
        <f t="shared" si="10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48">
        <v>0.0</v>
      </c>
      <c r="X36" s="55">
        <v>45354.0</v>
      </c>
      <c r="Y36" s="23"/>
    </row>
    <row r="37" ht="15.75" customHeight="1">
      <c r="A37" s="26" t="s">
        <v>121</v>
      </c>
      <c r="B37" s="26" t="s">
        <v>134</v>
      </c>
      <c r="C37" s="30">
        <v>45328.0</v>
      </c>
      <c r="D37" s="30">
        <v>45347.0</v>
      </c>
      <c r="E37" s="28"/>
      <c r="F37" s="17">
        <f t="shared" si="1"/>
        <v>0</v>
      </c>
      <c r="G37" s="17"/>
      <c r="H37" s="60">
        <v>19.0</v>
      </c>
      <c r="I37" s="17">
        <f t="shared" si="2"/>
        <v>6018.63</v>
      </c>
      <c r="J37" s="47">
        <v>6018.63</v>
      </c>
      <c r="K37" s="57">
        <v>4.0</v>
      </c>
      <c r="L37" s="17">
        <f t="shared" si="8"/>
        <v>754.28</v>
      </c>
      <c r="M37" s="47">
        <v>754.28</v>
      </c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29"/>
      <c r="U37" s="17">
        <f t="shared" si="6"/>
        <v>0</v>
      </c>
      <c r="V37" s="17"/>
      <c r="W37" s="48">
        <v>0.0</v>
      </c>
      <c r="X37" s="55">
        <v>45354.0</v>
      </c>
      <c r="Y37" s="23"/>
    </row>
    <row r="38" ht="15.75" customHeight="1">
      <c r="A38" s="26" t="s">
        <v>111</v>
      </c>
      <c r="B38" s="26" t="s">
        <v>112</v>
      </c>
      <c r="C38" s="30">
        <v>45348.0</v>
      </c>
      <c r="D38" s="15">
        <v>45351.0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4.0</v>
      </c>
      <c r="L38" s="17">
        <f t="shared" si="8"/>
        <v>754.28</v>
      </c>
      <c r="M38" s="47">
        <v>754.28</v>
      </c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48">
        <v>0.0</v>
      </c>
      <c r="X38" s="55">
        <v>45354.0</v>
      </c>
      <c r="Y38" s="23"/>
    </row>
    <row r="39" ht="15.75" customHeight="1">
      <c r="A39" s="26" t="s">
        <v>79</v>
      </c>
      <c r="B39" s="26" t="s">
        <v>80</v>
      </c>
      <c r="C39" s="30">
        <v>45349.0</v>
      </c>
      <c r="D39" s="15">
        <v>45350.0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2.0</v>
      </c>
      <c r="L39" s="17">
        <f t="shared" si="8"/>
        <v>377.14</v>
      </c>
      <c r="M39" s="47">
        <v>377.14</v>
      </c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48">
        <v>0.0</v>
      </c>
      <c r="X39" s="55">
        <v>45354.0</v>
      </c>
      <c r="Y39" s="23"/>
    </row>
    <row r="40" ht="15.75" customHeight="1">
      <c r="A40" s="26" t="s">
        <v>135</v>
      </c>
      <c r="B40" s="26" t="s">
        <v>62</v>
      </c>
      <c r="C40" s="30">
        <v>45348.0</v>
      </c>
      <c r="D40" s="15">
        <v>45350.0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8"/>
        <v>0</v>
      </c>
      <c r="M40" s="17"/>
      <c r="N40" s="28">
        <v>3.0</v>
      </c>
      <c r="O40" s="17">
        <f t="shared" si="10"/>
        <v>176.55</v>
      </c>
      <c r="P40" s="47">
        <v>176.55</v>
      </c>
      <c r="Q40" s="28"/>
      <c r="R40" s="17">
        <f t="shared" si="5"/>
        <v>0</v>
      </c>
      <c r="S40" s="17"/>
      <c r="T40" s="29"/>
      <c r="U40" s="17">
        <f t="shared" si="6"/>
        <v>0</v>
      </c>
      <c r="V40" s="17"/>
      <c r="W40" s="48">
        <v>0.0</v>
      </c>
      <c r="X40" s="55">
        <v>45354.0</v>
      </c>
      <c r="Y40" s="23"/>
      <c r="Z40" s="31"/>
    </row>
    <row r="41" ht="15.75" customHeight="1">
      <c r="A41" s="26" t="s">
        <v>136</v>
      </c>
      <c r="B41" s="26" t="s">
        <v>137</v>
      </c>
      <c r="C41" s="30">
        <v>45349.0</v>
      </c>
      <c r="D41" s="15">
        <v>45350.0</v>
      </c>
      <c r="E41" s="28"/>
      <c r="F41" s="17">
        <f t="shared" si="1"/>
        <v>0</v>
      </c>
      <c r="G41" s="17"/>
      <c r="H41" s="28"/>
      <c r="I41" s="17">
        <f t="shared" si="2"/>
        <v>0</v>
      </c>
      <c r="J41" s="17"/>
      <c r="K41" s="16">
        <v>2.0</v>
      </c>
      <c r="L41" s="17">
        <f t="shared" si="8"/>
        <v>377.14</v>
      </c>
      <c r="M41" s="47">
        <v>377.14</v>
      </c>
      <c r="N41" s="28"/>
      <c r="O41" s="17">
        <f t="shared" si="10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48">
        <v>0.0</v>
      </c>
      <c r="X41" s="55">
        <v>45354.0</v>
      </c>
      <c r="Y41" s="23"/>
    </row>
    <row r="42" ht="15.75" customHeight="1">
      <c r="A42" s="26" t="s">
        <v>113</v>
      </c>
      <c r="B42" s="26" t="s">
        <v>114</v>
      </c>
      <c r="C42" s="30">
        <v>45343.0</v>
      </c>
      <c r="D42" s="30">
        <v>45344.0</v>
      </c>
      <c r="E42" s="28">
        <v>1.0</v>
      </c>
      <c r="F42" s="17">
        <f t="shared" si="1"/>
        <v>214.22</v>
      </c>
      <c r="G42" s="17"/>
      <c r="H42" s="28">
        <v>2.0</v>
      </c>
      <c r="I42" s="17">
        <f t="shared" si="2"/>
        <v>633.54</v>
      </c>
      <c r="J42" s="47">
        <v>633.54</v>
      </c>
      <c r="K42" s="16"/>
      <c r="L42" s="17">
        <f t="shared" si="8"/>
        <v>0</v>
      </c>
      <c r="M42" s="17"/>
      <c r="N42" s="28"/>
      <c r="O42" s="17">
        <f t="shared" si="10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>
        <f t="shared" ref="W42:W43" si="11">SUM(F42+I42+L42+O42+R42)</f>
        <v>847.76</v>
      </c>
      <c r="X42" s="56"/>
      <c r="Y42" s="23"/>
    </row>
    <row r="43" ht="15.75" customHeight="1">
      <c r="A43" s="26" t="s">
        <v>151</v>
      </c>
      <c r="B43" s="26" t="s">
        <v>152</v>
      </c>
      <c r="C43" s="30">
        <v>45348.0</v>
      </c>
      <c r="D43" s="30">
        <v>45350.0</v>
      </c>
      <c r="E43" s="28">
        <v>1.0</v>
      </c>
      <c r="F43" s="17">
        <f t="shared" si="1"/>
        <v>214.22</v>
      </c>
      <c r="G43" s="17"/>
      <c r="H43" s="28"/>
      <c r="I43" s="17">
        <f t="shared" si="2"/>
        <v>0</v>
      </c>
      <c r="J43" s="17"/>
      <c r="K43" s="16">
        <v>3.0</v>
      </c>
      <c r="L43" s="17">
        <f t="shared" si="8"/>
        <v>565.71</v>
      </c>
      <c r="M43" s="17"/>
      <c r="N43" s="28"/>
      <c r="O43" s="17">
        <f t="shared" si="10"/>
        <v>0</v>
      </c>
      <c r="P43" s="17"/>
      <c r="Q43" s="28"/>
      <c r="R43" s="17">
        <f t="shared" si="5"/>
        <v>0</v>
      </c>
      <c r="S43" s="17"/>
      <c r="T43" s="29"/>
      <c r="U43" s="17">
        <f t="shared" si="6"/>
        <v>0</v>
      </c>
      <c r="V43" s="17"/>
      <c r="W43" s="21">
        <f t="shared" si="11"/>
        <v>779.93</v>
      </c>
      <c r="X43" s="55">
        <v>45354.0</v>
      </c>
      <c r="Y43" s="23"/>
    </row>
    <row r="44" ht="15.75" customHeight="1">
      <c r="A44" s="26" t="s">
        <v>141</v>
      </c>
      <c r="B44" s="26" t="s">
        <v>142</v>
      </c>
      <c r="C44" s="30">
        <v>45349.0</v>
      </c>
      <c r="D44" s="15">
        <v>45351.0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2.0</v>
      </c>
      <c r="L44" s="17">
        <f t="shared" si="8"/>
        <v>377.14</v>
      </c>
      <c r="M44" s="47">
        <v>377.14</v>
      </c>
      <c r="N44" s="28"/>
      <c r="O44" s="17">
        <f t="shared" si="10"/>
        <v>0</v>
      </c>
      <c r="P44" s="17"/>
      <c r="Q44" s="28"/>
      <c r="R44" s="17">
        <f t="shared" si="5"/>
        <v>0</v>
      </c>
      <c r="S44" s="17"/>
      <c r="T44" s="29"/>
      <c r="U44" s="17">
        <f t="shared" si="6"/>
        <v>0</v>
      </c>
      <c r="V44" s="17"/>
      <c r="W44" s="48">
        <v>0.0</v>
      </c>
      <c r="X44" s="55">
        <v>45354.0</v>
      </c>
      <c r="Y44" s="23"/>
    </row>
    <row r="45" ht="15.75" customHeight="1">
      <c r="A45" s="26" t="s">
        <v>117</v>
      </c>
      <c r="B45" s="26" t="s">
        <v>139</v>
      </c>
      <c r="C45" s="30">
        <v>45348.0</v>
      </c>
      <c r="D45" s="15">
        <v>45350.0</v>
      </c>
      <c r="E45" s="28"/>
      <c r="F45" s="17">
        <f t="shared" si="1"/>
        <v>0</v>
      </c>
      <c r="G45" s="17"/>
      <c r="H45" s="28"/>
      <c r="I45" s="17">
        <f t="shared" si="2"/>
        <v>0</v>
      </c>
      <c r="J45" s="17"/>
      <c r="K45" s="16">
        <v>3.0</v>
      </c>
      <c r="L45" s="17">
        <f t="shared" si="8"/>
        <v>565.71</v>
      </c>
      <c r="M45" s="47">
        <v>565.71</v>
      </c>
      <c r="N45" s="28"/>
      <c r="O45" s="17">
        <f t="shared" si="10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48">
        <v>0.0</v>
      </c>
      <c r="X45" s="55">
        <v>45354.0</v>
      </c>
      <c r="Y45" s="23"/>
    </row>
    <row r="46" ht="15.75" customHeight="1">
      <c r="A46" s="40" t="s">
        <v>81</v>
      </c>
      <c r="B46" s="41"/>
      <c r="C46" s="41"/>
      <c r="D46" s="41"/>
      <c r="E46" s="42"/>
      <c r="F46" s="43">
        <f>SUM(F4:F45)</f>
        <v>1499.54</v>
      </c>
      <c r="G46" s="43">
        <f>SUM(G4:G41)</f>
        <v>1071.1</v>
      </c>
      <c r="H46" s="42"/>
      <c r="I46" s="43">
        <f t="shared" ref="I46:J46" si="12">SUM(I4:I45)</f>
        <v>20906.82</v>
      </c>
      <c r="J46" s="43">
        <f t="shared" si="12"/>
        <v>20906.82</v>
      </c>
      <c r="K46" s="42"/>
      <c r="L46" s="43">
        <f t="shared" ref="L46:M46" si="13">SUM(L4:L45)</f>
        <v>17537.01</v>
      </c>
      <c r="M46" s="43">
        <f t="shared" si="13"/>
        <v>16971.3</v>
      </c>
      <c r="N46" s="42"/>
      <c r="O46" s="43">
        <f t="shared" ref="O46:P46" si="14">SUM(O4:O41)</f>
        <v>470.8</v>
      </c>
      <c r="P46" s="43">
        <f t="shared" si="14"/>
        <v>470.8</v>
      </c>
      <c r="Q46" s="42"/>
      <c r="R46" s="43">
        <f t="shared" ref="R46:S46" si="15">SUM(R4:R41)</f>
        <v>0</v>
      </c>
      <c r="S46" s="43">
        <f t="shared" si="15"/>
        <v>0</v>
      </c>
      <c r="T46" s="42"/>
      <c r="U46" s="43">
        <f t="shared" ref="U46:W46" si="16">SUM(U4:U41)</f>
        <v>0</v>
      </c>
      <c r="V46" s="43">
        <f t="shared" si="16"/>
        <v>0</v>
      </c>
      <c r="W46" s="43">
        <f t="shared" si="16"/>
        <v>754.28</v>
      </c>
      <c r="X46" s="41"/>
      <c r="Y46" s="44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153</v>
      </c>
      <c r="B4" s="14" t="s">
        <v>154</v>
      </c>
      <c r="C4" s="30">
        <v>45355.0</v>
      </c>
      <c r="D4" s="30">
        <v>45355.0</v>
      </c>
      <c r="E4" s="16">
        <v>1.0</v>
      </c>
      <c r="F4" s="17">
        <f t="shared" ref="F4:F45" si="1">PRODUCT(E4)*214.22</f>
        <v>214.22</v>
      </c>
      <c r="G4" s="47">
        <v>214.22</v>
      </c>
      <c r="H4" s="16"/>
      <c r="I4" s="17">
        <f t="shared" ref="I4:I45" si="2">PRODUCT(H4)*316.77</f>
        <v>0</v>
      </c>
      <c r="J4" s="17"/>
      <c r="K4" s="16"/>
      <c r="L4" s="17">
        <f t="shared" ref="L4:L27" si="3">PRODUCT(K4)*188.57</f>
        <v>0</v>
      </c>
      <c r="M4" s="17"/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20"/>
      <c r="U4" s="17">
        <f t="shared" ref="U4:U45" si="6">PRODUCT(T4)*33.37</f>
        <v>0</v>
      </c>
      <c r="V4" s="17"/>
      <c r="W4" s="21">
        <f t="shared" ref="W4:W9" si="7">SUM(F4+I4+L4+O4+R4)</f>
        <v>214.22</v>
      </c>
      <c r="X4" s="26"/>
      <c r="Y4" s="23"/>
    </row>
    <row r="5">
      <c r="A5" s="14" t="s">
        <v>143</v>
      </c>
      <c r="B5" s="14" t="s">
        <v>144</v>
      </c>
      <c r="C5" s="30">
        <v>45338.0</v>
      </c>
      <c r="D5" s="30">
        <v>45354.0</v>
      </c>
      <c r="E5" s="16"/>
      <c r="F5" s="17">
        <f t="shared" si="1"/>
        <v>0</v>
      </c>
      <c r="G5" s="17"/>
      <c r="H5" s="16">
        <v>16.0</v>
      </c>
      <c r="I5" s="17">
        <f t="shared" si="2"/>
        <v>5068.32</v>
      </c>
      <c r="J5" s="47">
        <v>5068.32</v>
      </c>
      <c r="K5" s="16"/>
      <c r="L5" s="17">
        <f t="shared" si="3"/>
        <v>0</v>
      </c>
      <c r="M5" s="17"/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5068.32</v>
      </c>
      <c r="X5" s="26"/>
      <c r="Y5" s="24"/>
    </row>
    <row r="6">
      <c r="A6" s="14" t="s">
        <v>82</v>
      </c>
      <c r="B6" s="14" t="s">
        <v>83</v>
      </c>
      <c r="C6" s="30">
        <v>45329.0</v>
      </c>
      <c r="D6" s="15">
        <v>45351.0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>
        <v>23.0</v>
      </c>
      <c r="U6" s="17">
        <f t="shared" si="6"/>
        <v>767.51</v>
      </c>
      <c r="V6" s="17"/>
      <c r="W6" s="21">
        <f t="shared" si="7"/>
        <v>0</v>
      </c>
      <c r="X6" s="26"/>
      <c r="Y6" s="24"/>
    </row>
    <row r="7">
      <c r="A7" s="61" t="s">
        <v>55</v>
      </c>
      <c r="B7" s="61" t="s">
        <v>56</v>
      </c>
      <c r="C7" s="62">
        <v>45303.0</v>
      </c>
      <c r="D7" s="62">
        <v>45320.0</v>
      </c>
      <c r="E7" s="16"/>
      <c r="F7" s="17">
        <f t="shared" si="1"/>
        <v>0</v>
      </c>
      <c r="G7" s="17"/>
      <c r="H7" s="16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63">
        <v>18.0</v>
      </c>
      <c r="U7" s="17">
        <f t="shared" si="6"/>
        <v>600.66</v>
      </c>
      <c r="V7" s="17"/>
      <c r="W7" s="21">
        <f t="shared" si="7"/>
        <v>0</v>
      </c>
      <c r="X7" s="26"/>
      <c r="Y7" s="24"/>
    </row>
    <row r="8">
      <c r="A8" s="14" t="s">
        <v>20</v>
      </c>
      <c r="B8" s="14" t="s">
        <v>21</v>
      </c>
      <c r="C8" s="30">
        <v>45355.0</v>
      </c>
      <c r="D8" s="15">
        <v>45357.0</v>
      </c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16">
        <v>3.0</v>
      </c>
      <c r="L8" s="17">
        <f t="shared" si="3"/>
        <v>565.71</v>
      </c>
      <c r="M8" s="47">
        <v>565.71</v>
      </c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 t="shared" si="7"/>
        <v>565.71</v>
      </c>
      <c r="X8" s="49">
        <v>45375.0</v>
      </c>
      <c r="Y8" s="23"/>
    </row>
    <row r="9">
      <c r="A9" s="26" t="s">
        <v>30</v>
      </c>
      <c r="B9" s="26" t="s">
        <v>31</v>
      </c>
      <c r="C9" s="30">
        <v>45355.0</v>
      </c>
      <c r="D9" s="15">
        <v>45357.0</v>
      </c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N9" s="16">
        <v>2.0</v>
      </c>
      <c r="O9" s="17">
        <f t="shared" si="4"/>
        <v>117.7</v>
      </c>
      <c r="P9" s="47">
        <v>117.7</v>
      </c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21">
        <f t="shared" si="7"/>
        <v>117.7</v>
      </c>
      <c r="X9" s="45"/>
      <c r="Y9" s="23"/>
    </row>
    <row r="10">
      <c r="A10" s="26" t="s">
        <v>39</v>
      </c>
      <c r="B10" s="26" t="s">
        <v>40</v>
      </c>
      <c r="C10" s="30">
        <v>45355.0</v>
      </c>
      <c r="D10" s="15">
        <v>45357.0</v>
      </c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>
        <v>3.0</v>
      </c>
      <c r="L10" s="17">
        <f t="shared" si="3"/>
        <v>565.71</v>
      </c>
      <c r="M10" s="47">
        <v>565.71</v>
      </c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50"/>
      <c r="W10" s="48">
        <v>0.0</v>
      </c>
      <c r="X10" s="50">
        <v>45361.0</v>
      </c>
      <c r="Y10" s="23"/>
    </row>
    <row r="11">
      <c r="A11" s="26" t="s">
        <v>95</v>
      </c>
      <c r="B11" s="26" t="s">
        <v>58</v>
      </c>
      <c r="C11" s="30"/>
      <c r="D11" s="15"/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ref="W11:W12" si="8">SUM(F11+I11+L11+O11+R11)</f>
        <v>0</v>
      </c>
      <c r="X11" s="22"/>
      <c r="Y11" s="23"/>
    </row>
    <row r="12">
      <c r="A12" s="26" t="s">
        <v>155</v>
      </c>
      <c r="B12" s="26" t="s">
        <v>66</v>
      </c>
      <c r="C12" s="30">
        <v>45331.0</v>
      </c>
      <c r="D12" s="15">
        <v>45346.0</v>
      </c>
      <c r="E12" s="16"/>
      <c r="F12" s="17">
        <f t="shared" si="1"/>
        <v>0</v>
      </c>
      <c r="G12" s="17"/>
      <c r="H12" s="16">
        <v>16.0</v>
      </c>
      <c r="I12" s="17">
        <f t="shared" si="2"/>
        <v>5068.32</v>
      </c>
      <c r="J12" s="47">
        <v>5068.32</v>
      </c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63">
        <v>15.0</v>
      </c>
      <c r="U12" s="17">
        <f t="shared" si="6"/>
        <v>500.55</v>
      </c>
      <c r="V12" s="17"/>
      <c r="W12" s="21">
        <f t="shared" si="8"/>
        <v>5068.32</v>
      </c>
      <c r="X12" s="22"/>
      <c r="Y12" s="46"/>
    </row>
    <row r="13">
      <c r="A13" s="26" t="s">
        <v>71</v>
      </c>
      <c r="B13" s="26" t="s">
        <v>96</v>
      </c>
      <c r="C13" s="30">
        <v>45332.0</v>
      </c>
      <c r="D13" s="15">
        <v>45341.0</v>
      </c>
      <c r="E13" s="16"/>
      <c r="F13" s="17">
        <f t="shared" si="1"/>
        <v>0</v>
      </c>
      <c r="G13" s="17"/>
      <c r="H13" s="57">
        <v>0.0</v>
      </c>
      <c r="I13" s="17">
        <f t="shared" si="2"/>
        <v>0</v>
      </c>
      <c r="J13" s="17"/>
      <c r="K13" s="16">
        <v>3.0</v>
      </c>
      <c r="L13" s="17">
        <f t="shared" si="3"/>
        <v>565.71</v>
      </c>
      <c r="M13" s="47">
        <v>565.71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48">
        <v>0.0</v>
      </c>
      <c r="X13" s="50">
        <v>45361.0</v>
      </c>
      <c r="Y13" s="23"/>
    </row>
    <row r="14">
      <c r="A14" s="26" t="s">
        <v>156</v>
      </c>
      <c r="B14" s="26" t="s">
        <v>157</v>
      </c>
      <c r="C14" s="15">
        <v>45351.0</v>
      </c>
      <c r="D14" s="15">
        <v>45351.0</v>
      </c>
      <c r="E14" s="16">
        <v>1.0</v>
      </c>
      <c r="F14" s="17">
        <f t="shared" si="1"/>
        <v>214.22</v>
      </c>
      <c r="G14" s="47">
        <v>214.22</v>
      </c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 t="shared" ref="W14:W15" si="9">SUM(F14+I14+L14+O14+R14)</f>
        <v>214.22</v>
      </c>
      <c r="X14" s="26"/>
      <c r="Y14" s="23"/>
    </row>
    <row r="15">
      <c r="A15" s="26" t="s">
        <v>97</v>
      </c>
      <c r="B15" s="26" t="s">
        <v>98</v>
      </c>
      <c r="C15" s="15">
        <v>45350.0</v>
      </c>
      <c r="D15" s="15">
        <v>45354.0</v>
      </c>
      <c r="E15" s="16"/>
      <c r="F15" s="17">
        <f t="shared" si="1"/>
        <v>0</v>
      </c>
      <c r="G15" s="17"/>
      <c r="H15" s="16">
        <v>5.0</v>
      </c>
      <c r="I15" s="17">
        <f t="shared" si="2"/>
        <v>1583.85</v>
      </c>
      <c r="J15" s="47">
        <v>1583.85</v>
      </c>
      <c r="K15" s="16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21">
        <f t="shared" si="9"/>
        <v>1583.85</v>
      </c>
      <c r="X15" s="26"/>
      <c r="Y15" s="23"/>
    </row>
    <row r="16">
      <c r="A16" s="26" t="s">
        <v>99</v>
      </c>
      <c r="B16" s="26" t="s">
        <v>100</v>
      </c>
      <c r="C16" s="30">
        <v>45355.0</v>
      </c>
      <c r="D16" s="15">
        <v>45357.0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16">
        <v>3.0</v>
      </c>
      <c r="L16" s="17">
        <f t="shared" si="3"/>
        <v>565.71</v>
      </c>
      <c r="M16" s="47">
        <v>565.71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48">
        <v>0.0</v>
      </c>
      <c r="X16" s="50">
        <v>45361.0</v>
      </c>
      <c r="Y16" s="23"/>
    </row>
    <row r="17">
      <c r="A17" s="26" t="s">
        <v>158</v>
      </c>
      <c r="B17" s="26" t="s">
        <v>159</v>
      </c>
      <c r="C17" s="30"/>
      <c r="D17" s="15"/>
      <c r="E17" s="16">
        <v>1.0</v>
      </c>
      <c r="F17" s="17">
        <f t="shared" si="1"/>
        <v>214.22</v>
      </c>
      <c r="G17" s="17"/>
      <c r="H17" s="16"/>
      <c r="I17" s="17">
        <f t="shared" si="2"/>
        <v>0</v>
      </c>
      <c r="J17" s="17"/>
      <c r="K17" s="16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>SUM(F17+I17+L17+O17+R17)</f>
        <v>214.22</v>
      </c>
      <c r="X17" s="22"/>
      <c r="Y17" s="23"/>
    </row>
    <row r="18">
      <c r="A18" s="26" t="s">
        <v>47</v>
      </c>
      <c r="B18" s="26" t="s">
        <v>48</v>
      </c>
      <c r="C18" s="30">
        <v>45355.0</v>
      </c>
      <c r="D18" s="15">
        <v>45357.0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16">
        <v>2.0</v>
      </c>
      <c r="L18" s="17">
        <f t="shared" si="3"/>
        <v>377.14</v>
      </c>
      <c r="M18" s="47">
        <v>377.14</v>
      </c>
      <c r="N18" s="16"/>
      <c r="O18" s="17">
        <f t="shared" ref="O18:O21" si="10">PRODUCT(N18)*188.57</f>
        <v>0</v>
      </c>
      <c r="P18" s="17"/>
      <c r="Q18" s="16"/>
      <c r="R18" s="17">
        <f t="shared" si="5"/>
        <v>0</v>
      </c>
      <c r="S18" s="17"/>
      <c r="T18" s="20">
        <v>22.0</v>
      </c>
      <c r="U18" s="17">
        <f t="shared" si="6"/>
        <v>734.14</v>
      </c>
      <c r="V18" s="17"/>
      <c r="W18" s="48">
        <v>0.0</v>
      </c>
      <c r="X18" s="50">
        <v>45361.0</v>
      </c>
      <c r="Y18" s="23"/>
    </row>
    <row r="19">
      <c r="A19" s="26" t="s">
        <v>105</v>
      </c>
      <c r="B19" s="26" t="s">
        <v>106</v>
      </c>
      <c r="C19" s="30">
        <v>45355.0</v>
      </c>
      <c r="D19" s="15">
        <v>45357.0</v>
      </c>
      <c r="E19" s="16"/>
      <c r="F19" s="17">
        <f t="shared" si="1"/>
        <v>0</v>
      </c>
      <c r="G19" s="17"/>
      <c r="H19" s="16"/>
      <c r="I19" s="17">
        <f t="shared" si="2"/>
        <v>0</v>
      </c>
      <c r="J19" s="17"/>
      <c r="K19" s="57">
        <v>1.0</v>
      </c>
      <c r="L19" s="17">
        <f t="shared" si="3"/>
        <v>188.57</v>
      </c>
      <c r="M19" s="47">
        <v>188.57</v>
      </c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48">
        <v>0.0</v>
      </c>
      <c r="X19" s="50">
        <v>45361.0</v>
      </c>
      <c r="Y19" s="23"/>
    </row>
    <row r="20">
      <c r="A20" s="26" t="s">
        <v>65</v>
      </c>
      <c r="B20" s="26" t="s">
        <v>160</v>
      </c>
      <c r="C20" s="30">
        <v>45355.0</v>
      </c>
      <c r="D20" s="15">
        <v>45357.0</v>
      </c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16">
        <v>3.0</v>
      </c>
      <c r="L20" s="17">
        <f t="shared" si="3"/>
        <v>565.71</v>
      </c>
      <c r="M20" s="47">
        <v>565.71</v>
      </c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48">
        <v>0.0</v>
      </c>
      <c r="X20" s="50">
        <v>45361.0</v>
      </c>
      <c r="Y20" s="23"/>
    </row>
    <row r="21">
      <c r="A21" s="58" t="s">
        <v>73</v>
      </c>
      <c r="B21" s="58" t="s">
        <v>74</v>
      </c>
      <c r="C21" s="62">
        <v>45315.0</v>
      </c>
      <c r="D21" s="62">
        <v>45328.0</v>
      </c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10"/>
        <v>0</v>
      </c>
      <c r="P21" s="17"/>
      <c r="Q21" s="16"/>
      <c r="R21" s="17">
        <f t="shared" si="5"/>
        <v>0</v>
      </c>
      <c r="S21" s="17"/>
      <c r="T21" s="63">
        <v>14.0</v>
      </c>
      <c r="U21" s="17">
        <f t="shared" si="6"/>
        <v>467.18</v>
      </c>
      <c r="V21" s="17"/>
      <c r="W21" s="21">
        <f>SUM(F21+I21+L21+O21+R21)</f>
        <v>0</v>
      </c>
      <c r="X21" s="22"/>
      <c r="Y21" s="23"/>
    </row>
    <row r="22">
      <c r="A22" s="26" t="s">
        <v>41</v>
      </c>
      <c r="B22" s="26" t="s">
        <v>42</v>
      </c>
      <c r="C22" s="30">
        <v>45355.0</v>
      </c>
      <c r="D22" s="15">
        <v>45357.0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16">
        <v>3.0</v>
      </c>
      <c r="L22" s="17">
        <f t="shared" si="3"/>
        <v>565.71</v>
      </c>
      <c r="M22" s="47">
        <v>565.71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20">
        <v>7.0</v>
      </c>
      <c r="U22" s="17">
        <f t="shared" si="6"/>
        <v>233.59</v>
      </c>
      <c r="V22" s="17"/>
      <c r="W22" s="48">
        <v>0.0</v>
      </c>
      <c r="X22" s="50">
        <v>45361.0</v>
      </c>
      <c r="Y22" s="23"/>
    </row>
    <row r="23">
      <c r="A23" s="26" t="s">
        <v>43</v>
      </c>
      <c r="B23" s="26" t="s">
        <v>44</v>
      </c>
      <c r="C23" s="30">
        <v>45355.0</v>
      </c>
      <c r="D23" s="15">
        <v>45358.0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16"/>
      <c r="L23" s="17">
        <f t="shared" si="3"/>
        <v>0</v>
      </c>
      <c r="M23" s="17"/>
      <c r="N23" s="16">
        <v>4.0</v>
      </c>
      <c r="O23" s="17">
        <f t="shared" ref="O23:O45" si="11">PRODUCT(N23)*58.85</f>
        <v>235.4</v>
      </c>
      <c r="P23" s="17"/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21">
        <f t="shared" ref="W23:W26" si="12">SUM(F23+I23+L23+O23+R23)</f>
        <v>235.4</v>
      </c>
      <c r="X23" s="22"/>
      <c r="Y23" s="23"/>
    </row>
    <row r="24">
      <c r="A24" s="26" t="s">
        <v>85</v>
      </c>
      <c r="B24" s="26" t="s">
        <v>86</v>
      </c>
      <c r="C24" s="30">
        <v>45355.0</v>
      </c>
      <c r="D24" s="15">
        <v>45357.0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>
        <v>3.0</v>
      </c>
      <c r="L24" s="17">
        <f t="shared" si="3"/>
        <v>565.71</v>
      </c>
      <c r="M24" s="47">
        <v>565.71</v>
      </c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20">
        <v>18.0</v>
      </c>
      <c r="U24" s="17">
        <f t="shared" si="6"/>
        <v>600.66</v>
      </c>
      <c r="V24" s="17"/>
      <c r="W24" s="21">
        <f t="shared" si="12"/>
        <v>565.71</v>
      </c>
      <c r="X24" s="50">
        <v>45361.0</v>
      </c>
      <c r="Y24" s="23"/>
    </row>
    <row r="25">
      <c r="A25" s="52" t="s">
        <v>49</v>
      </c>
      <c r="B25" s="53" t="s">
        <v>50</v>
      </c>
      <c r="C25" s="30">
        <v>45355.0</v>
      </c>
      <c r="D25" s="15">
        <v>45357.0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16">
        <v>3.0</v>
      </c>
      <c r="L25" s="17">
        <f t="shared" si="3"/>
        <v>565.71</v>
      </c>
      <c r="M25" s="47">
        <v>565.71</v>
      </c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50"/>
      <c r="W25" s="21">
        <f t="shared" si="12"/>
        <v>565.71</v>
      </c>
      <c r="X25" s="50">
        <v>45361.0</v>
      </c>
      <c r="Y25" s="23"/>
    </row>
    <row r="26">
      <c r="A26" s="26" t="s">
        <v>161</v>
      </c>
      <c r="B26" s="26" t="s">
        <v>26</v>
      </c>
      <c r="C26" s="15">
        <v>45345.0</v>
      </c>
      <c r="D26" s="15">
        <v>45345.0</v>
      </c>
      <c r="E26" s="16">
        <v>1.0</v>
      </c>
      <c r="F26" s="17">
        <f t="shared" si="1"/>
        <v>214.22</v>
      </c>
      <c r="G26" s="47">
        <v>214.22</v>
      </c>
      <c r="H26" s="16"/>
      <c r="I26" s="17">
        <f t="shared" si="2"/>
        <v>0</v>
      </c>
      <c r="J26" s="17"/>
      <c r="K26" s="16"/>
      <c r="L26" s="17">
        <f t="shared" si="3"/>
        <v>0</v>
      </c>
      <c r="M26" s="17"/>
      <c r="N26" s="16"/>
      <c r="O26" s="17">
        <f t="shared" si="11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 t="shared" si="12"/>
        <v>214.22</v>
      </c>
      <c r="X26" s="26"/>
      <c r="Y26" s="23"/>
    </row>
    <row r="27" ht="15.75" customHeight="1">
      <c r="A27" s="51" t="s">
        <v>53</v>
      </c>
      <c r="B27" s="51" t="s">
        <v>54</v>
      </c>
      <c r="C27" s="64"/>
      <c r="D27" s="64"/>
      <c r="E27" s="65"/>
      <c r="F27" s="66">
        <f t="shared" si="1"/>
        <v>0</v>
      </c>
      <c r="G27" s="66"/>
      <c r="H27" s="65"/>
      <c r="I27" s="66">
        <f t="shared" si="2"/>
        <v>0</v>
      </c>
      <c r="J27" s="66"/>
      <c r="K27" s="67">
        <v>2.0</v>
      </c>
      <c r="L27" s="66">
        <f t="shared" si="3"/>
        <v>377.14</v>
      </c>
      <c r="M27" s="68">
        <v>377.14</v>
      </c>
      <c r="N27" s="65"/>
      <c r="O27" s="66">
        <f t="shared" si="11"/>
        <v>0</v>
      </c>
      <c r="P27" s="66"/>
      <c r="Q27" s="65"/>
      <c r="R27" s="66">
        <f t="shared" si="5"/>
        <v>0</v>
      </c>
      <c r="S27" s="66"/>
      <c r="T27" s="65"/>
      <c r="U27" s="66">
        <f t="shared" si="6"/>
        <v>0</v>
      </c>
      <c r="V27" s="66"/>
      <c r="W27" s="68">
        <v>0.0</v>
      </c>
      <c r="X27" s="51"/>
      <c r="Y27" s="69"/>
      <c r="Z27" s="70"/>
    </row>
    <row r="28" ht="15.75" customHeight="1">
      <c r="A28" s="26" t="s">
        <v>115</v>
      </c>
      <c r="B28" s="26" t="s">
        <v>116</v>
      </c>
      <c r="C28" s="54">
        <v>45338.0</v>
      </c>
      <c r="D28" s="54">
        <v>45347.0</v>
      </c>
      <c r="E28" s="16"/>
      <c r="F28" s="17">
        <f t="shared" si="1"/>
        <v>0</v>
      </c>
      <c r="G28" s="17"/>
      <c r="H28" s="16">
        <v>10.0</v>
      </c>
      <c r="I28" s="17">
        <f t="shared" si="2"/>
        <v>3167.7</v>
      </c>
      <c r="J28" s="47">
        <v>3167.7</v>
      </c>
      <c r="K28" s="16"/>
      <c r="L28" s="47">
        <v>565.71</v>
      </c>
      <c r="M28" s="47">
        <v>565.71</v>
      </c>
      <c r="N28" s="16"/>
      <c r="O28" s="17">
        <f t="shared" si="11"/>
        <v>0</v>
      </c>
      <c r="P28" s="17"/>
      <c r="Q28" s="16"/>
      <c r="R28" s="17">
        <f t="shared" si="5"/>
        <v>0</v>
      </c>
      <c r="S28" s="17"/>
      <c r="T28" s="63">
        <v>12.0</v>
      </c>
      <c r="U28" s="17">
        <f t="shared" si="6"/>
        <v>400.44</v>
      </c>
      <c r="V28" s="17"/>
      <c r="W28" s="48">
        <v>0.0</v>
      </c>
      <c r="X28" s="50">
        <v>45361.0</v>
      </c>
      <c r="Y28" s="23"/>
    </row>
    <row r="29" ht="15.75" customHeight="1">
      <c r="A29" s="26" t="s">
        <v>148</v>
      </c>
      <c r="B29" s="26" t="s">
        <v>149</v>
      </c>
      <c r="C29" s="15">
        <v>45339.0</v>
      </c>
      <c r="D29" s="15">
        <v>45345.0</v>
      </c>
      <c r="E29" s="16"/>
      <c r="F29" s="17">
        <f t="shared" si="1"/>
        <v>0</v>
      </c>
      <c r="G29" s="17"/>
      <c r="H29" s="16">
        <v>7.0</v>
      </c>
      <c r="I29" s="17">
        <f t="shared" si="2"/>
        <v>2217.39</v>
      </c>
      <c r="J29" s="47">
        <v>2217.39</v>
      </c>
      <c r="K29" s="16"/>
      <c r="L29" s="17">
        <f t="shared" ref="L29:L45" si="13">PRODUCT(K29)*188.57</f>
        <v>0</v>
      </c>
      <c r="M29" s="17"/>
      <c r="N29" s="16"/>
      <c r="O29" s="17">
        <f t="shared" si="11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21">
        <f t="shared" ref="W29:W34" si="14">SUM(F29+I29+L29+O29+R29)</f>
        <v>2217.39</v>
      </c>
      <c r="X29" s="22"/>
      <c r="Y29" s="23"/>
    </row>
    <row r="30" ht="15.75" customHeight="1">
      <c r="A30" s="26" t="s">
        <v>127</v>
      </c>
      <c r="B30" s="26" t="s">
        <v>128</v>
      </c>
      <c r="C30" s="30">
        <v>45355.0</v>
      </c>
      <c r="D30" s="15">
        <v>45357.0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16">
        <v>3.0</v>
      </c>
      <c r="L30" s="17">
        <f t="shared" si="13"/>
        <v>565.71</v>
      </c>
      <c r="M30" s="47">
        <v>565.71</v>
      </c>
      <c r="N30" s="28"/>
      <c r="O30" s="17">
        <f t="shared" si="11"/>
        <v>0</v>
      </c>
      <c r="P30" s="17"/>
      <c r="Q30" s="28"/>
      <c r="R30" s="17">
        <f t="shared" si="5"/>
        <v>0</v>
      </c>
      <c r="S30" s="17"/>
      <c r="T30" s="63">
        <v>18.0</v>
      </c>
      <c r="U30" s="17">
        <f t="shared" si="6"/>
        <v>600.66</v>
      </c>
      <c r="V30" s="17"/>
      <c r="W30" s="21">
        <f t="shared" si="14"/>
        <v>565.71</v>
      </c>
      <c r="X30" s="22"/>
      <c r="Y30" s="23"/>
    </row>
    <row r="31" ht="15.75" customHeight="1">
      <c r="A31" s="26" t="s">
        <v>69</v>
      </c>
      <c r="B31" s="26" t="s">
        <v>129</v>
      </c>
      <c r="C31" s="71">
        <v>45355.0</v>
      </c>
      <c r="D31" s="62">
        <v>45357.0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3.0</v>
      </c>
      <c r="L31" s="17">
        <f t="shared" si="13"/>
        <v>565.71</v>
      </c>
      <c r="M31" s="47">
        <v>565.71</v>
      </c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50"/>
      <c r="W31" s="21">
        <f t="shared" si="14"/>
        <v>565.71</v>
      </c>
      <c r="X31" s="50">
        <v>45361.0</v>
      </c>
      <c r="Y31" s="23"/>
    </row>
    <row r="32" ht="15.75" customHeight="1">
      <c r="A32" s="26" t="s">
        <v>65</v>
      </c>
      <c r="B32" s="26" t="s">
        <v>21</v>
      </c>
      <c r="C32" s="30">
        <v>45355.0</v>
      </c>
      <c r="D32" s="15">
        <v>45357.0</v>
      </c>
      <c r="E32" s="28"/>
      <c r="F32" s="17">
        <f t="shared" si="1"/>
        <v>0</v>
      </c>
      <c r="G32" s="17"/>
      <c r="H32" s="28"/>
      <c r="I32" s="17">
        <f t="shared" si="2"/>
        <v>0</v>
      </c>
      <c r="J32" s="17"/>
      <c r="K32" s="16">
        <v>3.0</v>
      </c>
      <c r="L32" s="17">
        <f t="shared" si="13"/>
        <v>565.71</v>
      </c>
      <c r="M32" s="47">
        <v>565.71</v>
      </c>
      <c r="N32" s="28"/>
      <c r="O32" s="17">
        <f t="shared" si="11"/>
        <v>0</v>
      </c>
      <c r="P32" s="17"/>
      <c r="Q32" s="28"/>
      <c r="R32" s="17">
        <f t="shared" si="5"/>
        <v>0</v>
      </c>
      <c r="S32" s="17"/>
      <c r="T32" s="20">
        <v>17.0</v>
      </c>
      <c r="U32" s="17">
        <f t="shared" si="6"/>
        <v>567.29</v>
      </c>
      <c r="V32" s="17"/>
      <c r="W32" s="21">
        <f t="shared" si="14"/>
        <v>565.71</v>
      </c>
      <c r="X32" s="22"/>
      <c r="Y32" s="23"/>
    </row>
    <row r="33" ht="15.75" customHeight="1">
      <c r="A33" s="26" t="s">
        <v>67</v>
      </c>
      <c r="B33" s="26" t="s">
        <v>68</v>
      </c>
      <c r="C33" s="71">
        <v>45334.0</v>
      </c>
      <c r="D33" s="62">
        <v>45351.0</v>
      </c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/>
      <c r="L33" s="17">
        <f t="shared" si="13"/>
        <v>0</v>
      </c>
      <c r="M33" s="17"/>
      <c r="N33" s="28"/>
      <c r="O33" s="17">
        <f t="shared" si="11"/>
        <v>0</v>
      </c>
      <c r="P33" s="17"/>
      <c r="Q33" s="28"/>
      <c r="R33" s="17">
        <f t="shared" si="5"/>
        <v>0</v>
      </c>
      <c r="S33" s="17"/>
      <c r="T33" s="63">
        <v>18.0</v>
      </c>
      <c r="U33" s="17">
        <f t="shared" si="6"/>
        <v>600.66</v>
      </c>
      <c r="V33" s="17"/>
      <c r="W33" s="21">
        <f t="shared" si="14"/>
        <v>0</v>
      </c>
      <c r="X33" s="22"/>
      <c r="Y33" s="23"/>
    </row>
    <row r="34" ht="15.75" customHeight="1">
      <c r="A34" s="58" t="s">
        <v>161</v>
      </c>
      <c r="B34" s="58" t="s">
        <v>162</v>
      </c>
      <c r="C34" s="71">
        <v>45345.0</v>
      </c>
      <c r="D34" s="62">
        <v>45345.0</v>
      </c>
      <c r="E34" s="60">
        <v>1.0</v>
      </c>
      <c r="F34" s="17">
        <f t="shared" si="1"/>
        <v>214.22</v>
      </c>
      <c r="G34" s="47">
        <v>214.22</v>
      </c>
      <c r="H34" s="28"/>
      <c r="I34" s="17">
        <f t="shared" si="2"/>
        <v>0</v>
      </c>
      <c r="J34" s="17"/>
      <c r="K34" s="16"/>
      <c r="L34" s="17">
        <f t="shared" si="13"/>
        <v>0</v>
      </c>
      <c r="M34" s="17"/>
      <c r="N34" s="28"/>
      <c r="O34" s="17">
        <f t="shared" si="11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21">
        <f t="shared" si="14"/>
        <v>214.22</v>
      </c>
      <c r="X34" s="22"/>
      <c r="Y34" s="23"/>
    </row>
    <row r="35" ht="15.75" customHeight="1">
      <c r="A35" s="26" t="s">
        <v>163</v>
      </c>
      <c r="B35" s="26" t="s">
        <v>164</v>
      </c>
      <c r="C35" s="71">
        <v>45352.0</v>
      </c>
      <c r="D35" s="62">
        <v>45357.0</v>
      </c>
      <c r="E35" s="28">
        <v>1.0</v>
      </c>
      <c r="F35" s="17">
        <f t="shared" si="1"/>
        <v>214.22</v>
      </c>
      <c r="G35" s="47">
        <v>214.22</v>
      </c>
      <c r="H35" s="28"/>
      <c r="I35" s="17">
        <f t="shared" si="2"/>
        <v>0</v>
      </c>
      <c r="J35" s="17"/>
      <c r="K35" s="57">
        <v>3.0</v>
      </c>
      <c r="L35" s="17">
        <f t="shared" si="13"/>
        <v>565.71</v>
      </c>
      <c r="M35" s="47">
        <v>565.71</v>
      </c>
      <c r="N35" s="28"/>
      <c r="O35" s="17">
        <f t="shared" si="11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48">
        <v>0.0</v>
      </c>
      <c r="X35" s="50">
        <v>45361.0</v>
      </c>
      <c r="Y35" s="23"/>
    </row>
    <row r="36" ht="15.75" customHeight="1">
      <c r="A36" s="26" t="s">
        <v>115</v>
      </c>
      <c r="B36" s="26" t="s">
        <v>150</v>
      </c>
      <c r="C36" s="30">
        <v>45338.0</v>
      </c>
      <c r="D36" s="15">
        <v>45354.0</v>
      </c>
      <c r="E36" s="28"/>
      <c r="F36" s="17">
        <f t="shared" si="1"/>
        <v>0</v>
      </c>
      <c r="G36" s="17"/>
      <c r="H36" s="28">
        <v>17.0</v>
      </c>
      <c r="I36" s="17">
        <f t="shared" si="2"/>
        <v>5385.09</v>
      </c>
      <c r="J36" s="47">
        <v>5385.09</v>
      </c>
      <c r="K36" s="16"/>
      <c r="L36" s="17">
        <f t="shared" si="13"/>
        <v>0</v>
      </c>
      <c r="M36" s="17"/>
      <c r="N36" s="28"/>
      <c r="O36" s="17">
        <f t="shared" si="11"/>
        <v>0</v>
      </c>
      <c r="P36" s="17"/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48">
        <v>0.0</v>
      </c>
      <c r="X36" s="49">
        <v>45361.0</v>
      </c>
      <c r="Y36" s="23"/>
    </row>
    <row r="37" ht="15.75" customHeight="1">
      <c r="A37" s="26" t="s">
        <v>121</v>
      </c>
      <c r="B37" s="26" t="s">
        <v>134</v>
      </c>
      <c r="C37" s="71">
        <v>45355.0</v>
      </c>
      <c r="D37" s="71">
        <v>45357.0</v>
      </c>
      <c r="E37" s="28"/>
      <c r="F37" s="17">
        <f t="shared" si="1"/>
        <v>0</v>
      </c>
      <c r="G37" s="17"/>
      <c r="H37" s="60">
        <v>3.0</v>
      </c>
      <c r="I37" s="17">
        <f t="shared" si="2"/>
        <v>950.31</v>
      </c>
      <c r="J37" s="47">
        <v>950.31</v>
      </c>
      <c r="K37" s="16">
        <v>3.0</v>
      </c>
      <c r="L37" s="17">
        <f t="shared" si="13"/>
        <v>565.71</v>
      </c>
      <c r="M37" s="17"/>
      <c r="N37" s="28"/>
      <c r="O37" s="17">
        <f t="shared" si="11"/>
        <v>0</v>
      </c>
      <c r="P37" s="17"/>
      <c r="Q37" s="28"/>
      <c r="R37" s="17">
        <f t="shared" si="5"/>
        <v>0</v>
      </c>
      <c r="S37" s="17"/>
      <c r="T37" s="72">
        <v>18.0</v>
      </c>
      <c r="U37" s="17">
        <f t="shared" si="6"/>
        <v>600.66</v>
      </c>
      <c r="V37" s="17"/>
      <c r="W37" s="48">
        <v>0.0</v>
      </c>
      <c r="X37" s="50">
        <v>45361.0</v>
      </c>
      <c r="Y37" s="23"/>
    </row>
    <row r="38" ht="15.75" customHeight="1">
      <c r="A38" s="26" t="s">
        <v>111</v>
      </c>
      <c r="B38" s="26" t="s">
        <v>112</v>
      </c>
      <c r="C38" s="30">
        <v>45355.0</v>
      </c>
      <c r="D38" s="15">
        <v>45357.0</v>
      </c>
      <c r="E38" s="28"/>
      <c r="F38" s="17">
        <f t="shared" si="1"/>
        <v>0</v>
      </c>
      <c r="G38" s="17"/>
      <c r="H38" s="28"/>
      <c r="I38" s="17">
        <f t="shared" si="2"/>
        <v>0</v>
      </c>
      <c r="J38" s="17"/>
      <c r="K38" s="16">
        <v>3.0</v>
      </c>
      <c r="L38" s="17">
        <f t="shared" si="13"/>
        <v>565.71</v>
      </c>
      <c r="M38" s="47">
        <v>565.71</v>
      </c>
      <c r="N38" s="28"/>
      <c r="O38" s="17">
        <f t="shared" si="11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21">
        <f t="shared" ref="W38:W41" si="15">SUM(F38+I38+L38+O38+R38)</f>
        <v>565.71</v>
      </c>
      <c r="X38" s="50">
        <v>45361.0</v>
      </c>
      <c r="Y38" s="23"/>
    </row>
    <row r="39" ht="15.75" customHeight="1">
      <c r="A39" s="26" t="s">
        <v>79</v>
      </c>
      <c r="B39" s="26" t="s">
        <v>80</v>
      </c>
      <c r="C39" s="30">
        <v>45355.0</v>
      </c>
      <c r="D39" s="15">
        <v>45357.0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16">
        <v>3.0</v>
      </c>
      <c r="L39" s="17">
        <f t="shared" si="13"/>
        <v>565.71</v>
      </c>
      <c r="M39" s="47">
        <v>565.71</v>
      </c>
      <c r="N39" s="28"/>
      <c r="O39" s="17">
        <f t="shared" si="11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21">
        <f t="shared" si="15"/>
        <v>565.71</v>
      </c>
      <c r="X39" s="50">
        <v>45361.0</v>
      </c>
      <c r="Y39" s="23"/>
    </row>
    <row r="40" ht="15.75" customHeight="1">
      <c r="A40" s="26" t="s">
        <v>135</v>
      </c>
      <c r="B40" s="26" t="s">
        <v>62</v>
      </c>
      <c r="C40" s="30">
        <v>45355.0</v>
      </c>
      <c r="D40" s="15">
        <v>45357.0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13"/>
        <v>0</v>
      </c>
      <c r="M40" s="17"/>
      <c r="N40" s="28">
        <v>3.0</v>
      </c>
      <c r="O40" s="17">
        <f t="shared" si="11"/>
        <v>176.55</v>
      </c>
      <c r="P40" s="47">
        <v>176.55</v>
      </c>
      <c r="Q40" s="28"/>
      <c r="R40" s="17">
        <f t="shared" si="5"/>
        <v>0</v>
      </c>
      <c r="S40" s="17"/>
      <c r="T40" s="29"/>
      <c r="U40" s="17">
        <f t="shared" si="6"/>
        <v>0</v>
      </c>
      <c r="V40" s="50"/>
      <c r="W40" s="21">
        <f t="shared" si="15"/>
        <v>176.55</v>
      </c>
      <c r="X40" s="50">
        <v>45361.0</v>
      </c>
      <c r="Y40" s="23"/>
      <c r="Z40" s="31"/>
    </row>
    <row r="41" ht="15.75" customHeight="1">
      <c r="A41" s="51" t="s">
        <v>151</v>
      </c>
      <c r="B41" s="51" t="s">
        <v>152</v>
      </c>
      <c r="C41" s="73">
        <v>45355.0</v>
      </c>
      <c r="D41" s="64">
        <v>45356.0</v>
      </c>
      <c r="E41" s="74"/>
      <c r="F41" s="66">
        <f t="shared" si="1"/>
        <v>0</v>
      </c>
      <c r="G41" s="66"/>
      <c r="H41" s="74"/>
      <c r="I41" s="66">
        <f t="shared" si="2"/>
        <v>0</v>
      </c>
      <c r="J41" s="66"/>
      <c r="K41" s="65">
        <v>3.0</v>
      </c>
      <c r="L41" s="66">
        <f t="shared" si="13"/>
        <v>565.71</v>
      </c>
      <c r="M41" s="17"/>
      <c r="N41" s="28"/>
      <c r="O41" s="17">
        <f t="shared" si="11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21">
        <f t="shared" si="15"/>
        <v>565.71</v>
      </c>
      <c r="X41" s="22"/>
      <c r="Y41" s="23"/>
    </row>
    <row r="42" ht="15.75" customHeight="1">
      <c r="A42" s="26" t="s">
        <v>113</v>
      </c>
      <c r="B42" s="26" t="s">
        <v>114</v>
      </c>
      <c r="C42" s="30">
        <v>45345.0</v>
      </c>
      <c r="D42" s="30">
        <v>45345.0</v>
      </c>
      <c r="E42" s="28">
        <v>1.0</v>
      </c>
      <c r="F42" s="17">
        <f t="shared" si="1"/>
        <v>214.22</v>
      </c>
      <c r="G42" s="47">
        <v>214.22</v>
      </c>
      <c r="H42" s="28"/>
      <c r="I42" s="17">
        <f t="shared" si="2"/>
        <v>0</v>
      </c>
      <c r="J42" s="17"/>
      <c r="K42" s="16"/>
      <c r="L42" s="17">
        <f t="shared" si="13"/>
        <v>0</v>
      </c>
      <c r="M42" s="17"/>
      <c r="N42" s="28"/>
      <c r="O42" s="17">
        <f t="shared" si="11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/>
      <c r="X42" s="49">
        <v>45361.0</v>
      </c>
      <c r="Y42" s="23"/>
    </row>
    <row r="43" ht="15.75" customHeight="1">
      <c r="A43" s="26" t="s">
        <v>130</v>
      </c>
      <c r="B43" s="26" t="s">
        <v>165</v>
      </c>
      <c r="C43" s="30">
        <v>45336.0</v>
      </c>
      <c r="D43" s="30">
        <v>45352.0</v>
      </c>
      <c r="E43" s="28"/>
      <c r="F43" s="17">
        <f t="shared" si="1"/>
        <v>0</v>
      </c>
      <c r="G43" s="17"/>
      <c r="H43" s="28">
        <v>17.0</v>
      </c>
      <c r="I43" s="17">
        <f t="shared" si="2"/>
        <v>5385.09</v>
      </c>
      <c r="J43" s="47">
        <v>5385.09</v>
      </c>
      <c r="K43" s="16"/>
      <c r="L43" s="17">
        <f t="shared" si="13"/>
        <v>0</v>
      </c>
      <c r="M43" s="17"/>
      <c r="N43" s="28"/>
      <c r="O43" s="17">
        <f t="shared" si="11"/>
        <v>0</v>
      </c>
      <c r="P43" s="17"/>
      <c r="Q43" s="28"/>
      <c r="R43" s="17">
        <f t="shared" si="5"/>
        <v>0</v>
      </c>
      <c r="S43" s="17"/>
      <c r="T43" s="20">
        <v>15.0</v>
      </c>
      <c r="U43" s="17">
        <f t="shared" si="6"/>
        <v>500.55</v>
      </c>
      <c r="V43" s="17"/>
      <c r="W43" s="48">
        <v>0.0</v>
      </c>
      <c r="X43" s="49">
        <v>45361.0</v>
      </c>
      <c r="Y43" s="23"/>
    </row>
    <row r="44" ht="15.75" customHeight="1">
      <c r="A44" s="26" t="s">
        <v>141</v>
      </c>
      <c r="B44" s="26" t="s">
        <v>142</v>
      </c>
      <c r="C44" s="30">
        <v>45356.0</v>
      </c>
      <c r="D44" s="15">
        <v>45356.0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16">
        <v>1.0</v>
      </c>
      <c r="L44" s="17">
        <f t="shared" si="13"/>
        <v>188.57</v>
      </c>
      <c r="M44" s="47">
        <v>188.57</v>
      </c>
      <c r="N44" s="28"/>
      <c r="O44" s="17">
        <f t="shared" si="11"/>
        <v>0</v>
      </c>
      <c r="P44" s="17"/>
      <c r="Q44" s="28"/>
      <c r="R44" s="17">
        <f t="shared" si="5"/>
        <v>0</v>
      </c>
      <c r="S44" s="17"/>
      <c r="T44" s="63">
        <v>18.0</v>
      </c>
      <c r="U44" s="17">
        <f t="shared" si="6"/>
        <v>600.66</v>
      </c>
      <c r="V44" s="17"/>
      <c r="W44" s="48">
        <v>0.0</v>
      </c>
      <c r="X44" s="49">
        <v>45361.0</v>
      </c>
      <c r="Y44" s="23"/>
    </row>
    <row r="45" ht="15.75" customHeight="1">
      <c r="A45" s="26" t="s">
        <v>117</v>
      </c>
      <c r="B45" s="26" t="s">
        <v>139</v>
      </c>
      <c r="C45" s="30">
        <v>45328.0</v>
      </c>
      <c r="D45" s="62">
        <v>45333.0</v>
      </c>
      <c r="E45" s="28"/>
      <c r="F45" s="17">
        <f t="shared" si="1"/>
        <v>0</v>
      </c>
      <c r="G45" s="17"/>
      <c r="H45" s="60">
        <v>6.0</v>
      </c>
      <c r="I45" s="17">
        <f t="shared" si="2"/>
        <v>1900.62</v>
      </c>
      <c r="J45" s="17"/>
      <c r="K45" s="16"/>
      <c r="L45" s="17">
        <f t="shared" si="13"/>
        <v>0</v>
      </c>
      <c r="M45" s="17"/>
      <c r="N45" s="28"/>
      <c r="O45" s="17">
        <f t="shared" si="11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21">
        <f>SUM(F45+I45+L45+O45+R45)</f>
        <v>1900.62</v>
      </c>
      <c r="X45" s="26"/>
      <c r="Y45" s="23"/>
    </row>
    <row r="46" ht="15.75" customHeight="1">
      <c r="A46" s="40" t="s">
        <v>81</v>
      </c>
      <c r="B46" s="41"/>
      <c r="C46" s="41"/>
      <c r="D46" s="41"/>
      <c r="E46" s="42"/>
      <c r="F46" s="43">
        <f>SUM(F32:F45)</f>
        <v>642.66</v>
      </c>
      <c r="G46" s="43">
        <f>SUM(G4:G41)</f>
        <v>1071.1</v>
      </c>
      <c r="H46" s="42"/>
      <c r="I46" s="43">
        <f>SUM(I4:I45)</f>
        <v>30726.69</v>
      </c>
      <c r="J46" s="43">
        <f>SUM(J4:J41)</f>
        <v>23440.98</v>
      </c>
      <c r="K46" s="42"/>
      <c r="L46" s="43">
        <f t="shared" ref="L46:M46" si="16">SUM(L4:L41)</f>
        <v>10559.92</v>
      </c>
      <c r="M46" s="43">
        <f t="shared" si="16"/>
        <v>9428.5</v>
      </c>
      <c r="N46" s="42"/>
      <c r="O46" s="43">
        <f t="shared" ref="O46:P46" si="17">SUM(O4:O41)</f>
        <v>529.65</v>
      </c>
      <c r="P46" s="43">
        <f t="shared" si="17"/>
        <v>294.25</v>
      </c>
      <c r="Q46" s="42"/>
      <c r="R46" s="43">
        <f t="shared" ref="R46:S46" si="18">SUM(R4:R41)</f>
        <v>0</v>
      </c>
      <c r="S46" s="43">
        <f t="shared" si="18"/>
        <v>0</v>
      </c>
      <c r="T46" s="42"/>
      <c r="U46" s="43">
        <f t="shared" ref="U46:W46" si="19">SUM(U4:U41)</f>
        <v>6674</v>
      </c>
      <c r="V46" s="43">
        <f t="shared" si="19"/>
        <v>0</v>
      </c>
      <c r="W46" s="43">
        <f t="shared" si="19"/>
        <v>20630.02</v>
      </c>
      <c r="X46" s="41"/>
      <c r="Y46" s="44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M48" s="75" t="s">
        <v>166</v>
      </c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17.29"/>
    <col customWidth="1" min="24" max="24" width="15.86"/>
    <col customWidth="1" min="25" max="25" width="63.29"/>
    <col customWidth="1" min="26" max="26" width="8.71"/>
  </cols>
  <sheetData>
    <row r="1">
      <c r="E1" s="1"/>
      <c r="H1" s="1"/>
      <c r="K1" s="1"/>
      <c r="N1" s="1"/>
      <c r="Q1" s="1"/>
      <c r="T1" s="1"/>
      <c r="W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4"/>
      <c r="X2" s="4"/>
      <c r="Y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/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12" t="s">
        <v>14</v>
      </c>
      <c r="U3" s="4" t="s">
        <v>6</v>
      </c>
      <c r="V3" s="4" t="s">
        <v>7</v>
      </c>
      <c r="W3" s="38" t="s">
        <v>15</v>
      </c>
      <c r="X3" s="4" t="s">
        <v>16</v>
      </c>
      <c r="Y3" s="4" t="s">
        <v>17</v>
      </c>
    </row>
    <row r="4">
      <c r="A4" s="14" t="s">
        <v>153</v>
      </c>
      <c r="B4" s="14" t="s">
        <v>154</v>
      </c>
      <c r="C4" s="30"/>
      <c r="D4" s="30"/>
      <c r="E4" s="16"/>
      <c r="F4" s="17">
        <f t="shared" ref="F4:F45" si="1">PRODUCT(E4)*214.22</f>
        <v>0</v>
      </c>
      <c r="G4" s="47"/>
      <c r="H4" s="16"/>
      <c r="I4" s="17">
        <f t="shared" ref="I4:I45" si="2">PRODUCT(H4)*316.77</f>
        <v>0</v>
      </c>
      <c r="J4" s="17"/>
      <c r="K4" s="16"/>
      <c r="L4" s="17">
        <f t="shared" ref="L4:L45" si="3">PRODUCT(K4)*188.57</f>
        <v>0</v>
      </c>
      <c r="M4" s="17"/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20"/>
      <c r="U4" s="17">
        <f t="shared" ref="U4:U45" si="6">PRODUCT(T4)*33.37</f>
        <v>0</v>
      </c>
      <c r="V4" s="17"/>
      <c r="W4" s="21">
        <f t="shared" ref="W4:W6" si="7">SUM(F4+I4+L4+O4+R4)</f>
        <v>0</v>
      </c>
      <c r="X4" s="26"/>
      <c r="Y4" s="23"/>
    </row>
    <row r="5">
      <c r="A5" s="61" t="s">
        <v>57</v>
      </c>
      <c r="B5" s="61" t="s">
        <v>58</v>
      </c>
      <c r="C5" s="62">
        <v>45358.0</v>
      </c>
      <c r="D5" s="62">
        <v>45365.0</v>
      </c>
      <c r="E5" s="16"/>
      <c r="F5" s="17">
        <f t="shared" si="1"/>
        <v>0</v>
      </c>
      <c r="G5" s="17"/>
      <c r="H5" s="16"/>
      <c r="I5" s="17">
        <f t="shared" si="2"/>
        <v>0</v>
      </c>
      <c r="J5" s="47"/>
      <c r="K5" s="57">
        <v>12.0</v>
      </c>
      <c r="L5" s="17">
        <f t="shared" si="3"/>
        <v>2262.84</v>
      </c>
      <c r="M5" s="47">
        <v>2262.84</v>
      </c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20"/>
      <c r="U5" s="17">
        <f t="shared" si="6"/>
        <v>0</v>
      </c>
      <c r="V5" s="17"/>
      <c r="W5" s="21">
        <f t="shared" si="7"/>
        <v>2262.84</v>
      </c>
      <c r="X5" s="26"/>
      <c r="Y5" s="24"/>
    </row>
    <row r="6">
      <c r="A6" s="14" t="s">
        <v>82</v>
      </c>
      <c r="B6" s="14" t="s">
        <v>83</v>
      </c>
      <c r="C6" s="30"/>
      <c r="D6" s="15"/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20"/>
      <c r="U6" s="17">
        <f t="shared" si="6"/>
        <v>0</v>
      </c>
      <c r="V6" s="17"/>
      <c r="W6" s="21">
        <f t="shared" si="7"/>
        <v>0</v>
      </c>
      <c r="X6" s="26"/>
      <c r="Y6" s="24"/>
    </row>
    <row r="7">
      <c r="A7" s="61" t="s">
        <v>167</v>
      </c>
      <c r="B7" s="61" t="s">
        <v>110</v>
      </c>
      <c r="C7" s="62">
        <v>45345.0</v>
      </c>
      <c r="D7" s="62">
        <v>45361.0</v>
      </c>
      <c r="E7" s="57">
        <v>1.0</v>
      </c>
      <c r="F7" s="17">
        <f t="shared" si="1"/>
        <v>214.22</v>
      </c>
      <c r="G7" s="47">
        <v>214.22</v>
      </c>
      <c r="H7" s="57">
        <v>17.0</v>
      </c>
      <c r="I7" s="17">
        <f t="shared" si="2"/>
        <v>5385.09</v>
      </c>
      <c r="J7" s="47">
        <v>5385.09</v>
      </c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63"/>
      <c r="U7" s="17">
        <f t="shared" si="6"/>
        <v>0</v>
      </c>
      <c r="V7" s="17"/>
      <c r="W7" s="48">
        <v>0.0</v>
      </c>
      <c r="X7" s="50">
        <v>45368.0</v>
      </c>
      <c r="Y7" s="24"/>
    </row>
    <row r="8">
      <c r="A8" s="14" t="s">
        <v>20</v>
      </c>
      <c r="B8" s="14" t="s">
        <v>21</v>
      </c>
      <c r="C8" s="30"/>
      <c r="D8" s="15"/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16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20"/>
      <c r="U8" s="17">
        <f t="shared" si="6"/>
        <v>0</v>
      </c>
      <c r="V8" s="17"/>
      <c r="W8" s="21">
        <f>SUM(F8+I8+L8+O8+R8)</f>
        <v>0</v>
      </c>
      <c r="X8" s="22"/>
      <c r="Y8" s="23"/>
    </row>
    <row r="9">
      <c r="A9" s="26" t="s">
        <v>30</v>
      </c>
      <c r="B9" s="26" t="s">
        <v>31</v>
      </c>
      <c r="C9" s="71">
        <v>45365.0</v>
      </c>
      <c r="D9" s="71">
        <v>45365.0</v>
      </c>
      <c r="E9" s="16"/>
      <c r="F9" s="17">
        <f t="shared" si="1"/>
        <v>0</v>
      </c>
      <c r="G9" s="17"/>
      <c r="H9" s="16"/>
      <c r="I9" s="17">
        <f t="shared" si="2"/>
        <v>0</v>
      </c>
      <c r="J9" s="17"/>
      <c r="K9" s="16"/>
      <c r="L9" s="17">
        <f t="shared" si="3"/>
        <v>0</v>
      </c>
      <c r="M9" s="17"/>
      <c r="N9" s="57">
        <v>1.0</v>
      </c>
      <c r="O9" s="17">
        <f t="shared" si="4"/>
        <v>58.85</v>
      </c>
      <c r="P9" s="47">
        <v>58.85</v>
      </c>
      <c r="Q9" s="16"/>
      <c r="R9" s="17">
        <f t="shared" si="5"/>
        <v>0</v>
      </c>
      <c r="S9" s="17"/>
      <c r="T9" s="20"/>
      <c r="U9" s="17">
        <f t="shared" si="6"/>
        <v>0</v>
      </c>
      <c r="V9" s="17"/>
      <c r="W9" s="48">
        <v>0.0</v>
      </c>
      <c r="X9" s="76">
        <v>45368.0</v>
      </c>
      <c r="Y9" s="23"/>
    </row>
    <row r="10">
      <c r="A10" s="26" t="s">
        <v>39</v>
      </c>
      <c r="B10" s="26" t="s">
        <v>40</v>
      </c>
      <c r="C10" s="30"/>
      <c r="D10" s="15"/>
      <c r="E10" s="16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47"/>
      <c r="N10" s="16"/>
      <c r="O10" s="17">
        <f t="shared" si="4"/>
        <v>0</v>
      </c>
      <c r="P10" s="17"/>
      <c r="Q10" s="16"/>
      <c r="R10" s="17">
        <f t="shared" si="5"/>
        <v>0</v>
      </c>
      <c r="S10" s="17"/>
      <c r="T10" s="20"/>
      <c r="U10" s="17">
        <f t="shared" si="6"/>
        <v>0</v>
      </c>
      <c r="V10" s="50"/>
      <c r="W10" s="48">
        <v>0.0</v>
      </c>
      <c r="X10" s="50"/>
      <c r="Y10" s="23"/>
    </row>
    <row r="11">
      <c r="A11" s="26" t="s">
        <v>95</v>
      </c>
      <c r="B11" s="26" t="s">
        <v>58</v>
      </c>
      <c r="C11" s="30"/>
      <c r="D11" s="15"/>
      <c r="E11" s="16"/>
      <c r="F11" s="17">
        <f t="shared" si="1"/>
        <v>0</v>
      </c>
      <c r="G11" s="17"/>
      <c r="H11" s="16"/>
      <c r="I11" s="17">
        <f t="shared" si="2"/>
        <v>0</v>
      </c>
      <c r="J11" s="17"/>
      <c r="K11" s="16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20"/>
      <c r="U11" s="17">
        <f t="shared" si="6"/>
        <v>0</v>
      </c>
      <c r="V11" s="17"/>
      <c r="W11" s="21">
        <f t="shared" ref="W11:W12" si="8">SUM(F11+I11+L11+O11+R11)</f>
        <v>0</v>
      </c>
      <c r="X11" s="22"/>
      <c r="Y11" s="23"/>
    </row>
    <row r="12">
      <c r="A12" s="26" t="s">
        <v>155</v>
      </c>
      <c r="B12" s="26" t="s">
        <v>66</v>
      </c>
      <c r="C12" s="30"/>
      <c r="D12" s="15"/>
      <c r="E12" s="16"/>
      <c r="F12" s="17">
        <f t="shared" si="1"/>
        <v>0</v>
      </c>
      <c r="G12" s="17"/>
      <c r="H12" s="16"/>
      <c r="I12" s="17">
        <f t="shared" si="2"/>
        <v>0</v>
      </c>
      <c r="J12" s="47"/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63"/>
      <c r="U12" s="17">
        <f t="shared" si="6"/>
        <v>0</v>
      </c>
      <c r="V12" s="17"/>
      <c r="W12" s="21">
        <f t="shared" si="8"/>
        <v>0</v>
      </c>
      <c r="X12" s="22"/>
      <c r="Y12" s="46"/>
    </row>
    <row r="13">
      <c r="A13" s="26" t="s">
        <v>71</v>
      </c>
      <c r="B13" s="26" t="s">
        <v>96</v>
      </c>
      <c r="C13" s="62">
        <v>45358.0</v>
      </c>
      <c r="D13" s="62">
        <v>45365.0</v>
      </c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>
        <v>4.0</v>
      </c>
      <c r="L13" s="17">
        <f t="shared" si="3"/>
        <v>754.28</v>
      </c>
      <c r="M13" s="47">
        <v>565.71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20"/>
      <c r="U13" s="17">
        <f t="shared" si="6"/>
        <v>0</v>
      </c>
      <c r="V13" s="17"/>
      <c r="W13" s="48">
        <v>0.0</v>
      </c>
      <c r="X13" s="50">
        <v>45368.0</v>
      </c>
      <c r="Y13" s="23"/>
    </row>
    <row r="14">
      <c r="A14" s="26" t="s">
        <v>156</v>
      </c>
      <c r="B14" s="26" t="s">
        <v>157</v>
      </c>
      <c r="C14" s="15"/>
      <c r="D14" s="15"/>
      <c r="E14" s="16"/>
      <c r="F14" s="17">
        <f t="shared" si="1"/>
        <v>0</v>
      </c>
      <c r="G14" s="47"/>
      <c r="H14" s="16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20"/>
      <c r="U14" s="17">
        <f t="shared" si="6"/>
        <v>0</v>
      </c>
      <c r="V14" s="17"/>
      <c r="W14" s="21">
        <f>SUM(F14+I14+L14+O14+R14)</f>
        <v>0</v>
      </c>
      <c r="X14" s="26"/>
      <c r="Y14" s="23"/>
    </row>
    <row r="15">
      <c r="A15" s="58" t="s">
        <v>65</v>
      </c>
      <c r="B15" s="58" t="s">
        <v>21</v>
      </c>
      <c r="C15" s="62">
        <v>45358.0</v>
      </c>
      <c r="D15" s="62">
        <v>45365.0</v>
      </c>
      <c r="E15" s="16"/>
      <c r="F15" s="17">
        <f t="shared" si="1"/>
        <v>0</v>
      </c>
      <c r="G15" s="17"/>
      <c r="H15" s="16"/>
      <c r="I15" s="17">
        <f t="shared" si="2"/>
        <v>0</v>
      </c>
      <c r="J15" s="47"/>
      <c r="K15" s="57">
        <v>5.0</v>
      </c>
      <c r="L15" s="17">
        <f t="shared" si="3"/>
        <v>942.85</v>
      </c>
      <c r="M15" s="47">
        <v>942.85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20"/>
      <c r="U15" s="17">
        <f t="shared" si="6"/>
        <v>0</v>
      </c>
      <c r="V15" s="17"/>
      <c r="W15" s="48">
        <v>0.0</v>
      </c>
      <c r="X15" s="50">
        <v>45368.0</v>
      </c>
      <c r="Y15" s="23"/>
    </row>
    <row r="16">
      <c r="A16" s="26" t="s">
        <v>99</v>
      </c>
      <c r="B16" s="26" t="s">
        <v>100</v>
      </c>
      <c r="C16" s="62">
        <v>45358.0</v>
      </c>
      <c r="D16" s="62">
        <v>45365.0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57">
        <v>5.0</v>
      </c>
      <c r="L16" s="17">
        <f t="shared" si="3"/>
        <v>942.85</v>
      </c>
      <c r="M16" s="47">
        <v>942.85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20"/>
      <c r="U16" s="17">
        <f t="shared" si="6"/>
        <v>0</v>
      </c>
      <c r="V16" s="17"/>
      <c r="W16" s="48">
        <v>0.0</v>
      </c>
      <c r="X16" s="50">
        <v>45368.0</v>
      </c>
      <c r="Y16" s="23"/>
    </row>
    <row r="17">
      <c r="A17" s="51" t="s">
        <v>158</v>
      </c>
      <c r="B17" s="51" t="s">
        <v>159</v>
      </c>
      <c r="C17" s="77">
        <v>45358.0</v>
      </c>
      <c r="D17" s="77">
        <v>45365.0</v>
      </c>
      <c r="E17" s="65"/>
      <c r="F17" s="66">
        <f t="shared" si="1"/>
        <v>0</v>
      </c>
      <c r="G17" s="66"/>
      <c r="H17" s="65"/>
      <c r="I17" s="66">
        <f t="shared" si="2"/>
        <v>0</v>
      </c>
      <c r="J17" s="66"/>
      <c r="K17" s="67">
        <v>5.0</v>
      </c>
      <c r="L17" s="66">
        <f t="shared" si="3"/>
        <v>942.85</v>
      </c>
      <c r="M17" s="47">
        <v>0.0</v>
      </c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20"/>
      <c r="U17" s="17">
        <f t="shared" si="6"/>
        <v>0</v>
      </c>
      <c r="V17" s="17"/>
      <c r="W17" s="21">
        <f>SUM(F17+I17+L17+O17+R17)</f>
        <v>942.85</v>
      </c>
      <c r="X17" s="22"/>
      <c r="Y17" s="23"/>
    </row>
    <row r="18">
      <c r="A18" s="26" t="s">
        <v>47</v>
      </c>
      <c r="B18" s="26" t="s">
        <v>48</v>
      </c>
      <c r="C18" s="62">
        <v>45360.0</v>
      </c>
      <c r="D18" s="62">
        <v>45365.0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57">
        <v>4.0</v>
      </c>
      <c r="L18" s="17">
        <f t="shared" si="3"/>
        <v>754.28</v>
      </c>
      <c r="M18" s="47">
        <v>754.28</v>
      </c>
      <c r="N18" s="16"/>
      <c r="O18" s="17">
        <f t="shared" ref="O18:O21" si="9">PRODUCT(N18)*188.57</f>
        <v>0</v>
      </c>
      <c r="P18" s="17"/>
      <c r="Q18" s="16"/>
      <c r="R18" s="17">
        <f t="shared" si="5"/>
        <v>0</v>
      </c>
      <c r="S18" s="17"/>
      <c r="T18" s="20"/>
      <c r="U18" s="17">
        <f t="shared" si="6"/>
        <v>0</v>
      </c>
      <c r="V18" s="17"/>
      <c r="W18" s="48">
        <v>0.0</v>
      </c>
      <c r="X18" s="50">
        <v>45368.0</v>
      </c>
      <c r="Y18" s="23"/>
    </row>
    <row r="19">
      <c r="A19" s="26" t="s">
        <v>105</v>
      </c>
      <c r="B19" s="26" t="s">
        <v>106</v>
      </c>
      <c r="C19" s="71">
        <v>45356.0</v>
      </c>
      <c r="D19" s="62">
        <v>45356.0</v>
      </c>
      <c r="E19" s="57">
        <v>1.0</v>
      </c>
      <c r="F19" s="17">
        <f t="shared" si="1"/>
        <v>214.22</v>
      </c>
      <c r="G19" s="47">
        <v>214.22</v>
      </c>
      <c r="H19" s="16"/>
      <c r="I19" s="17">
        <f t="shared" si="2"/>
        <v>0</v>
      </c>
      <c r="J19" s="17"/>
      <c r="K19" s="57"/>
      <c r="L19" s="17">
        <f t="shared" si="3"/>
        <v>0</v>
      </c>
      <c r="M19" s="47"/>
      <c r="N19" s="16"/>
      <c r="O19" s="17">
        <f t="shared" si="9"/>
        <v>0</v>
      </c>
      <c r="P19" s="17"/>
      <c r="Q19" s="16"/>
      <c r="R19" s="17">
        <f t="shared" si="5"/>
        <v>0</v>
      </c>
      <c r="S19" s="17"/>
      <c r="T19" s="20"/>
      <c r="U19" s="17">
        <f t="shared" si="6"/>
        <v>0</v>
      </c>
      <c r="V19" s="17"/>
      <c r="W19" s="48">
        <v>0.0</v>
      </c>
      <c r="X19" s="50">
        <v>45368.0</v>
      </c>
      <c r="Y19" s="23"/>
    </row>
    <row r="20">
      <c r="A20" s="26" t="s">
        <v>65</v>
      </c>
      <c r="B20" s="26" t="s">
        <v>160</v>
      </c>
      <c r="C20" s="62">
        <v>45358.0</v>
      </c>
      <c r="D20" s="62">
        <v>45365.0</v>
      </c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57">
        <v>5.0</v>
      </c>
      <c r="L20" s="17">
        <f t="shared" si="3"/>
        <v>942.85</v>
      </c>
      <c r="M20" s="47">
        <v>942.85</v>
      </c>
      <c r="N20" s="16"/>
      <c r="O20" s="17">
        <f t="shared" si="9"/>
        <v>0</v>
      </c>
      <c r="P20" s="17"/>
      <c r="Q20" s="16"/>
      <c r="R20" s="17">
        <f t="shared" si="5"/>
        <v>0</v>
      </c>
      <c r="S20" s="17"/>
      <c r="T20" s="20"/>
      <c r="U20" s="17">
        <f t="shared" si="6"/>
        <v>0</v>
      </c>
      <c r="V20" s="17"/>
      <c r="W20" s="48">
        <v>0.0</v>
      </c>
      <c r="X20" s="50">
        <v>45368.0</v>
      </c>
      <c r="Y20" s="23"/>
    </row>
    <row r="21">
      <c r="A21" s="58" t="s">
        <v>73</v>
      </c>
      <c r="B21" s="58" t="s">
        <v>74</v>
      </c>
      <c r="C21" s="62"/>
      <c r="D21" s="62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9"/>
        <v>0</v>
      </c>
      <c r="P21" s="17"/>
      <c r="Q21" s="16"/>
      <c r="R21" s="17">
        <f t="shared" si="5"/>
        <v>0</v>
      </c>
      <c r="S21" s="17"/>
      <c r="T21" s="63"/>
      <c r="U21" s="17">
        <f t="shared" si="6"/>
        <v>0</v>
      </c>
      <c r="V21" s="17"/>
      <c r="W21" s="21">
        <f>SUM(F21+I21+L21+O21+R21)</f>
        <v>0</v>
      </c>
      <c r="X21" s="22"/>
      <c r="Y21" s="23"/>
    </row>
    <row r="22">
      <c r="A22" s="26" t="s">
        <v>41</v>
      </c>
      <c r="B22" s="26" t="s">
        <v>42</v>
      </c>
      <c r="C22" s="62">
        <v>45358.0</v>
      </c>
      <c r="D22" s="62">
        <v>45365.0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5.0</v>
      </c>
      <c r="L22" s="17">
        <f t="shared" si="3"/>
        <v>942.85</v>
      </c>
      <c r="M22" s="47">
        <v>942.85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20"/>
      <c r="U22" s="17">
        <f t="shared" si="6"/>
        <v>0</v>
      </c>
      <c r="V22" s="17"/>
      <c r="W22" s="48">
        <v>0.0</v>
      </c>
      <c r="X22" s="50">
        <v>45368.0</v>
      </c>
      <c r="Y22" s="23"/>
    </row>
    <row r="23">
      <c r="A23" s="26" t="s">
        <v>43</v>
      </c>
      <c r="B23" s="26" t="s">
        <v>44</v>
      </c>
      <c r="C23" s="71">
        <v>45358.0</v>
      </c>
      <c r="D23" s="62">
        <v>45365.0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/>
      <c r="L23" s="17">
        <f t="shared" si="3"/>
        <v>0</v>
      </c>
      <c r="M23" s="17"/>
      <c r="N23" s="57">
        <v>5.0</v>
      </c>
      <c r="O23" s="17">
        <f t="shared" ref="O23:O45" si="10">PRODUCT(N23)*58.85</f>
        <v>294.25</v>
      </c>
      <c r="P23" s="47">
        <v>294.85</v>
      </c>
      <c r="Q23" s="16"/>
      <c r="R23" s="17">
        <f t="shared" si="5"/>
        <v>0</v>
      </c>
      <c r="S23" s="17"/>
      <c r="T23" s="20"/>
      <c r="U23" s="17">
        <f t="shared" si="6"/>
        <v>0</v>
      </c>
      <c r="V23" s="17"/>
      <c r="W23" s="48">
        <v>0.0</v>
      </c>
      <c r="X23" s="49">
        <v>45368.0</v>
      </c>
      <c r="Y23" s="23"/>
    </row>
    <row r="24">
      <c r="A24" s="26" t="s">
        <v>85</v>
      </c>
      <c r="B24" s="26" t="s">
        <v>86</v>
      </c>
      <c r="C24" s="30"/>
      <c r="D24" s="15"/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/>
      <c r="L24" s="17">
        <f t="shared" si="3"/>
        <v>0</v>
      </c>
      <c r="M24" s="47"/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20"/>
      <c r="U24" s="17">
        <f t="shared" si="6"/>
        <v>0</v>
      </c>
      <c r="V24" s="17"/>
      <c r="W24" s="21">
        <f>SUM(F24+I24+L24+O24+R24)</f>
        <v>0</v>
      </c>
      <c r="X24" s="50"/>
      <c r="Y24" s="23"/>
    </row>
    <row r="25">
      <c r="A25" s="52" t="s">
        <v>49</v>
      </c>
      <c r="B25" s="53" t="s">
        <v>50</v>
      </c>
      <c r="C25" s="62">
        <v>45358.0</v>
      </c>
      <c r="D25" s="62">
        <v>45365.0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57">
        <v>5.0</v>
      </c>
      <c r="L25" s="17">
        <f t="shared" si="3"/>
        <v>942.85</v>
      </c>
      <c r="M25" s="47">
        <v>942.85</v>
      </c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20"/>
      <c r="U25" s="17">
        <f t="shared" si="6"/>
        <v>0</v>
      </c>
      <c r="V25" s="50"/>
      <c r="W25" s="48">
        <v>0.0</v>
      </c>
      <c r="X25" s="50">
        <v>45368.0</v>
      </c>
      <c r="Y25" s="23"/>
    </row>
    <row r="26">
      <c r="A26" s="26" t="s">
        <v>161</v>
      </c>
      <c r="B26" s="26" t="s">
        <v>26</v>
      </c>
      <c r="C26" s="15"/>
      <c r="D26" s="15"/>
      <c r="E26" s="16"/>
      <c r="F26" s="17">
        <f t="shared" si="1"/>
        <v>0</v>
      </c>
      <c r="G26" s="47"/>
      <c r="H26" s="16"/>
      <c r="I26" s="17">
        <f t="shared" si="2"/>
        <v>0</v>
      </c>
      <c r="J26" s="17"/>
      <c r="K26" s="16"/>
      <c r="L26" s="17">
        <f t="shared" si="3"/>
        <v>0</v>
      </c>
      <c r="M26" s="17"/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20"/>
      <c r="U26" s="17">
        <f t="shared" si="6"/>
        <v>0</v>
      </c>
      <c r="V26" s="17"/>
      <c r="W26" s="21">
        <f>SUM(F26+I26+L26+O26+R26)</f>
        <v>0</v>
      </c>
      <c r="X26" s="26"/>
      <c r="Y26" s="23"/>
    </row>
    <row r="27" ht="15.75" customHeight="1">
      <c r="A27" s="26" t="s">
        <v>53</v>
      </c>
      <c r="B27" s="26" t="s">
        <v>54</v>
      </c>
      <c r="C27" s="62">
        <v>45344.0</v>
      </c>
      <c r="D27" s="62">
        <v>45360.0</v>
      </c>
      <c r="E27" s="16"/>
      <c r="F27" s="17">
        <f t="shared" si="1"/>
        <v>0</v>
      </c>
      <c r="G27" s="17"/>
      <c r="H27" s="57">
        <v>17.0</v>
      </c>
      <c r="I27" s="17">
        <f t="shared" si="2"/>
        <v>5385.09</v>
      </c>
      <c r="J27" s="47">
        <v>5385.09</v>
      </c>
      <c r="K27" s="16"/>
      <c r="L27" s="17">
        <f t="shared" si="3"/>
        <v>0</v>
      </c>
      <c r="M27" s="17"/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20"/>
      <c r="U27" s="17">
        <f t="shared" si="6"/>
        <v>0</v>
      </c>
      <c r="V27" s="17"/>
      <c r="W27" s="48">
        <v>0.0</v>
      </c>
      <c r="X27" s="50">
        <v>45368.0</v>
      </c>
      <c r="Y27" s="23"/>
    </row>
    <row r="28" ht="15.75" customHeight="1">
      <c r="A28" s="26" t="s">
        <v>115</v>
      </c>
      <c r="B28" s="26" t="s">
        <v>116</v>
      </c>
      <c r="C28" s="62">
        <v>45358.0</v>
      </c>
      <c r="D28" s="62">
        <v>45365.0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5.0</v>
      </c>
      <c r="L28" s="17">
        <f t="shared" si="3"/>
        <v>942.85</v>
      </c>
      <c r="M28" s="47">
        <v>942.85</v>
      </c>
      <c r="N28" s="16"/>
      <c r="O28" s="17">
        <f t="shared" si="10"/>
        <v>0</v>
      </c>
      <c r="P28" s="17"/>
      <c r="Q28" s="16"/>
      <c r="R28" s="17">
        <f t="shared" si="5"/>
        <v>0</v>
      </c>
      <c r="S28" s="17"/>
      <c r="T28" s="63"/>
      <c r="U28" s="17">
        <f t="shared" si="6"/>
        <v>0</v>
      </c>
      <c r="V28" s="17"/>
      <c r="W28" s="48">
        <v>0.0</v>
      </c>
      <c r="X28" s="50">
        <v>45368.0</v>
      </c>
      <c r="Y28" s="23"/>
    </row>
    <row r="29" ht="15.75" customHeight="1">
      <c r="A29" s="26" t="s">
        <v>148</v>
      </c>
      <c r="B29" s="26" t="s">
        <v>149</v>
      </c>
      <c r="C29" s="62">
        <v>45346.0</v>
      </c>
      <c r="D29" s="62">
        <v>45354.0</v>
      </c>
      <c r="E29" s="16"/>
      <c r="F29" s="17">
        <f t="shared" si="1"/>
        <v>0</v>
      </c>
      <c r="G29" s="17"/>
      <c r="H29" s="57">
        <v>9.0</v>
      </c>
      <c r="I29" s="17">
        <f t="shared" si="2"/>
        <v>2850.93</v>
      </c>
      <c r="J29" s="47">
        <v>2850.93</v>
      </c>
      <c r="K29" s="16"/>
      <c r="L29" s="17">
        <f t="shared" si="3"/>
        <v>0</v>
      </c>
      <c r="M29" s="17"/>
      <c r="N29" s="16"/>
      <c r="O29" s="17">
        <f t="shared" si="10"/>
        <v>0</v>
      </c>
      <c r="P29" s="17"/>
      <c r="Q29" s="16"/>
      <c r="R29" s="17">
        <f t="shared" si="5"/>
        <v>0</v>
      </c>
      <c r="S29" s="17"/>
      <c r="T29" s="20"/>
      <c r="U29" s="17">
        <f t="shared" si="6"/>
        <v>0</v>
      </c>
      <c r="V29" s="17"/>
      <c r="W29" s="21">
        <f>SUM(F29+I29+L29+O29+R29)</f>
        <v>2850.93</v>
      </c>
      <c r="X29" s="22"/>
      <c r="Y29" s="23"/>
    </row>
    <row r="30" ht="15.75" customHeight="1">
      <c r="A30" s="26" t="s">
        <v>127</v>
      </c>
      <c r="B30" s="26" t="s">
        <v>128</v>
      </c>
      <c r="C30" s="62">
        <v>45358.0</v>
      </c>
      <c r="D30" s="62">
        <v>45364.0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4.0</v>
      </c>
      <c r="L30" s="17">
        <f t="shared" si="3"/>
        <v>754.28</v>
      </c>
      <c r="M30" s="47">
        <v>754.28</v>
      </c>
      <c r="N30" s="28"/>
      <c r="O30" s="17">
        <f t="shared" si="10"/>
        <v>0</v>
      </c>
      <c r="P30" s="17"/>
      <c r="Q30" s="28"/>
      <c r="R30" s="17">
        <f t="shared" si="5"/>
        <v>0</v>
      </c>
      <c r="S30" s="17"/>
      <c r="T30" s="63"/>
      <c r="U30" s="17">
        <f t="shared" si="6"/>
        <v>0</v>
      </c>
      <c r="V30" s="17"/>
      <c r="W30" s="48">
        <v>0.0</v>
      </c>
      <c r="X30" s="49">
        <v>45368.0</v>
      </c>
      <c r="Y30" s="23"/>
    </row>
    <row r="31" ht="15.75" customHeight="1">
      <c r="A31" s="14" t="s">
        <v>69</v>
      </c>
      <c r="B31" s="14" t="s">
        <v>129</v>
      </c>
      <c r="C31" s="78">
        <v>45358.0</v>
      </c>
      <c r="D31" s="78">
        <v>41705.0</v>
      </c>
      <c r="E31" s="79"/>
      <c r="F31" s="80">
        <f t="shared" si="1"/>
        <v>0</v>
      </c>
      <c r="G31" s="80"/>
      <c r="H31" s="81"/>
      <c r="I31" s="80">
        <f t="shared" si="2"/>
        <v>0</v>
      </c>
      <c r="J31" s="80"/>
      <c r="K31" s="82">
        <v>1.0</v>
      </c>
      <c r="L31" s="80">
        <f t="shared" si="3"/>
        <v>188.57</v>
      </c>
      <c r="M31" s="47">
        <v>188.57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29"/>
      <c r="U31" s="17">
        <f t="shared" si="6"/>
        <v>0</v>
      </c>
      <c r="V31" s="50"/>
      <c r="W31" s="48">
        <v>0.0</v>
      </c>
      <c r="X31" s="50">
        <v>45368.0</v>
      </c>
      <c r="Y31" s="23"/>
    </row>
    <row r="32" ht="15.75" customHeight="1">
      <c r="A32" s="26" t="s">
        <v>65</v>
      </c>
      <c r="B32" s="58" t="s">
        <v>168</v>
      </c>
      <c r="C32" s="71">
        <v>45355.0</v>
      </c>
      <c r="D32" s="62">
        <v>45355.0</v>
      </c>
      <c r="E32" s="60">
        <v>1.0</v>
      </c>
      <c r="F32" s="17">
        <f t="shared" si="1"/>
        <v>214.22</v>
      </c>
      <c r="G32" s="47">
        <v>214.0</v>
      </c>
      <c r="H32" s="28"/>
      <c r="I32" s="17">
        <f t="shared" si="2"/>
        <v>0</v>
      </c>
      <c r="J32" s="17"/>
      <c r="K32" s="16"/>
      <c r="L32" s="17">
        <f t="shared" si="3"/>
        <v>0</v>
      </c>
      <c r="M32" s="47"/>
      <c r="N32" s="28"/>
      <c r="O32" s="17">
        <f t="shared" si="10"/>
        <v>0</v>
      </c>
      <c r="P32" s="17"/>
      <c r="Q32" s="28"/>
      <c r="R32" s="17">
        <f t="shared" si="5"/>
        <v>0</v>
      </c>
      <c r="S32" s="17"/>
      <c r="T32" s="20"/>
      <c r="U32" s="17">
        <f t="shared" si="6"/>
        <v>0</v>
      </c>
      <c r="V32" s="17"/>
      <c r="W32" s="48">
        <v>0.0</v>
      </c>
      <c r="X32" s="49">
        <v>45368.0</v>
      </c>
      <c r="Y32" s="23"/>
    </row>
    <row r="33" ht="15.75" customHeight="1">
      <c r="A33" s="26" t="s">
        <v>67</v>
      </c>
      <c r="B33" s="26" t="s">
        <v>68</v>
      </c>
      <c r="C33" s="71"/>
      <c r="D33" s="62"/>
      <c r="E33" s="28"/>
      <c r="F33" s="17">
        <f t="shared" si="1"/>
        <v>0</v>
      </c>
      <c r="G33" s="17"/>
      <c r="H33" s="28"/>
      <c r="I33" s="17">
        <f t="shared" si="2"/>
        <v>0</v>
      </c>
      <c r="J33" s="17"/>
      <c r="K33" s="16"/>
      <c r="L33" s="17">
        <f t="shared" si="3"/>
        <v>0</v>
      </c>
      <c r="M33" s="17"/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63"/>
      <c r="U33" s="17">
        <f t="shared" si="6"/>
        <v>0</v>
      </c>
      <c r="V33" s="17"/>
      <c r="W33" s="21">
        <f>SUM(F33+I33+L33+O33+R33)</f>
        <v>0</v>
      </c>
      <c r="X33" s="22"/>
      <c r="Y33" s="23"/>
    </row>
    <row r="34" ht="15.75" customHeight="1">
      <c r="A34" s="61" t="s">
        <v>161</v>
      </c>
      <c r="B34" s="61" t="s">
        <v>162</v>
      </c>
      <c r="C34" s="83">
        <v>45346.0</v>
      </c>
      <c r="D34" s="78">
        <v>45363.0</v>
      </c>
      <c r="E34" s="84"/>
      <c r="F34" s="80">
        <f t="shared" si="1"/>
        <v>0</v>
      </c>
      <c r="G34" s="85"/>
      <c r="H34" s="84">
        <v>17.0</v>
      </c>
      <c r="I34" s="80">
        <f t="shared" si="2"/>
        <v>5385.09</v>
      </c>
      <c r="J34" s="85">
        <v>5068.32</v>
      </c>
      <c r="K34" s="16"/>
      <c r="L34" s="17">
        <f t="shared" si="3"/>
        <v>0</v>
      </c>
      <c r="M34" s="17"/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29"/>
      <c r="U34" s="17">
        <f t="shared" si="6"/>
        <v>0</v>
      </c>
      <c r="V34" s="17"/>
      <c r="W34" s="48">
        <v>0.0</v>
      </c>
      <c r="X34" s="49">
        <v>45375.0</v>
      </c>
      <c r="Y34" s="23"/>
    </row>
    <row r="35" ht="15.75" customHeight="1">
      <c r="A35" s="26" t="s">
        <v>163</v>
      </c>
      <c r="B35" s="26" t="s">
        <v>164</v>
      </c>
      <c r="C35" s="62">
        <v>45358.0</v>
      </c>
      <c r="D35" s="62">
        <v>45365.0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>
        <v>5.0</v>
      </c>
      <c r="L35" s="17">
        <f t="shared" si="3"/>
        <v>942.85</v>
      </c>
      <c r="M35" s="47">
        <v>942.85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9"/>
      <c r="U35" s="17">
        <f t="shared" si="6"/>
        <v>0</v>
      </c>
      <c r="V35" s="17"/>
      <c r="W35" s="48">
        <v>0.0</v>
      </c>
      <c r="X35" s="50">
        <v>45368.0</v>
      </c>
      <c r="Y35" s="23"/>
    </row>
    <row r="36" ht="15.75" customHeight="1">
      <c r="A36" s="26" t="s">
        <v>115</v>
      </c>
      <c r="B36" s="26" t="s">
        <v>150</v>
      </c>
      <c r="C36" s="71">
        <v>45366.0</v>
      </c>
      <c r="D36" s="62">
        <v>45366.0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16"/>
      <c r="L36" s="17">
        <f t="shared" si="3"/>
        <v>0</v>
      </c>
      <c r="M36" s="17"/>
      <c r="N36" s="60">
        <v>1.0</v>
      </c>
      <c r="O36" s="17">
        <f t="shared" si="10"/>
        <v>58.85</v>
      </c>
      <c r="P36" s="47">
        <v>58.85</v>
      </c>
      <c r="Q36" s="28"/>
      <c r="R36" s="17">
        <f t="shared" si="5"/>
        <v>0</v>
      </c>
      <c r="S36" s="17"/>
      <c r="T36" s="29"/>
      <c r="U36" s="17">
        <f t="shared" si="6"/>
        <v>0</v>
      </c>
      <c r="V36" s="17"/>
      <c r="W36" s="48">
        <v>0.0</v>
      </c>
      <c r="X36" s="49">
        <v>45368.0</v>
      </c>
      <c r="Y36" s="23"/>
    </row>
    <row r="37" ht="15.75" customHeight="1">
      <c r="A37" s="26" t="s">
        <v>121</v>
      </c>
      <c r="B37" s="26" t="s">
        <v>134</v>
      </c>
      <c r="C37" s="62">
        <v>45358.0</v>
      </c>
      <c r="D37" s="62">
        <v>45365.0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5.0</v>
      </c>
      <c r="L37" s="17">
        <f t="shared" si="3"/>
        <v>942.85</v>
      </c>
      <c r="M37" s="47">
        <v>942.85</v>
      </c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72"/>
      <c r="U37" s="17">
        <f t="shared" si="6"/>
        <v>0</v>
      </c>
      <c r="V37" s="17"/>
      <c r="W37" s="48">
        <v>0.0</v>
      </c>
      <c r="X37" s="50">
        <v>45368.0</v>
      </c>
      <c r="Y37" s="23"/>
    </row>
    <row r="38" ht="15.75" customHeight="1">
      <c r="A38" s="14" t="s">
        <v>111</v>
      </c>
      <c r="B38" s="14" t="s">
        <v>112</v>
      </c>
      <c r="C38" s="78">
        <v>45358.0</v>
      </c>
      <c r="D38" s="78">
        <v>45365.0</v>
      </c>
      <c r="E38" s="86"/>
      <c r="F38" s="80">
        <f t="shared" si="1"/>
        <v>0</v>
      </c>
      <c r="G38" s="80"/>
      <c r="H38" s="86"/>
      <c r="I38" s="80">
        <f t="shared" si="2"/>
        <v>0</v>
      </c>
      <c r="J38" s="80"/>
      <c r="K38" s="87">
        <v>1.0</v>
      </c>
      <c r="L38" s="80">
        <f t="shared" si="3"/>
        <v>188.57</v>
      </c>
      <c r="M38" s="47">
        <v>188.57</v>
      </c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9"/>
      <c r="U38" s="17">
        <f t="shared" si="6"/>
        <v>0</v>
      </c>
      <c r="V38" s="17"/>
      <c r="W38" s="48">
        <v>0.0</v>
      </c>
      <c r="X38" s="50">
        <v>45368.0</v>
      </c>
      <c r="Y38" s="23"/>
    </row>
    <row r="39" ht="15.75" customHeight="1">
      <c r="A39" s="26" t="s">
        <v>79</v>
      </c>
      <c r="B39" s="26" t="s">
        <v>80</v>
      </c>
      <c r="C39" s="62">
        <v>45363.0</v>
      </c>
      <c r="D39" s="62">
        <v>45364.0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2.0</v>
      </c>
      <c r="L39" s="17">
        <f t="shared" si="3"/>
        <v>377.14</v>
      </c>
      <c r="M39" s="47">
        <v>377.14</v>
      </c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9"/>
      <c r="U39" s="17">
        <f t="shared" si="6"/>
        <v>0</v>
      </c>
      <c r="V39" s="17"/>
      <c r="W39" s="48">
        <v>0.0</v>
      </c>
      <c r="X39" s="50" t="s">
        <v>169</v>
      </c>
      <c r="Y39" s="23"/>
    </row>
    <row r="40" ht="15.75" customHeight="1">
      <c r="A40" s="26" t="s">
        <v>135</v>
      </c>
      <c r="B40" s="26" t="s">
        <v>62</v>
      </c>
      <c r="C40" s="71">
        <v>45358.0</v>
      </c>
      <c r="D40" s="71">
        <v>45365.0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3"/>
        <v>0</v>
      </c>
      <c r="M40" s="17"/>
      <c r="N40" s="60">
        <v>4.0</v>
      </c>
      <c r="O40" s="17">
        <f t="shared" si="10"/>
        <v>235.4</v>
      </c>
      <c r="P40" s="47">
        <v>235.4</v>
      </c>
      <c r="Q40" s="28"/>
      <c r="R40" s="17">
        <f t="shared" si="5"/>
        <v>0</v>
      </c>
      <c r="S40" s="17"/>
      <c r="T40" s="29"/>
      <c r="U40" s="17">
        <f t="shared" si="6"/>
        <v>0</v>
      </c>
      <c r="V40" s="50"/>
      <c r="W40" s="21">
        <f>SUM(F40+I40+L40+O40+R40)</f>
        <v>235.4</v>
      </c>
      <c r="X40" s="50">
        <v>45368.0</v>
      </c>
      <c r="Y40" s="23"/>
      <c r="Z40" s="31"/>
    </row>
    <row r="41" ht="15.75" customHeight="1">
      <c r="A41" s="58" t="s">
        <v>170</v>
      </c>
      <c r="B41" s="58" t="s">
        <v>171</v>
      </c>
      <c r="C41" s="71">
        <v>45352.0</v>
      </c>
      <c r="D41" s="62">
        <v>45352.0</v>
      </c>
      <c r="E41" s="60">
        <v>1.0</v>
      </c>
      <c r="F41" s="17">
        <f t="shared" si="1"/>
        <v>214.22</v>
      </c>
      <c r="G41" s="47">
        <v>214.0</v>
      </c>
      <c r="H41" s="28"/>
      <c r="I41" s="17">
        <f t="shared" si="2"/>
        <v>0</v>
      </c>
      <c r="J41" s="17"/>
      <c r="K41" s="16"/>
      <c r="L41" s="17">
        <f t="shared" si="3"/>
        <v>0</v>
      </c>
      <c r="M41" s="17"/>
      <c r="N41" s="28"/>
      <c r="O41" s="17">
        <f t="shared" si="10"/>
        <v>0</v>
      </c>
      <c r="P41" s="17"/>
      <c r="Q41" s="28"/>
      <c r="R41" s="17">
        <f t="shared" si="5"/>
        <v>0</v>
      </c>
      <c r="S41" s="17"/>
      <c r="T41" s="29"/>
      <c r="U41" s="17">
        <f t="shared" si="6"/>
        <v>0</v>
      </c>
      <c r="V41" s="17"/>
      <c r="W41" s="48">
        <v>0.0</v>
      </c>
      <c r="X41" s="49">
        <v>45368.0</v>
      </c>
      <c r="Y41" s="23"/>
    </row>
    <row r="42" ht="15.75" customHeight="1">
      <c r="A42" s="51" t="s">
        <v>113</v>
      </c>
      <c r="B42" s="51" t="s">
        <v>114</v>
      </c>
      <c r="C42" s="77">
        <v>45358.0</v>
      </c>
      <c r="D42" s="77">
        <v>45363.0</v>
      </c>
      <c r="E42" s="74"/>
      <c r="F42" s="66">
        <f t="shared" si="1"/>
        <v>0</v>
      </c>
      <c r="G42" s="68"/>
      <c r="H42" s="74"/>
      <c r="I42" s="66">
        <f t="shared" si="2"/>
        <v>0</v>
      </c>
      <c r="J42" s="66"/>
      <c r="K42" s="67">
        <v>3.0</v>
      </c>
      <c r="L42" s="66">
        <f t="shared" si="3"/>
        <v>565.71</v>
      </c>
      <c r="M42" s="17"/>
      <c r="N42" s="28"/>
      <c r="O42" s="17">
        <f t="shared" si="10"/>
        <v>0</v>
      </c>
      <c r="P42" s="17"/>
      <c r="Q42" s="28"/>
      <c r="R42" s="17">
        <f t="shared" si="5"/>
        <v>0</v>
      </c>
      <c r="S42" s="17"/>
      <c r="T42" s="29"/>
      <c r="U42" s="17">
        <f t="shared" si="6"/>
        <v>0</v>
      </c>
      <c r="V42" s="17"/>
      <c r="W42" s="21"/>
      <c r="X42" s="49"/>
      <c r="Y42" s="23"/>
    </row>
    <row r="43" ht="15.75" customHeight="1">
      <c r="A43" s="58" t="s">
        <v>115</v>
      </c>
      <c r="B43" s="58" t="s">
        <v>172</v>
      </c>
      <c r="C43" s="71">
        <v>45362.0</v>
      </c>
      <c r="D43" s="71">
        <v>45362.0</v>
      </c>
      <c r="E43" s="60">
        <v>1.0</v>
      </c>
      <c r="F43" s="17">
        <f t="shared" si="1"/>
        <v>214.22</v>
      </c>
      <c r="G43" s="47">
        <v>214.22</v>
      </c>
      <c r="H43" s="28"/>
      <c r="I43" s="17">
        <f t="shared" si="2"/>
        <v>0</v>
      </c>
      <c r="J43" s="47"/>
      <c r="K43" s="16"/>
      <c r="L43" s="17">
        <f t="shared" si="3"/>
        <v>0</v>
      </c>
      <c r="M43" s="17"/>
      <c r="N43" s="28"/>
      <c r="O43" s="17">
        <f t="shared" si="10"/>
        <v>0</v>
      </c>
      <c r="P43" s="17"/>
      <c r="Q43" s="28"/>
      <c r="R43" s="17">
        <f t="shared" si="5"/>
        <v>0</v>
      </c>
      <c r="S43" s="17"/>
      <c r="T43" s="20"/>
      <c r="U43" s="17">
        <f t="shared" si="6"/>
        <v>0</v>
      </c>
      <c r="V43" s="17"/>
      <c r="W43" s="48">
        <v>0.0</v>
      </c>
      <c r="X43" s="49">
        <v>45368.0</v>
      </c>
      <c r="Y43" s="23"/>
    </row>
    <row r="44" ht="15.75" customHeight="1">
      <c r="A44" s="26" t="s">
        <v>141</v>
      </c>
      <c r="B44" s="26" t="s">
        <v>142</v>
      </c>
      <c r="C44" s="62">
        <v>45358.0</v>
      </c>
      <c r="D44" s="62">
        <v>45365.0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57">
        <v>3.0</v>
      </c>
      <c r="L44" s="17">
        <f t="shared" si="3"/>
        <v>565.71</v>
      </c>
      <c r="M44" s="47">
        <v>565.71</v>
      </c>
      <c r="N44" s="28"/>
      <c r="O44" s="17">
        <f t="shared" si="10"/>
        <v>0</v>
      </c>
      <c r="P44" s="17"/>
      <c r="Q44" s="28"/>
      <c r="R44" s="17">
        <f t="shared" si="5"/>
        <v>0</v>
      </c>
      <c r="S44" s="17"/>
      <c r="T44" s="63"/>
      <c r="U44" s="17">
        <f t="shared" si="6"/>
        <v>0</v>
      </c>
      <c r="V44" s="17"/>
      <c r="W44" s="48">
        <v>0.0</v>
      </c>
      <c r="X44" s="49">
        <v>45368.0</v>
      </c>
      <c r="Y44" s="23"/>
    </row>
    <row r="45" ht="15.75" customHeight="1">
      <c r="A45" s="58" t="s">
        <v>71</v>
      </c>
      <c r="B45" s="58" t="s">
        <v>173</v>
      </c>
      <c r="C45" s="62">
        <v>45352.0</v>
      </c>
      <c r="D45" s="62">
        <v>45365.0</v>
      </c>
      <c r="E45" s="60">
        <v>1.0</v>
      </c>
      <c r="F45" s="17">
        <f t="shared" si="1"/>
        <v>214.22</v>
      </c>
      <c r="G45" s="47">
        <v>214.22</v>
      </c>
      <c r="H45" s="60"/>
      <c r="I45" s="17">
        <f t="shared" si="2"/>
        <v>0</v>
      </c>
      <c r="J45" s="17"/>
      <c r="K45" s="57">
        <v>1.0</v>
      </c>
      <c r="L45" s="17">
        <f t="shared" si="3"/>
        <v>188.57</v>
      </c>
      <c r="M45" s="47">
        <v>188.57</v>
      </c>
      <c r="N45" s="28"/>
      <c r="O45" s="17">
        <f t="shared" si="10"/>
        <v>0</v>
      </c>
      <c r="P45" s="17"/>
      <c r="Q45" s="28"/>
      <c r="R45" s="17">
        <f t="shared" si="5"/>
        <v>0</v>
      </c>
      <c r="S45" s="17"/>
      <c r="T45" s="29"/>
      <c r="U45" s="17">
        <f t="shared" si="6"/>
        <v>0</v>
      </c>
      <c r="V45" s="17"/>
      <c r="W45" s="48">
        <v>0.0</v>
      </c>
      <c r="X45" s="50">
        <v>45368.0</v>
      </c>
      <c r="Y45" s="23"/>
    </row>
    <row r="46" ht="15.75" customHeight="1">
      <c r="A46" s="40" t="s">
        <v>81</v>
      </c>
      <c r="B46" s="41"/>
      <c r="C46" s="41"/>
      <c r="D46" s="41"/>
      <c r="E46" s="42"/>
      <c r="F46" s="43">
        <f>SUM(F32:F45)</f>
        <v>856.88</v>
      </c>
      <c r="G46" s="43">
        <f>SUM(G4:G41)</f>
        <v>856.44</v>
      </c>
      <c r="H46" s="42"/>
      <c r="I46" s="43">
        <f>SUM(I4:I45)</f>
        <v>19006.2</v>
      </c>
      <c r="J46" s="43">
        <f>SUM(J4:J41)</f>
        <v>18689.43</v>
      </c>
      <c r="K46" s="42"/>
      <c r="L46" s="43">
        <f t="shared" ref="L46:M46" si="11">SUM(L4:L41)</f>
        <v>13765.61</v>
      </c>
      <c r="M46" s="43">
        <f t="shared" si="11"/>
        <v>12634.19</v>
      </c>
      <c r="N46" s="42"/>
      <c r="O46" s="43">
        <f t="shared" ref="O46:P46" si="12">SUM(O4:O41)</f>
        <v>647.35</v>
      </c>
      <c r="P46" s="43">
        <f t="shared" si="12"/>
        <v>647.95</v>
      </c>
      <c r="Q46" s="42"/>
      <c r="R46" s="43">
        <f t="shared" ref="R46:S46" si="13">SUM(R4:R41)</f>
        <v>0</v>
      </c>
      <c r="S46" s="43">
        <f t="shared" si="13"/>
        <v>0</v>
      </c>
      <c r="T46" s="42"/>
      <c r="U46" s="43">
        <f t="shared" ref="U46:W46" si="14">SUM(U4:U41)</f>
        <v>0</v>
      </c>
      <c r="V46" s="43">
        <f t="shared" si="14"/>
        <v>0</v>
      </c>
      <c r="W46" s="43">
        <f t="shared" si="14"/>
        <v>6292.02</v>
      </c>
      <c r="X46" s="41"/>
      <c r="Y46" s="44"/>
    </row>
    <row r="47" ht="15.75" customHeight="1">
      <c r="E47" s="1"/>
      <c r="H47" s="1"/>
      <c r="K47" s="1"/>
      <c r="N47" s="1"/>
      <c r="Q47" s="1"/>
      <c r="T47" s="1"/>
      <c r="W47" s="3"/>
    </row>
    <row r="48" ht="15.75" customHeight="1">
      <c r="E48" s="1"/>
      <c r="H48" s="1"/>
      <c r="K48" s="1"/>
      <c r="M48" s="75" t="s">
        <v>166</v>
      </c>
      <c r="N48" s="1"/>
      <c r="Q48" s="1"/>
      <c r="T48" s="1"/>
      <c r="W48" s="3"/>
    </row>
    <row r="49" ht="15.75" customHeight="1">
      <c r="E49" s="1"/>
      <c r="H49" s="1"/>
      <c r="K49" s="1"/>
      <c r="N49" s="1"/>
      <c r="Q49" s="1"/>
      <c r="T49" s="1"/>
      <c r="W49" s="3"/>
    </row>
    <row r="50" ht="15.75" customHeight="1">
      <c r="E50" s="1"/>
      <c r="H50" s="1"/>
      <c r="K50" s="1"/>
      <c r="N50" s="1"/>
      <c r="Q50" s="1"/>
      <c r="T50" s="1"/>
      <c r="W50" s="3"/>
    </row>
    <row r="51" ht="15.75" customHeight="1">
      <c r="E51" s="1"/>
      <c r="H51" s="1"/>
      <c r="K51" s="1"/>
      <c r="N51" s="1"/>
      <c r="Q51" s="1"/>
      <c r="T51" s="1"/>
      <c r="W51" s="3"/>
    </row>
    <row r="52" ht="15.75" customHeight="1">
      <c r="E52" s="1"/>
      <c r="H52" s="1"/>
      <c r="K52" s="1"/>
      <c r="N52" s="1"/>
      <c r="Q52" s="1"/>
      <c r="T52" s="1"/>
      <c r="W52" s="3"/>
    </row>
    <row r="53" ht="15.75" customHeight="1">
      <c r="E53" s="1"/>
      <c r="H53" s="1"/>
      <c r="K53" s="1"/>
      <c r="N53" s="1"/>
      <c r="Q53" s="1"/>
      <c r="T53" s="1"/>
      <c r="W53" s="3"/>
    </row>
    <row r="54" ht="15.75" customHeight="1">
      <c r="E54" s="1"/>
      <c r="H54" s="1"/>
      <c r="K54" s="1"/>
      <c r="N54" s="1"/>
      <c r="Q54" s="1"/>
      <c r="T54" s="1"/>
      <c r="W54" s="3"/>
    </row>
    <row r="55" ht="15.75" customHeight="1">
      <c r="E55" s="1"/>
      <c r="H55" s="1"/>
      <c r="K55" s="1"/>
      <c r="N55" s="1"/>
      <c r="Q55" s="1"/>
      <c r="T55" s="1"/>
      <c r="W55" s="3"/>
    </row>
    <row r="56" ht="15.75" customHeight="1">
      <c r="E56" s="1"/>
      <c r="H56" s="1"/>
      <c r="K56" s="1"/>
      <c r="N56" s="1"/>
      <c r="Q56" s="1"/>
      <c r="T56" s="1"/>
      <c r="W56" s="3"/>
    </row>
    <row r="57" ht="15.75" customHeight="1">
      <c r="E57" s="1"/>
      <c r="H57" s="1"/>
      <c r="K57" s="1"/>
      <c r="N57" s="1"/>
      <c r="Q57" s="1"/>
      <c r="T57" s="1"/>
      <c r="W57" s="3"/>
    </row>
    <row r="58" ht="15.75" customHeight="1">
      <c r="E58" s="1"/>
      <c r="H58" s="1"/>
      <c r="K58" s="1"/>
      <c r="N58" s="1"/>
      <c r="Q58" s="1"/>
      <c r="T58" s="1"/>
      <c r="W58" s="3"/>
    </row>
    <row r="59" ht="15.75" customHeight="1">
      <c r="E59" s="1"/>
      <c r="H59" s="1"/>
      <c r="K59" s="1"/>
      <c r="N59" s="1"/>
      <c r="Q59" s="1"/>
      <c r="T59" s="1"/>
      <c r="W59" s="3"/>
    </row>
    <row r="60" ht="15.75" customHeight="1">
      <c r="E60" s="1"/>
      <c r="H60" s="1"/>
      <c r="K60" s="1"/>
      <c r="N60" s="1"/>
      <c r="Q60" s="1"/>
      <c r="T60" s="1"/>
      <c r="W60" s="3"/>
    </row>
    <row r="61" ht="15.75" customHeight="1">
      <c r="E61" s="1"/>
      <c r="H61" s="1"/>
      <c r="K61" s="1"/>
      <c r="N61" s="1"/>
      <c r="Q61" s="1"/>
      <c r="T61" s="1"/>
      <c r="W61" s="3"/>
    </row>
    <row r="62" ht="15.75" customHeight="1">
      <c r="E62" s="1"/>
      <c r="H62" s="1"/>
      <c r="K62" s="1"/>
      <c r="N62" s="1"/>
      <c r="Q62" s="1"/>
      <c r="T62" s="1"/>
      <c r="W62" s="3"/>
    </row>
    <row r="63" ht="15.75" customHeight="1">
      <c r="E63" s="1"/>
      <c r="H63" s="1"/>
      <c r="K63" s="1"/>
      <c r="N63" s="1"/>
      <c r="Q63" s="1"/>
      <c r="T63" s="1"/>
      <c r="W63" s="3"/>
    </row>
    <row r="64" ht="15.75" customHeight="1">
      <c r="E64" s="1"/>
      <c r="H64" s="1"/>
      <c r="K64" s="1"/>
      <c r="N64" s="1"/>
      <c r="Q64" s="1"/>
      <c r="T64" s="1"/>
      <c r="W64" s="3"/>
    </row>
    <row r="65" ht="15.75" customHeight="1">
      <c r="E65" s="1"/>
      <c r="H65" s="1"/>
      <c r="K65" s="1"/>
      <c r="N65" s="1"/>
      <c r="Q65" s="1"/>
      <c r="T65" s="1"/>
      <c r="W65" s="3"/>
    </row>
    <row r="66" ht="15.75" customHeight="1">
      <c r="E66" s="1"/>
      <c r="H66" s="1"/>
      <c r="K66" s="1"/>
      <c r="N66" s="1"/>
      <c r="Q66" s="1"/>
      <c r="T66" s="1"/>
      <c r="W66" s="3"/>
    </row>
    <row r="67" ht="15.75" customHeight="1">
      <c r="E67" s="1"/>
      <c r="H67" s="1"/>
      <c r="K67" s="1"/>
      <c r="N67" s="1"/>
      <c r="Q67" s="1"/>
      <c r="T67" s="1"/>
      <c r="W67" s="3"/>
    </row>
    <row r="68" ht="15.75" customHeight="1">
      <c r="E68" s="1"/>
      <c r="H68" s="1"/>
      <c r="K68" s="1"/>
      <c r="N68" s="1"/>
      <c r="Q68" s="1"/>
      <c r="T68" s="1"/>
      <c r="W68" s="3"/>
    </row>
    <row r="69" ht="15.75" customHeight="1">
      <c r="E69" s="1"/>
      <c r="H69" s="1"/>
      <c r="K69" s="1"/>
      <c r="N69" s="1"/>
      <c r="Q69" s="1"/>
      <c r="T69" s="1"/>
      <c r="W69" s="3"/>
    </row>
    <row r="70" ht="15.75" customHeight="1">
      <c r="E70" s="1"/>
      <c r="H70" s="1"/>
      <c r="K70" s="1"/>
      <c r="N70" s="1"/>
      <c r="Q70" s="1"/>
      <c r="T70" s="1"/>
      <c r="W70" s="3"/>
    </row>
    <row r="71" ht="15.75" customHeight="1">
      <c r="E71" s="1"/>
      <c r="H71" s="1"/>
      <c r="K71" s="1"/>
      <c r="N71" s="1"/>
      <c r="Q71" s="1"/>
      <c r="T71" s="1"/>
      <c r="W71" s="3"/>
    </row>
    <row r="72" ht="15.75" customHeight="1">
      <c r="E72" s="1"/>
      <c r="H72" s="1"/>
      <c r="K72" s="1"/>
      <c r="N72" s="1"/>
      <c r="Q72" s="1"/>
      <c r="T72" s="1"/>
      <c r="W72" s="3"/>
    </row>
    <row r="73" ht="15.75" customHeight="1">
      <c r="E73" s="1"/>
      <c r="H73" s="1"/>
      <c r="K73" s="1"/>
      <c r="N73" s="1"/>
      <c r="Q73" s="1"/>
      <c r="T73" s="1"/>
      <c r="W73" s="3"/>
    </row>
    <row r="74" ht="15.75" customHeight="1">
      <c r="E74" s="1"/>
      <c r="H74" s="1"/>
      <c r="K74" s="1"/>
      <c r="N74" s="1"/>
      <c r="Q74" s="1"/>
      <c r="T74" s="1"/>
      <c r="W74" s="3"/>
    </row>
    <row r="75" ht="15.75" customHeight="1">
      <c r="E75" s="1"/>
      <c r="H75" s="1"/>
      <c r="K75" s="1"/>
      <c r="N75" s="1"/>
      <c r="Q75" s="1"/>
      <c r="T75" s="1"/>
      <c r="W75" s="3"/>
    </row>
    <row r="76" ht="15.75" customHeight="1">
      <c r="E76" s="1"/>
      <c r="H76" s="1"/>
      <c r="K76" s="1"/>
      <c r="N76" s="1"/>
      <c r="Q76" s="1"/>
      <c r="T76" s="1"/>
      <c r="W76" s="3"/>
    </row>
    <row r="77" ht="15.75" customHeight="1">
      <c r="E77" s="1"/>
      <c r="H77" s="1"/>
      <c r="K77" s="1"/>
      <c r="N77" s="1"/>
      <c r="Q77" s="1"/>
      <c r="T77" s="1"/>
      <c r="W77" s="3"/>
    </row>
    <row r="78" ht="15.75" customHeight="1">
      <c r="E78" s="1"/>
      <c r="H78" s="1"/>
      <c r="K78" s="1"/>
      <c r="N78" s="1"/>
      <c r="Q78" s="1"/>
      <c r="T78" s="1"/>
      <c r="W78" s="3"/>
    </row>
    <row r="79" ht="15.75" customHeight="1">
      <c r="E79" s="1"/>
      <c r="H79" s="1"/>
      <c r="K79" s="1"/>
      <c r="N79" s="1"/>
      <c r="Q79" s="1"/>
      <c r="T79" s="1"/>
      <c r="W79" s="3"/>
    </row>
    <row r="80" ht="15.75" customHeight="1">
      <c r="E80" s="1"/>
      <c r="H80" s="1"/>
      <c r="K80" s="1"/>
      <c r="N80" s="1"/>
      <c r="Q80" s="1"/>
      <c r="T80" s="1"/>
      <c r="W80" s="3"/>
    </row>
    <row r="81" ht="15.75" customHeight="1">
      <c r="E81" s="1"/>
      <c r="H81" s="1"/>
      <c r="K81" s="1"/>
      <c r="N81" s="1"/>
      <c r="Q81" s="1"/>
      <c r="T81" s="1"/>
      <c r="W81" s="3"/>
    </row>
    <row r="82" ht="15.75" customHeight="1">
      <c r="E82" s="1"/>
      <c r="H82" s="1"/>
      <c r="K82" s="1"/>
      <c r="N82" s="1"/>
      <c r="Q82" s="1"/>
      <c r="T82" s="1"/>
      <c r="W82" s="3"/>
    </row>
    <row r="83" ht="15.75" customHeight="1">
      <c r="E83" s="1"/>
      <c r="H83" s="1"/>
      <c r="K83" s="1"/>
      <c r="N83" s="1"/>
      <c r="Q83" s="1"/>
      <c r="T83" s="1"/>
      <c r="W83" s="3"/>
    </row>
    <row r="84" ht="15.75" customHeight="1">
      <c r="E84" s="1"/>
      <c r="H84" s="1"/>
      <c r="K84" s="1"/>
      <c r="N84" s="1"/>
      <c r="Q84" s="1"/>
      <c r="T84" s="1"/>
      <c r="W84" s="3"/>
    </row>
    <row r="85" ht="15.75" customHeight="1">
      <c r="E85" s="1"/>
      <c r="H85" s="1"/>
      <c r="K85" s="1"/>
      <c r="N85" s="1"/>
      <c r="Q85" s="1"/>
      <c r="T85" s="1"/>
      <c r="W85" s="3"/>
    </row>
    <row r="86" ht="15.75" customHeight="1">
      <c r="E86" s="1"/>
      <c r="H86" s="1"/>
      <c r="K86" s="1"/>
      <c r="N86" s="1"/>
      <c r="Q86" s="1"/>
      <c r="T86" s="1"/>
      <c r="W86" s="3"/>
    </row>
    <row r="87" ht="15.75" customHeight="1">
      <c r="E87" s="1"/>
      <c r="H87" s="1"/>
      <c r="K87" s="1"/>
      <c r="N87" s="1"/>
      <c r="Q87" s="1"/>
      <c r="T87" s="1"/>
      <c r="W87" s="3"/>
    </row>
    <row r="88" ht="15.75" customHeight="1">
      <c r="E88" s="1"/>
      <c r="H88" s="1"/>
      <c r="K88" s="1"/>
      <c r="N88" s="1"/>
      <c r="Q88" s="1"/>
      <c r="T88" s="1"/>
      <c r="W88" s="3"/>
    </row>
    <row r="89" ht="15.75" customHeight="1">
      <c r="E89" s="1"/>
      <c r="H89" s="1"/>
      <c r="K89" s="1"/>
      <c r="N89" s="1"/>
      <c r="Q89" s="1"/>
      <c r="T89" s="1"/>
      <c r="W89" s="3"/>
    </row>
    <row r="90" ht="15.75" customHeight="1">
      <c r="E90" s="1"/>
      <c r="H90" s="1"/>
      <c r="K90" s="1"/>
      <c r="N90" s="1"/>
      <c r="Q90" s="1"/>
      <c r="T90" s="1"/>
      <c r="W90" s="3"/>
    </row>
    <row r="91" ht="15.75" customHeight="1">
      <c r="E91" s="1"/>
      <c r="H91" s="1"/>
      <c r="K91" s="1"/>
      <c r="N91" s="1"/>
      <c r="Q91" s="1"/>
      <c r="T91" s="1"/>
      <c r="W91" s="3"/>
    </row>
    <row r="92" ht="15.75" customHeight="1">
      <c r="E92" s="1"/>
      <c r="H92" s="1"/>
      <c r="K92" s="1"/>
      <c r="N92" s="1"/>
      <c r="Q92" s="1"/>
      <c r="T92" s="1"/>
      <c r="W92" s="3"/>
    </row>
    <row r="93" ht="15.75" customHeight="1">
      <c r="E93" s="1"/>
      <c r="H93" s="1"/>
      <c r="K93" s="1"/>
      <c r="N93" s="1"/>
      <c r="Q93" s="1"/>
      <c r="T93" s="1"/>
      <c r="W93" s="3"/>
    </row>
    <row r="94" ht="15.75" customHeight="1">
      <c r="E94" s="1"/>
      <c r="H94" s="1"/>
      <c r="K94" s="1"/>
      <c r="N94" s="1"/>
      <c r="Q94" s="1"/>
      <c r="T94" s="1"/>
      <c r="W94" s="3"/>
    </row>
    <row r="95" ht="15.75" customHeight="1">
      <c r="E95" s="1"/>
      <c r="H95" s="1"/>
      <c r="K95" s="1"/>
      <c r="N95" s="1"/>
      <c r="Q95" s="1"/>
      <c r="T95" s="1"/>
      <c r="W95" s="3"/>
    </row>
    <row r="96" ht="15.75" customHeight="1">
      <c r="E96" s="1"/>
      <c r="H96" s="1"/>
      <c r="K96" s="1"/>
      <c r="N96" s="1"/>
      <c r="Q96" s="1"/>
      <c r="T96" s="1"/>
      <c r="W96" s="3"/>
    </row>
    <row r="97" ht="15.75" customHeight="1">
      <c r="E97" s="1"/>
      <c r="H97" s="1"/>
      <c r="K97" s="1"/>
      <c r="N97" s="1"/>
      <c r="Q97" s="1"/>
      <c r="T97" s="1"/>
      <c r="W97" s="3"/>
    </row>
    <row r="98" ht="15.75" customHeight="1">
      <c r="E98" s="1"/>
      <c r="H98" s="1"/>
      <c r="K98" s="1"/>
      <c r="N98" s="1"/>
      <c r="Q98" s="1"/>
      <c r="T98" s="1"/>
      <c r="W98" s="3"/>
    </row>
    <row r="99" ht="15.75" customHeight="1">
      <c r="E99" s="1"/>
      <c r="H99" s="1"/>
      <c r="K99" s="1"/>
      <c r="N99" s="1"/>
      <c r="Q99" s="1"/>
      <c r="T99" s="1"/>
      <c r="W99" s="3"/>
    </row>
    <row r="100" ht="15.75" customHeight="1">
      <c r="E100" s="1"/>
      <c r="H100" s="1"/>
      <c r="K100" s="1"/>
      <c r="N100" s="1"/>
      <c r="Q100" s="1"/>
      <c r="T100" s="1"/>
      <c r="W100" s="3"/>
    </row>
    <row r="101" ht="15.75" customHeight="1">
      <c r="E101" s="1"/>
      <c r="H101" s="1"/>
      <c r="K101" s="1"/>
      <c r="N101" s="1"/>
      <c r="Q101" s="1"/>
      <c r="T101" s="1"/>
      <c r="W101" s="3"/>
    </row>
    <row r="102" ht="15.75" customHeight="1">
      <c r="E102" s="1"/>
      <c r="H102" s="1"/>
      <c r="K102" s="1"/>
      <c r="N102" s="1"/>
      <c r="Q102" s="1"/>
      <c r="T102" s="1"/>
      <c r="W102" s="3"/>
    </row>
    <row r="103" ht="15.75" customHeight="1">
      <c r="E103" s="1"/>
      <c r="H103" s="1"/>
      <c r="K103" s="1"/>
      <c r="N103" s="1"/>
      <c r="Q103" s="1"/>
      <c r="T103" s="1"/>
      <c r="W103" s="3"/>
    </row>
    <row r="104" ht="15.75" customHeight="1">
      <c r="E104" s="1"/>
      <c r="H104" s="1"/>
      <c r="K104" s="1"/>
      <c r="N104" s="1"/>
      <c r="Q104" s="1"/>
      <c r="T104" s="1"/>
      <c r="W104" s="3"/>
    </row>
    <row r="105" ht="15.75" customHeight="1">
      <c r="E105" s="1"/>
      <c r="H105" s="1"/>
      <c r="K105" s="1"/>
      <c r="N105" s="1"/>
      <c r="Q105" s="1"/>
      <c r="T105" s="1"/>
      <c r="W105" s="3"/>
    </row>
    <row r="106" ht="15.75" customHeight="1">
      <c r="E106" s="1"/>
      <c r="H106" s="1"/>
      <c r="K106" s="1"/>
      <c r="N106" s="1"/>
      <c r="Q106" s="1"/>
      <c r="T106" s="1"/>
      <c r="W106" s="3"/>
    </row>
    <row r="107" ht="15.75" customHeight="1">
      <c r="E107" s="1"/>
      <c r="H107" s="1"/>
      <c r="K107" s="1"/>
      <c r="N107" s="1"/>
      <c r="Q107" s="1"/>
      <c r="T107" s="1"/>
      <c r="W107" s="3"/>
    </row>
    <row r="108" ht="15.75" customHeight="1">
      <c r="E108" s="1"/>
      <c r="H108" s="1"/>
      <c r="K108" s="1"/>
      <c r="N108" s="1"/>
      <c r="Q108" s="1"/>
      <c r="T108" s="1"/>
      <c r="W108" s="3"/>
    </row>
    <row r="109" ht="15.75" customHeight="1">
      <c r="E109" s="1"/>
      <c r="H109" s="1"/>
      <c r="K109" s="1"/>
      <c r="N109" s="1"/>
      <c r="Q109" s="1"/>
      <c r="T109" s="1"/>
      <c r="W109" s="3"/>
    </row>
    <row r="110" ht="15.75" customHeight="1">
      <c r="E110" s="1"/>
      <c r="H110" s="1"/>
      <c r="K110" s="1"/>
      <c r="N110" s="1"/>
      <c r="Q110" s="1"/>
      <c r="T110" s="1"/>
      <c r="W110" s="3"/>
    </row>
    <row r="111" ht="15.75" customHeight="1">
      <c r="E111" s="1"/>
      <c r="H111" s="1"/>
      <c r="K111" s="1"/>
      <c r="N111" s="1"/>
      <c r="Q111" s="1"/>
      <c r="T111" s="1"/>
      <c r="W111" s="3"/>
    </row>
    <row r="112" ht="15.75" customHeight="1">
      <c r="E112" s="1"/>
      <c r="H112" s="1"/>
      <c r="K112" s="1"/>
      <c r="N112" s="1"/>
      <c r="Q112" s="1"/>
      <c r="T112" s="1"/>
      <c r="W112" s="3"/>
    </row>
    <row r="113" ht="15.75" customHeight="1">
      <c r="E113" s="1"/>
      <c r="H113" s="1"/>
      <c r="K113" s="1"/>
      <c r="N113" s="1"/>
      <c r="Q113" s="1"/>
      <c r="T113" s="1"/>
      <c r="W113" s="3"/>
    </row>
    <row r="114" ht="15.75" customHeight="1">
      <c r="E114" s="1"/>
      <c r="H114" s="1"/>
      <c r="K114" s="1"/>
      <c r="N114" s="1"/>
      <c r="Q114" s="1"/>
      <c r="T114" s="1"/>
      <c r="W114" s="3"/>
    </row>
    <row r="115" ht="15.75" customHeight="1">
      <c r="E115" s="1"/>
      <c r="H115" s="1"/>
      <c r="K115" s="1"/>
      <c r="N115" s="1"/>
      <c r="Q115" s="1"/>
      <c r="T115" s="1"/>
      <c r="W115" s="3"/>
    </row>
    <row r="116" ht="15.75" customHeight="1">
      <c r="E116" s="1"/>
      <c r="H116" s="1"/>
      <c r="K116" s="1"/>
      <c r="N116" s="1"/>
      <c r="Q116" s="1"/>
      <c r="T116" s="1"/>
      <c r="W116" s="3"/>
    </row>
    <row r="117" ht="15.75" customHeight="1">
      <c r="E117" s="1"/>
      <c r="H117" s="1"/>
      <c r="K117" s="1"/>
      <c r="N117" s="1"/>
      <c r="Q117" s="1"/>
      <c r="T117" s="1"/>
      <c r="W117" s="3"/>
    </row>
    <row r="118" ht="15.75" customHeight="1">
      <c r="E118" s="1"/>
      <c r="H118" s="1"/>
      <c r="K118" s="1"/>
      <c r="N118" s="1"/>
      <c r="Q118" s="1"/>
      <c r="T118" s="1"/>
      <c r="W118" s="3"/>
    </row>
    <row r="119" ht="15.75" customHeight="1">
      <c r="E119" s="1"/>
      <c r="H119" s="1"/>
      <c r="K119" s="1"/>
      <c r="N119" s="1"/>
      <c r="Q119" s="1"/>
      <c r="T119" s="1"/>
      <c r="W119" s="3"/>
    </row>
    <row r="120" ht="15.75" customHeight="1">
      <c r="E120" s="1"/>
      <c r="H120" s="1"/>
      <c r="K120" s="1"/>
      <c r="N120" s="1"/>
      <c r="Q120" s="1"/>
      <c r="T120" s="1"/>
      <c r="W120" s="3"/>
    </row>
    <row r="121" ht="15.75" customHeight="1">
      <c r="E121" s="1"/>
      <c r="H121" s="1"/>
      <c r="K121" s="1"/>
      <c r="N121" s="1"/>
      <c r="Q121" s="1"/>
      <c r="T121" s="1"/>
      <c r="W121" s="3"/>
    </row>
    <row r="122" ht="15.75" customHeight="1">
      <c r="E122" s="1"/>
      <c r="H122" s="1"/>
      <c r="K122" s="1"/>
      <c r="N122" s="1"/>
      <c r="Q122" s="1"/>
      <c r="T122" s="1"/>
      <c r="W122" s="3"/>
    </row>
    <row r="123" ht="15.75" customHeight="1">
      <c r="E123" s="1"/>
      <c r="H123" s="1"/>
      <c r="K123" s="1"/>
      <c r="N123" s="1"/>
      <c r="Q123" s="1"/>
      <c r="T123" s="1"/>
      <c r="W123" s="3"/>
    </row>
    <row r="124" ht="15.75" customHeight="1">
      <c r="E124" s="1"/>
      <c r="H124" s="1"/>
      <c r="K124" s="1"/>
      <c r="N124" s="1"/>
      <c r="Q124" s="1"/>
      <c r="T124" s="1"/>
      <c r="W124" s="3"/>
    </row>
    <row r="125" ht="15.75" customHeight="1">
      <c r="E125" s="1"/>
      <c r="H125" s="1"/>
      <c r="K125" s="1"/>
      <c r="N125" s="1"/>
      <c r="Q125" s="1"/>
      <c r="T125" s="1"/>
      <c r="W125" s="3"/>
    </row>
    <row r="126" ht="15.75" customHeight="1">
      <c r="E126" s="1"/>
      <c r="H126" s="1"/>
      <c r="K126" s="1"/>
      <c r="N126" s="1"/>
      <c r="Q126" s="1"/>
      <c r="T126" s="1"/>
      <c r="W126" s="3"/>
    </row>
    <row r="127" ht="15.75" customHeight="1">
      <c r="E127" s="1"/>
      <c r="H127" s="1"/>
      <c r="K127" s="1"/>
      <c r="N127" s="1"/>
      <c r="Q127" s="1"/>
      <c r="T127" s="1"/>
      <c r="W127" s="3"/>
    </row>
    <row r="128" ht="15.75" customHeight="1">
      <c r="E128" s="1"/>
      <c r="H128" s="1"/>
      <c r="K128" s="1"/>
      <c r="N128" s="1"/>
      <c r="Q128" s="1"/>
      <c r="T128" s="1"/>
      <c r="W128" s="3"/>
    </row>
    <row r="129" ht="15.75" customHeight="1">
      <c r="E129" s="1"/>
      <c r="H129" s="1"/>
      <c r="K129" s="1"/>
      <c r="N129" s="1"/>
      <c r="Q129" s="1"/>
      <c r="T129" s="1"/>
      <c r="W129" s="3"/>
    </row>
    <row r="130" ht="15.75" customHeight="1">
      <c r="E130" s="1"/>
      <c r="H130" s="1"/>
      <c r="K130" s="1"/>
      <c r="N130" s="1"/>
      <c r="Q130" s="1"/>
      <c r="T130" s="1"/>
      <c r="W130" s="3"/>
    </row>
    <row r="131" ht="15.75" customHeight="1">
      <c r="E131" s="1"/>
      <c r="H131" s="1"/>
      <c r="K131" s="1"/>
      <c r="N131" s="1"/>
      <c r="Q131" s="1"/>
      <c r="T131" s="1"/>
      <c r="W131" s="3"/>
    </row>
    <row r="132" ht="15.75" customHeight="1">
      <c r="E132" s="1"/>
      <c r="H132" s="1"/>
      <c r="K132" s="1"/>
      <c r="N132" s="1"/>
      <c r="Q132" s="1"/>
      <c r="T132" s="1"/>
      <c r="W132" s="3"/>
    </row>
    <row r="133" ht="15.75" customHeight="1">
      <c r="E133" s="1"/>
      <c r="H133" s="1"/>
      <c r="K133" s="1"/>
      <c r="N133" s="1"/>
      <c r="Q133" s="1"/>
      <c r="T133" s="1"/>
      <c r="W133" s="3"/>
    </row>
    <row r="134" ht="15.75" customHeight="1">
      <c r="E134" s="1"/>
      <c r="H134" s="1"/>
      <c r="K134" s="1"/>
      <c r="N134" s="1"/>
      <c r="Q134" s="1"/>
      <c r="T134" s="1"/>
      <c r="W134" s="3"/>
    </row>
    <row r="135" ht="15.75" customHeight="1">
      <c r="E135" s="1"/>
      <c r="H135" s="1"/>
      <c r="K135" s="1"/>
      <c r="N135" s="1"/>
      <c r="Q135" s="1"/>
      <c r="T135" s="1"/>
      <c r="W135" s="3"/>
    </row>
    <row r="136" ht="15.75" customHeight="1">
      <c r="E136" s="1"/>
      <c r="H136" s="1"/>
      <c r="K136" s="1"/>
      <c r="N136" s="1"/>
      <c r="Q136" s="1"/>
      <c r="T136" s="1"/>
      <c r="W136" s="3"/>
    </row>
    <row r="137" ht="15.75" customHeight="1">
      <c r="E137" s="1"/>
      <c r="H137" s="1"/>
      <c r="K137" s="1"/>
      <c r="N137" s="1"/>
      <c r="Q137" s="1"/>
      <c r="T137" s="1"/>
      <c r="W137" s="3"/>
    </row>
    <row r="138" ht="15.75" customHeight="1">
      <c r="E138" s="1"/>
      <c r="H138" s="1"/>
      <c r="K138" s="1"/>
      <c r="N138" s="1"/>
      <c r="Q138" s="1"/>
      <c r="T138" s="1"/>
      <c r="W138" s="3"/>
    </row>
    <row r="139" ht="15.75" customHeight="1">
      <c r="E139" s="1"/>
      <c r="H139" s="1"/>
      <c r="K139" s="1"/>
      <c r="N139" s="1"/>
      <c r="Q139" s="1"/>
      <c r="T139" s="1"/>
      <c r="W139" s="3"/>
    </row>
    <row r="140" ht="15.75" customHeight="1">
      <c r="E140" s="1"/>
      <c r="H140" s="1"/>
      <c r="K140" s="1"/>
      <c r="N140" s="1"/>
      <c r="Q140" s="1"/>
      <c r="T140" s="1"/>
      <c r="W140" s="3"/>
    </row>
    <row r="141" ht="15.75" customHeight="1">
      <c r="E141" s="1"/>
      <c r="H141" s="1"/>
      <c r="K141" s="1"/>
      <c r="N141" s="1"/>
      <c r="Q141" s="1"/>
      <c r="T141" s="1"/>
      <c r="W141" s="3"/>
    </row>
    <row r="142" ht="15.75" customHeight="1">
      <c r="E142" s="1"/>
      <c r="H142" s="1"/>
      <c r="K142" s="1"/>
      <c r="N142" s="1"/>
      <c r="Q142" s="1"/>
      <c r="T142" s="1"/>
      <c r="W142" s="3"/>
    </row>
    <row r="143" ht="15.75" customHeight="1">
      <c r="E143" s="1"/>
      <c r="H143" s="1"/>
      <c r="K143" s="1"/>
      <c r="N143" s="1"/>
      <c r="Q143" s="1"/>
      <c r="T143" s="1"/>
      <c r="W143" s="3"/>
    </row>
    <row r="144" ht="15.75" customHeight="1">
      <c r="E144" s="1"/>
      <c r="H144" s="1"/>
      <c r="K144" s="1"/>
      <c r="N144" s="1"/>
      <c r="Q144" s="1"/>
      <c r="T144" s="1"/>
      <c r="W144" s="3"/>
    </row>
    <row r="145" ht="15.75" customHeight="1">
      <c r="E145" s="1"/>
      <c r="H145" s="1"/>
      <c r="K145" s="1"/>
      <c r="N145" s="1"/>
      <c r="Q145" s="1"/>
      <c r="T145" s="1"/>
      <c r="W145" s="3"/>
    </row>
    <row r="146" ht="15.75" customHeight="1">
      <c r="E146" s="1"/>
      <c r="H146" s="1"/>
      <c r="K146" s="1"/>
      <c r="N146" s="1"/>
      <c r="Q146" s="1"/>
      <c r="T146" s="1"/>
      <c r="W146" s="3"/>
    </row>
    <row r="147" ht="15.75" customHeight="1">
      <c r="E147" s="1"/>
      <c r="H147" s="1"/>
      <c r="K147" s="1"/>
      <c r="N147" s="1"/>
      <c r="Q147" s="1"/>
      <c r="T147" s="1"/>
      <c r="W147" s="3"/>
    </row>
    <row r="148" ht="15.75" customHeight="1">
      <c r="E148" s="1"/>
      <c r="H148" s="1"/>
      <c r="K148" s="1"/>
      <c r="N148" s="1"/>
      <c r="Q148" s="1"/>
      <c r="T148" s="1"/>
      <c r="W148" s="3"/>
    </row>
    <row r="149" ht="15.75" customHeight="1">
      <c r="E149" s="1"/>
      <c r="H149" s="1"/>
      <c r="K149" s="1"/>
      <c r="N149" s="1"/>
      <c r="Q149" s="1"/>
      <c r="T149" s="1"/>
      <c r="W149" s="3"/>
    </row>
    <row r="150" ht="15.75" customHeight="1">
      <c r="E150" s="1"/>
      <c r="H150" s="1"/>
      <c r="K150" s="1"/>
      <c r="N150" s="1"/>
      <c r="Q150" s="1"/>
      <c r="T150" s="1"/>
      <c r="W150" s="3"/>
    </row>
    <row r="151" ht="15.75" customHeight="1">
      <c r="E151" s="1"/>
      <c r="H151" s="1"/>
      <c r="K151" s="1"/>
      <c r="N151" s="1"/>
      <c r="Q151" s="1"/>
      <c r="T151" s="1"/>
      <c r="W151" s="3"/>
    </row>
    <row r="152" ht="15.75" customHeight="1">
      <c r="E152" s="1"/>
      <c r="H152" s="1"/>
      <c r="K152" s="1"/>
      <c r="N152" s="1"/>
      <c r="Q152" s="1"/>
      <c r="T152" s="1"/>
      <c r="W152" s="3"/>
    </row>
    <row r="153" ht="15.75" customHeight="1">
      <c r="E153" s="1"/>
      <c r="H153" s="1"/>
      <c r="K153" s="1"/>
      <c r="N153" s="1"/>
      <c r="Q153" s="1"/>
      <c r="T153" s="1"/>
      <c r="W153" s="3"/>
    </row>
    <row r="154" ht="15.75" customHeight="1">
      <c r="E154" s="1"/>
      <c r="H154" s="1"/>
      <c r="K154" s="1"/>
      <c r="N154" s="1"/>
      <c r="Q154" s="1"/>
      <c r="T154" s="1"/>
      <c r="W154" s="3"/>
    </row>
    <row r="155" ht="15.75" customHeight="1">
      <c r="E155" s="1"/>
      <c r="H155" s="1"/>
      <c r="K155" s="1"/>
      <c r="N155" s="1"/>
      <c r="Q155" s="1"/>
      <c r="T155" s="1"/>
      <c r="W155" s="3"/>
    </row>
    <row r="156" ht="15.75" customHeight="1">
      <c r="E156" s="1"/>
      <c r="H156" s="1"/>
      <c r="K156" s="1"/>
      <c r="N156" s="1"/>
      <c r="Q156" s="1"/>
      <c r="T156" s="1"/>
      <c r="W156" s="3"/>
    </row>
    <row r="157" ht="15.75" customHeight="1">
      <c r="E157" s="1"/>
      <c r="H157" s="1"/>
      <c r="K157" s="1"/>
      <c r="N157" s="1"/>
      <c r="Q157" s="1"/>
      <c r="T157" s="1"/>
      <c r="W157" s="3"/>
    </row>
    <row r="158" ht="15.75" customHeight="1">
      <c r="E158" s="1"/>
      <c r="H158" s="1"/>
      <c r="K158" s="1"/>
      <c r="N158" s="1"/>
      <c r="Q158" s="1"/>
      <c r="T158" s="1"/>
      <c r="W158" s="3"/>
    </row>
    <row r="159" ht="15.75" customHeight="1">
      <c r="E159" s="1"/>
      <c r="H159" s="1"/>
      <c r="K159" s="1"/>
      <c r="N159" s="1"/>
      <c r="Q159" s="1"/>
      <c r="T159" s="1"/>
      <c r="W159" s="3"/>
    </row>
    <row r="160" ht="15.75" customHeight="1">
      <c r="E160" s="1"/>
      <c r="H160" s="1"/>
      <c r="K160" s="1"/>
      <c r="N160" s="1"/>
      <c r="Q160" s="1"/>
      <c r="T160" s="1"/>
      <c r="W160" s="3"/>
    </row>
    <row r="161" ht="15.75" customHeight="1">
      <c r="E161" s="1"/>
      <c r="H161" s="1"/>
      <c r="K161" s="1"/>
      <c r="N161" s="1"/>
      <c r="Q161" s="1"/>
      <c r="T161" s="1"/>
      <c r="W161" s="3"/>
    </row>
    <row r="162" ht="15.75" customHeight="1">
      <c r="E162" s="1"/>
      <c r="H162" s="1"/>
      <c r="K162" s="1"/>
      <c r="N162" s="1"/>
      <c r="Q162" s="1"/>
      <c r="T162" s="1"/>
      <c r="W162" s="3"/>
    </row>
    <row r="163" ht="15.75" customHeight="1">
      <c r="E163" s="1"/>
      <c r="H163" s="1"/>
      <c r="K163" s="1"/>
      <c r="N163" s="1"/>
      <c r="Q163" s="1"/>
      <c r="T163" s="1"/>
      <c r="W163" s="3"/>
    </row>
    <row r="164" ht="15.75" customHeight="1">
      <c r="E164" s="1"/>
      <c r="H164" s="1"/>
      <c r="K164" s="1"/>
      <c r="N164" s="1"/>
      <c r="Q164" s="1"/>
      <c r="T164" s="1"/>
      <c r="W164" s="3"/>
    </row>
    <row r="165" ht="15.75" customHeight="1">
      <c r="E165" s="1"/>
      <c r="H165" s="1"/>
      <c r="K165" s="1"/>
      <c r="N165" s="1"/>
      <c r="Q165" s="1"/>
      <c r="T165" s="1"/>
      <c r="W165" s="3"/>
    </row>
    <row r="166" ht="15.75" customHeight="1">
      <c r="E166" s="1"/>
      <c r="H166" s="1"/>
      <c r="K166" s="1"/>
      <c r="N166" s="1"/>
      <c r="Q166" s="1"/>
      <c r="T166" s="1"/>
      <c r="W166" s="3"/>
    </row>
    <row r="167" ht="15.75" customHeight="1">
      <c r="E167" s="1"/>
      <c r="H167" s="1"/>
      <c r="K167" s="1"/>
      <c r="N167" s="1"/>
      <c r="Q167" s="1"/>
      <c r="T167" s="1"/>
      <c r="W167" s="3"/>
    </row>
    <row r="168" ht="15.75" customHeight="1">
      <c r="E168" s="1"/>
      <c r="H168" s="1"/>
      <c r="K168" s="1"/>
      <c r="N168" s="1"/>
      <c r="Q168" s="1"/>
      <c r="T168" s="1"/>
      <c r="W168" s="3"/>
    </row>
    <row r="169" ht="15.75" customHeight="1">
      <c r="E169" s="1"/>
      <c r="H169" s="1"/>
      <c r="K169" s="1"/>
      <c r="N169" s="1"/>
      <c r="Q169" s="1"/>
      <c r="T169" s="1"/>
      <c r="W169" s="3"/>
    </row>
    <row r="170" ht="15.75" customHeight="1">
      <c r="E170" s="1"/>
      <c r="H170" s="1"/>
      <c r="K170" s="1"/>
      <c r="N170" s="1"/>
      <c r="Q170" s="1"/>
      <c r="T170" s="1"/>
      <c r="W170" s="3"/>
    </row>
    <row r="171" ht="15.75" customHeight="1">
      <c r="E171" s="1"/>
      <c r="H171" s="1"/>
      <c r="K171" s="1"/>
      <c r="N171" s="1"/>
      <c r="Q171" s="1"/>
      <c r="T171" s="1"/>
      <c r="W171" s="3"/>
    </row>
    <row r="172" ht="15.75" customHeight="1">
      <c r="E172" s="1"/>
      <c r="H172" s="1"/>
      <c r="K172" s="1"/>
      <c r="N172" s="1"/>
      <c r="Q172" s="1"/>
      <c r="T172" s="1"/>
      <c r="W172" s="3"/>
    </row>
    <row r="173" ht="15.75" customHeight="1">
      <c r="E173" s="1"/>
      <c r="H173" s="1"/>
      <c r="K173" s="1"/>
      <c r="N173" s="1"/>
      <c r="Q173" s="1"/>
      <c r="T173" s="1"/>
      <c r="W173" s="3"/>
    </row>
    <row r="174" ht="15.75" customHeight="1">
      <c r="E174" s="1"/>
      <c r="H174" s="1"/>
      <c r="K174" s="1"/>
      <c r="N174" s="1"/>
      <c r="Q174" s="1"/>
      <c r="T174" s="1"/>
      <c r="W174" s="3"/>
    </row>
    <row r="175" ht="15.75" customHeight="1">
      <c r="E175" s="1"/>
      <c r="H175" s="1"/>
      <c r="K175" s="1"/>
      <c r="N175" s="1"/>
      <c r="Q175" s="1"/>
      <c r="T175" s="1"/>
      <c r="W175" s="3"/>
    </row>
    <row r="176" ht="15.75" customHeight="1">
      <c r="E176" s="1"/>
      <c r="H176" s="1"/>
      <c r="K176" s="1"/>
      <c r="N176" s="1"/>
      <c r="Q176" s="1"/>
      <c r="T176" s="1"/>
      <c r="W176" s="3"/>
    </row>
    <row r="177" ht="15.75" customHeight="1">
      <c r="E177" s="1"/>
      <c r="H177" s="1"/>
      <c r="K177" s="1"/>
      <c r="N177" s="1"/>
      <c r="Q177" s="1"/>
      <c r="T177" s="1"/>
      <c r="W177" s="3"/>
    </row>
    <row r="178" ht="15.75" customHeight="1">
      <c r="E178" s="1"/>
      <c r="H178" s="1"/>
      <c r="K178" s="1"/>
      <c r="N178" s="1"/>
      <c r="Q178" s="1"/>
      <c r="T178" s="1"/>
      <c r="W178" s="3"/>
    </row>
    <row r="179" ht="15.75" customHeight="1">
      <c r="E179" s="1"/>
      <c r="H179" s="1"/>
      <c r="K179" s="1"/>
      <c r="N179" s="1"/>
      <c r="Q179" s="1"/>
      <c r="T179" s="1"/>
      <c r="W179" s="3"/>
    </row>
    <row r="180" ht="15.75" customHeight="1">
      <c r="E180" s="1"/>
      <c r="H180" s="1"/>
      <c r="K180" s="1"/>
      <c r="N180" s="1"/>
      <c r="Q180" s="1"/>
      <c r="T180" s="1"/>
      <c r="W180" s="3"/>
    </row>
    <row r="181" ht="15.75" customHeight="1">
      <c r="E181" s="1"/>
      <c r="H181" s="1"/>
      <c r="K181" s="1"/>
      <c r="N181" s="1"/>
      <c r="Q181" s="1"/>
      <c r="T181" s="1"/>
      <c r="W181" s="3"/>
    </row>
    <row r="182" ht="15.75" customHeight="1">
      <c r="E182" s="1"/>
      <c r="H182" s="1"/>
      <c r="K182" s="1"/>
      <c r="N182" s="1"/>
      <c r="Q182" s="1"/>
      <c r="T182" s="1"/>
      <c r="W182" s="3"/>
    </row>
    <row r="183" ht="15.75" customHeight="1">
      <c r="E183" s="1"/>
      <c r="H183" s="1"/>
      <c r="K183" s="1"/>
      <c r="N183" s="1"/>
      <c r="Q183" s="1"/>
      <c r="T183" s="1"/>
      <c r="W183" s="3"/>
    </row>
    <row r="184" ht="15.75" customHeight="1">
      <c r="E184" s="1"/>
      <c r="H184" s="1"/>
      <c r="K184" s="1"/>
      <c r="N184" s="1"/>
      <c r="Q184" s="1"/>
      <c r="T184" s="1"/>
      <c r="W184" s="3"/>
    </row>
    <row r="185" ht="15.75" customHeight="1">
      <c r="E185" s="1"/>
      <c r="H185" s="1"/>
      <c r="K185" s="1"/>
      <c r="N185" s="1"/>
      <c r="Q185" s="1"/>
      <c r="T185" s="1"/>
      <c r="W185" s="3"/>
    </row>
    <row r="186" ht="15.75" customHeight="1">
      <c r="E186" s="1"/>
      <c r="H186" s="1"/>
      <c r="K186" s="1"/>
      <c r="N186" s="1"/>
      <c r="Q186" s="1"/>
      <c r="T186" s="1"/>
      <c r="W186" s="3"/>
    </row>
    <row r="187" ht="15.75" customHeight="1">
      <c r="E187" s="1"/>
      <c r="H187" s="1"/>
      <c r="K187" s="1"/>
      <c r="N187" s="1"/>
      <c r="Q187" s="1"/>
      <c r="T187" s="1"/>
      <c r="W187" s="3"/>
    </row>
    <row r="188" ht="15.75" customHeight="1">
      <c r="E188" s="1"/>
      <c r="H188" s="1"/>
      <c r="K188" s="1"/>
      <c r="N188" s="1"/>
      <c r="Q188" s="1"/>
      <c r="T188" s="1"/>
      <c r="W188" s="3"/>
    </row>
    <row r="189" ht="15.75" customHeight="1">
      <c r="E189" s="1"/>
      <c r="H189" s="1"/>
      <c r="K189" s="1"/>
      <c r="N189" s="1"/>
      <c r="Q189" s="1"/>
      <c r="T189" s="1"/>
      <c r="W189" s="3"/>
    </row>
    <row r="190" ht="15.75" customHeight="1">
      <c r="E190" s="1"/>
      <c r="H190" s="1"/>
      <c r="K190" s="1"/>
      <c r="N190" s="1"/>
      <c r="Q190" s="1"/>
      <c r="T190" s="1"/>
      <c r="W190" s="3"/>
    </row>
    <row r="191" ht="15.75" customHeight="1">
      <c r="E191" s="1"/>
      <c r="H191" s="1"/>
      <c r="K191" s="1"/>
      <c r="N191" s="1"/>
      <c r="Q191" s="1"/>
      <c r="T191" s="1"/>
      <c r="W191" s="3"/>
    </row>
    <row r="192" ht="15.75" customHeight="1">
      <c r="E192" s="1"/>
      <c r="H192" s="1"/>
      <c r="K192" s="1"/>
      <c r="N192" s="1"/>
      <c r="Q192" s="1"/>
      <c r="T192" s="1"/>
      <c r="W192" s="3"/>
    </row>
    <row r="193" ht="15.75" customHeight="1">
      <c r="E193" s="1"/>
      <c r="H193" s="1"/>
      <c r="K193" s="1"/>
      <c r="N193" s="1"/>
      <c r="Q193" s="1"/>
      <c r="T193" s="1"/>
      <c r="W193" s="3"/>
    </row>
    <row r="194" ht="15.75" customHeight="1">
      <c r="E194" s="1"/>
      <c r="H194" s="1"/>
      <c r="K194" s="1"/>
      <c r="N194" s="1"/>
      <c r="Q194" s="1"/>
      <c r="T194" s="1"/>
      <c r="W194" s="3"/>
    </row>
    <row r="195" ht="15.75" customHeight="1">
      <c r="E195" s="1"/>
      <c r="H195" s="1"/>
      <c r="K195" s="1"/>
      <c r="N195" s="1"/>
      <c r="Q195" s="1"/>
      <c r="T195" s="1"/>
      <c r="W195" s="3"/>
    </row>
    <row r="196" ht="15.75" customHeight="1">
      <c r="E196" s="1"/>
      <c r="H196" s="1"/>
      <c r="K196" s="1"/>
      <c r="N196" s="1"/>
      <c r="Q196" s="1"/>
      <c r="T196" s="1"/>
      <c r="W196" s="3"/>
    </row>
    <row r="197" ht="15.75" customHeight="1">
      <c r="E197" s="1"/>
      <c r="H197" s="1"/>
      <c r="K197" s="1"/>
      <c r="N197" s="1"/>
      <c r="Q197" s="1"/>
      <c r="T197" s="1"/>
      <c r="W197" s="3"/>
    </row>
    <row r="198" ht="15.75" customHeight="1">
      <c r="E198" s="1"/>
      <c r="H198" s="1"/>
      <c r="K198" s="1"/>
      <c r="N198" s="1"/>
      <c r="Q198" s="1"/>
      <c r="T198" s="1"/>
      <c r="W198" s="3"/>
    </row>
    <row r="199" ht="15.75" customHeight="1">
      <c r="E199" s="1"/>
      <c r="H199" s="1"/>
      <c r="K199" s="1"/>
      <c r="N199" s="1"/>
      <c r="Q199" s="1"/>
      <c r="T199" s="1"/>
      <c r="W199" s="3"/>
    </row>
    <row r="200" ht="15.75" customHeight="1">
      <c r="E200" s="1"/>
      <c r="H200" s="1"/>
      <c r="K200" s="1"/>
      <c r="N200" s="1"/>
      <c r="Q200" s="1"/>
      <c r="T200" s="1"/>
      <c r="W200" s="3"/>
    </row>
    <row r="201" ht="15.75" customHeight="1">
      <c r="E201" s="1"/>
      <c r="H201" s="1"/>
      <c r="K201" s="1"/>
      <c r="N201" s="1"/>
      <c r="Q201" s="1"/>
      <c r="T201" s="1"/>
      <c r="W201" s="3"/>
    </row>
    <row r="202" ht="15.75" customHeight="1">
      <c r="E202" s="1"/>
      <c r="H202" s="1"/>
      <c r="K202" s="1"/>
      <c r="N202" s="1"/>
      <c r="Q202" s="1"/>
      <c r="T202" s="1"/>
      <c r="W202" s="3"/>
    </row>
    <row r="203" ht="15.75" customHeight="1">
      <c r="E203" s="1"/>
      <c r="H203" s="1"/>
      <c r="K203" s="1"/>
      <c r="N203" s="1"/>
      <c r="Q203" s="1"/>
      <c r="T203" s="1"/>
      <c r="W203" s="3"/>
    </row>
    <row r="204" ht="15.75" customHeight="1">
      <c r="E204" s="1"/>
      <c r="H204" s="1"/>
      <c r="K204" s="1"/>
      <c r="N204" s="1"/>
      <c r="Q204" s="1"/>
      <c r="T204" s="1"/>
      <c r="W204" s="3"/>
    </row>
    <row r="205" ht="15.75" customHeight="1">
      <c r="E205" s="1"/>
      <c r="H205" s="1"/>
      <c r="K205" s="1"/>
      <c r="N205" s="1"/>
      <c r="Q205" s="1"/>
      <c r="T205" s="1"/>
      <c r="W205" s="3"/>
    </row>
    <row r="206" ht="15.75" customHeight="1">
      <c r="E206" s="1"/>
      <c r="H206" s="1"/>
      <c r="K206" s="1"/>
      <c r="N206" s="1"/>
      <c r="Q206" s="1"/>
      <c r="T206" s="1"/>
      <c r="W206" s="3"/>
    </row>
    <row r="207" ht="15.75" customHeight="1">
      <c r="E207" s="1"/>
      <c r="H207" s="1"/>
      <c r="K207" s="1"/>
      <c r="N207" s="1"/>
      <c r="Q207" s="1"/>
      <c r="T207" s="1"/>
      <c r="W207" s="3"/>
    </row>
    <row r="208" ht="15.75" customHeight="1">
      <c r="E208" s="1"/>
      <c r="H208" s="1"/>
      <c r="K208" s="1"/>
      <c r="N208" s="1"/>
      <c r="Q208" s="1"/>
      <c r="T208" s="1"/>
      <c r="W208" s="3"/>
    </row>
    <row r="209" ht="15.75" customHeight="1">
      <c r="E209" s="1"/>
      <c r="H209" s="1"/>
      <c r="K209" s="1"/>
      <c r="N209" s="1"/>
      <c r="Q209" s="1"/>
      <c r="T209" s="1"/>
      <c r="W209" s="3"/>
    </row>
    <row r="210" ht="15.75" customHeight="1">
      <c r="E210" s="1"/>
      <c r="H210" s="1"/>
      <c r="K210" s="1"/>
      <c r="N210" s="1"/>
      <c r="Q210" s="1"/>
      <c r="T210" s="1"/>
      <c r="W210" s="3"/>
    </row>
    <row r="211" ht="15.75" customHeight="1">
      <c r="E211" s="1"/>
      <c r="H211" s="1"/>
      <c r="K211" s="1"/>
      <c r="N211" s="1"/>
      <c r="Q211" s="1"/>
      <c r="T211" s="1"/>
      <c r="W211" s="3"/>
    </row>
    <row r="212" ht="15.75" customHeight="1">
      <c r="E212" s="1"/>
      <c r="H212" s="1"/>
      <c r="K212" s="1"/>
      <c r="N212" s="1"/>
      <c r="Q212" s="1"/>
      <c r="T212" s="1"/>
      <c r="W212" s="3"/>
    </row>
    <row r="213" ht="15.75" customHeight="1">
      <c r="E213" s="1"/>
      <c r="H213" s="1"/>
      <c r="K213" s="1"/>
      <c r="N213" s="1"/>
      <c r="Q213" s="1"/>
      <c r="T213" s="1"/>
      <c r="W213" s="3"/>
    </row>
    <row r="214" ht="15.75" customHeight="1">
      <c r="E214" s="1"/>
      <c r="H214" s="1"/>
      <c r="K214" s="1"/>
      <c r="N214" s="1"/>
      <c r="Q214" s="1"/>
      <c r="T214" s="1"/>
      <c r="W214" s="3"/>
    </row>
    <row r="215" ht="15.75" customHeight="1">
      <c r="E215" s="1"/>
      <c r="H215" s="1"/>
      <c r="K215" s="1"/>
      <c r="N215" s="1"/>
      <c r="Q215" s="1"/>
      <c r="T215" s="1"/>
      <c r="W215" s="3"/>
    </row>
    <row r="216" ht="15.75" customHeight="1">
      <c r="E216" s="1"/>
      <c r="H216" s="1"/>
      <c r="K216" s="1"/>
      <c r="N216" s="1"/>
      <c r="Q216" s="1"/>
      <c r="T216" s="1"/>
      <c r="W216" s="3"/>
    </row>
    <row r="217" ht="15.75" customHeight="1">
      <c r="E217" s="1"/>
      <c r="H217" s="1"/>
      <c r="K217" s="1"/>
      <c r="N217" s="1"/>
      <c r="Q217" s="1"/>
      <c r="T217" s="1"/>
      <c r="W217" s="3"/>
    </row>
    <row r="218" ht="15.75" customHeight="1">
      <c r="E218" s="1"/>
      <c r="H218" s="1"/>
      <c r="K218" s="1"/>
      <c r="N218" s="1"/>
      <c r="Q218" s="1"/>
      <c r="T218" s="1"/>
      <c r="W218" s="3"/>
    </row>
    <row r="219" ht="15.75" customHeight="1">
      <c r="E219" s="1"/>
      <c r="H219" s="1"/>
      <c r="K219" s="1"/>
      <c r="N219" s="1"/>
      <c r="Q219" s="1"/>
      <c r="T219" s="1"/>
      <c r="W219" s="3"/>
    </row>
    <row r="220" ht="15.75" customHeight="1">
      <c r="E220" s="1"/>
      <c r="H220" s="1"/>
      <c r="K220" s="1"/>
      <c r="N220" s="1"/>
      <c r="Q220" s="1"/>
      <c r="T220" s="1"/>
      <c r="W220" s="3"/>
    </row>
    <row r="221" ht="15.75" customHeight="1">
      <c r="E221" s="1"/>
      <c r="H221" s="1"/>
      <c r="K221" s="1"/>
      <c r="N221" s="1"/>
      <c r="Q221" s="1"/>
      <c r="T221" s="1"/>
      <c r="W221" s="3"/>
    </row>
    <row r="222" ht="15.75" customHeight="1">
      <c r="E222" s="1"/>
      <c r="H222" s="1"/>
      <c r="K222" s="1"/>
      <c r="N222" s="1"/>
      <c r="Q222" s="1"/>
      <c r="T222" s="1"/>
      <c r="W222" s="3"/>
    </row>
    <row r="223" ht="15.75" customHeight="1">
      <c r="E223" s="1"/>
      <c r="H223" s="1"/>
      <c r="K223" s="1"/>
      <c r="N223" s="1"/>
      <c r="Q223" s="1"/>
      <c r="T223" s="1"/>
      <c r="W223" s="3"/>
    </row>
    <row r="224" ht="15.75" customHeight="1">
      <c r="E224" s="1"/>
      <c r="H224" s="1"/>
      <c r="K224" s="1"/>
      <c r="N224" s="1"/>
      <c r="Q224" s="1"/>
      <c r="T224" s="1"/>
      <c r="W224" s="3"/>
    </row>
    <row r="225" ht="15.75" customHeight="1">
      <c r="E225" s="1"/>
      <c r="H225" s="1"/>
      <c r="K225" s="1"/>
      <c r="N225" s="1"/>
      <c r="Q225" s="1"/>
      <c r="T225" s="1"/>
      <c r="W225" s="3"/>
    </row>
    <row r="226" ht="15.75" customHeight="1">
      <c r="E226" s="1"/>
      <c r="H226" s="1"/>
      <c r="K226" s="1"/>
      <c r="N226" s="1"/>
      <c r="Q226" s="1"/>
      <c r="T226" s="1"/>
      <c r="W226" s="3"/>
    </row>
    <row r="227" ht="15.75" customHeight="1">
      <c r="E227" s="1"/>
      <c r="H227" s="1"/>
      <c r="K227" s="1"/>
      <c r="N227" s="1"/>
      <c r="Q227" s="1"/>
      <c r="T227" s="1"/>
      <c r="W227" s="3"/>
    </row>
    <row r="228" ht="15.75" customHeight="1">
      <c r="E228" s="1"/>
      <c r="H228" s="1"/>
      <c r="K228" s="1"/>
      <c r="N228" s="1"/>
      <c r="Q228" s="1"/>
      <c r="T228" s="1"/>
      <c r="W228" s="3"/>
    </row>
    <row r="229" ht="15.75" customHeight="1">
      <c r="E229" s="1"/>
      <c r="H229" s="1"/>
      <c r="K229" s="1"/>
      <c r="N229" s="1"/>
      <c r="Q229" s="1"/>
      <c r="T229" s="1"/>
      <c r="W229" s="3"/>
    </row>
    <row r="230" ht="15.75" customHeight="1">
      <c r="E230" s="1"/>
      <c r="H230" s="1"/>
      <c r="K230" s="1"/>
      <c r="N230" s="1"/>
      <c r="Q230" s="1"/>
      <c r="T230" s="1"/>
      <c r="W230" s="3"/>
    </row>
    <row r="231" ht="15.75" customHeight="1">
      <c r="E231" s="1"/>
      <c r="H231" s="1"/>
      <c r="K231" s="1"/>
      <c r="N231" s="1"/>
      <c r="Q231" s="1"/>
      <c r="T231" s="1"/>
      <c r="W231" s="3"/>
    </row>
    <row r="232" ht="15.75" customHeight="1">
      <c r="E232" s="1"/>
      <c r="H232" s="1"/>
      <c r="K232" s="1"/>
      <c r="N232" s="1"/>
      <c r="Q232" s="1"/>
      <c r="T232" s="1"/>
      <c r="W232" s="3"/>
    </row>
    <row r="233" ht="15.75" customHeight="1">
      <c r="E233" s="1"/>
      <c r="H233" s="1"/>
      <c r="K233" s="1"/>
      <c r="N233" s="1"/>
      <c r="Q233" s="1"/>
      <c r="T233" s="1"/>
      <c r="W233" s="3"/>
    </row>
    <row r="234" ht="15.75" customHeight="1">
      <c r="E234" s="1"/>
      <c r="H234" s="1"/>
      <c r="K234" s="1"/>
      <c r="N234" s="1"/>
      <c r="Q234" s="1"/>
      <c r="T234" s="1"/>
      <c r="W234" s="3"/>
    </row>
    <row r="235" ht="15.75" customHeight="1">
      <c r="E235" s="1"/>
      <c r="H235" s="1"/>
      <c r="K235" s="1"/>
      <c r="N235" s="1"/>
      <c r="Q235" s="1"/>
      <c r="T235" s="1"/>
      <c r="W235" s="3"/>
    </row>
    <row r="236" ht="15.75" customHeight="1">
      <c r="E236" s="1"/>
      <c r="H236" s="1"/>
      <c r="K236" s="1"/>
      <c r="N236" s="1"/>
      <c r="Q236" s="1"/>
      <c r="T236" s="1"/>
      <c r="W236" s="3"/>
    </row>
    <row r="237" ht="15.75" customHeight="1">
      <c r="E237" s="1"/>
      <c r="H237" s="1"/>
      <c r="K237" s="1"/>
      <c r="N237" s="1"/>
      <c r="Q237" s="1"/>
      <c r="T237" s="1"/>
      <c r="W237" s="3"/>
    </row>
    <row r="238" ht="15.75" customHeight="1">
      <c r="E238" s="1"/>
      <c r="H238" s="1"/>
      <c r="K238" s="1"/>
      <c r="N238" s="1"/>
      <c r="Q238" s="1"/>
      <c r="T238" s="1"/>
      <c r="W238" s="3"/>
    </row>
    <row r="239" ht="15.75" customHeight="1">
      <c r="E239" s="1"/>
      <c r="H239" s="1"/>
      <c r="K239" s="1"/>
      <c r="N239" s="1"/>
      <c r="Q239" s="1"/>
      <c r="T239" s="1"/>
      <c r="W239" s="3"/>
    </row>
    <row r="240" ht="15.75" customHeight="1">
      <c r="E240" s="1"/>
      <c r="H240" s="1"/>
      <c r="K240" s="1"/>
      <c r="N240" s="1"/>
      <c r="Q240" s="1"/>
      <c r="T240" s="1"/>
      <c r="W240" s="3"/>
    </row>
    <row r="241" ht="15.75" customHeight="1">
      <c r="E241" s="1"/>
      <c r="H241" s="1"/>
      <c r="K241" s="1"/>
      <c r="N241" s="1"/>
      <c r="Q241" s="1"/>
      <c r="T241" s="1"/>
      <c r="W241" s="3"/>
    </row>
    <row r="242" ht="15.75" customHeight="1">
      <c r="E242" s="1"/>
      <c r="H242" s="1"/>
      <c r="K242" s="1"/>
      <c r="N242" s="1"/>
      <c r="Q242" s="1"/>
      <c r="T242" s="1"/>
      <c r="W242" s="3"/>
    </row>
    <row r="243" ht="15.75" customHeight="1">
      <c r="E243" s="1"/>
      <c r="H243" s="1"/>
      <c r="K243" s="1"/>
      <c r="N243" s="1"/>
      <c r="Q243" s="1"/>
      <c r="T243" s="1"/>
      <c r="W243" s="3"/>
    </row>
    <row r="244" ht="15.75" customHeight="1">
      <c r="E244" s="1"/>
      <c r="H244" s="1"/>
      <c r="K244" s="1"/>
      <c r="N244" s="1"/>
      <c r="Q244" s="1"/>
      <c r="T244" s="1"/>
      <c r="W244" s="3"/>
    </row>
    <row r="245" ht="15.75" customHeight="1">
      <c r="E245" s="1"/>
      <c r="H245" s="1"/>
      <c r="K245" s="1"/>
      <c r="N245" s="1"/>
      <c r="Q245" s="1"/>
      <c r="T245" s="1"/>
      <c r="W245" s="3"/>
    </row>
    <row r="246" ht="15.75" customHeight="1">
      <c r="E246" s="1"/>
      <c r="H246" s="1"/>
      <c r="K246" s="1"/>
      <c r="N246" s="1"/>
      <c r="Q246" s="1"/>
      <c r="T246" s="1"/>
      <c r="W246" s="3"/>
    </row>
    <row r="247" ht="15.75" customHeight="1">
      <c r="E247" s="1"/>
      <c r="H247" s="1"/>
      <c r="K247" s="1"/>
      <c r="N247" s="1"/>
      <c r="Q247" s="1"/>
      <c r="T247" s="1"/>
      <c r="W247" s="3"/>
    </row>
    <row r="248" ht="15.75" customHeight="1">
      <c r="E248" s="1"/>
      <c r="H248" s="1"/>
      <c r="K248" s="1"/>
      <c r="N248" s="1"/>
      <c r="Q248" s="1"/>
      <c r="T248" s="1"/>
      <c r="W248" s="3"/>
    </row>
    <row r="249" ht="15.75" customHeight="1">
      <c r="E249" s="1"/>
      <c r="H249" s="1"/>
      <c r="K249" s="1"/>
      <c r="N249" s="1"/>
      <c r="Q249" s="1"/>
      <c r="T249" s="1"/>
      <c r="W249" s="3"/>
    </row>
    <row r="250" ht="15.75" customHeight="1">
      <c r="E250" s="1"/>
      <c r="H250" s="1"/>
      <c r="K250" s="1"/>
      <c r="N250" s="1"/>
      <c r="Q250" s="1"/>
      <c r="T250" s="1"/>
      <c r="W250" s="3"/>
    </row>
    <row r="251" ht="15.75" customHeight="1">
      <c r="E251" s="1"/>
      <c r="H251" s="1"/>
      <c r="K251" s="1"/>
      <c r="N251" s="1"/>
      <c r="Q251" s="1"/>
      <c r="T251" s="1"/>
      <c r="W251" s="3"/>
    </row>
    <row r="252" ht="15.75" customHeight="1">
      <c r="E252" s="1"/>
      <c r="H252" s="1"/>
      <c r="K252" s="1"/>
      <c r="N252" s="1"/>
      <c r="Q252" s="1"/>
      <c r="T252" s="1"/>
      <c r="W252" s="3"/>
    </row>
    <row r="253" ht="15.75" customHeight="1">
      <c r="E253" s="1"/>
      <c r="H253" s="1"/>
      <c r="K253" s="1"/>
      <c r="N253" s="1"/>
      <c r="Q253" s="1"/>
      <c r="T253" s="1"/>
      <c r="W253" s="3"/>
    </row>
    <row r="254" ht="15.75" customHeight="1">
      <c r="E254" s="1"/>
      <c r="H254" s="1"/>
      <c r="K254" s="1"/>
      <c r="N254" s="1"/>
      <c r="Q254" s="1"/>
      <c r="T254" s="1"/>
      <c r="W254" s="3"/>
    </row>
    <row r="255" ht="15.75" customHeight="1">
      <c r="E255" s="1"/>
      <c r="H255" s="1"/>
      <c r="K255" s="1"/>
      <c r="N255" s="1"/>
      <c r="Q255" s="1"/>
      <c r="T255" s="1"/>
      <c r="W255" s="3"/>
    </row>
    <row r="256" ht="15.75" customHeight="1">
      <c r="E256" s="1"/>
      <c r="H256" s="1"/>
      <c r="K256" s="1"/>
      <c r="N256" s="1"/>
      <c r="Q256" s="1"/>
      <c r="T256" s="1"/>
      <c r="W256" s="3"/>
    </row>
    <row r="257" ht="15.75" customHeight="1">
      <c r="E257" s="1"/>
      <c r="H257" s="1"/>
      <c r="K257" s="1"/>
      <c r="N257" s="1"/>
      <c r="Q257" s="1"/>
      <c r="T257" s="1"/>
      <c r="W257" s="3"/>
    </row>
    <row r="258" ht="15.75" customHeight="1">
      <c r="E258" s="1"/>
      <c r="H258" s="1"/>
      <c r="K258" s="1"/>
      <c r="N258" s="1"/>
      <c r="Q258" s="1"/>
      <c r="T258" s="1"/>
      <c r="W258" s="3"/>
    </row>
    <row r="259" ht="15.75" customHeight="1">
      <c r="E259" s="1"/>
      <c r="H259" s="1"/>
      <c r="K259" s="1"/>
      <c r="N259" s="1"/>
      <c r="Q259" s="1"/>
      <c r="T259" s="1"/>
      <c r="W259" s="3"/>
    </row>
    <row r="260" ht="15.75" customHeight="1">
      <c r="E260" s="1"/>
      <c r="H260" s="1"/>
      <c r="K260" s="1"/>
      <c r="N260" s="1"/>
      <c r="Q260" s="1"/>
      <c r="T260" s="1"/>
      <c r="W260" s="3"/>
    </row>
    <row r="261" ht="15.75" customHeight="1">
      <c r="E261" s="1"/>
      <c r="H261" s="1"/>
      <c r="K261" s="1"/>
      <c r="N261" s="1"/>
      <c r="Q261" s="1"/>
      <c r="T261" s="1"/>
      <c r="W261" s="3"/>
    </row>
    <row r="262" ht="15.75" customHeight="1">
      <c r="E262" s="1"/>
      <c r="H262" s="1"/>
      <c r="K262" s="1"/>
      <c r="N262" s="1"/>
      <c r="Q262" s="1"/>
      <c r="T262" s="1"/>
      <c r="W262" s="3"/>
    </row>
    <row r="263" ht="15.75" customHeight="1">
      <c r="E263" s="1"/>
      <c r="H263" s="1"/>
      <c r="K263" s="1"/>
      <c r="N263" s="1"/>
      <c r="Q263" s="1"/>
      <c r="T263" s="1"/>
      <c r="W263" s="3"/>
    </row>
    <row r="264" ht="15.75" customHeight="1">
      <c r="E264" s="1"/>
      <c r="H264" s="1"/>
      <c r="K264" s="1"/>
      <c r="N264" s="1"/>
      <c r="Q264" s="1"/>
      <c r="T264" s="1"/>
      <c r="W264" s="3"/>
    </row>
    <row r="265" ht="15.75" customHeight="1">
      <c r="E265" s="1"/>
      <c r="H265" s="1"/>
      <c r="K265" s="1"/>
      <c r="N265" s="1"/>
      <c r="Q265" s="1"/>
      <c r="T265" s="1"/>
      <c r="W265" s="3"/>
    </row>
    <row r="266" ht="15.75" customHeight="1">
      <c r="E266" s="1"/>
      <c r="H266" s="1"/>
      <c r="K266" s="1"/>
      <c r="N266" s="1"/>
      <c r="Q266" s="1"/>
      <c r="T266" s="1"/>
      <c r="W266" s="3"/>
    </row>
    <row r="267" ht="15.75" customHeight="1">
      <c r="E267" s="1"/>
      <c r="H267" s="1"/>
      <c r="K267" s="1"/>
      <c r="N267" s="1"/>
      <c r="Q267" s="1"/>
      <c r="T267" s="1"/>
      <c r="W267" s="3"/>
    </row>
    <row r="268" ht="15.75" customHeight="1">
      <c r="E268" s="1"/>
      <c r="H268" s="1"/>
      <c r="K268" s="1"/>
      <c r="N268" s="1"/>
      <c r="Q268" s="1"/>
      <c r="T268" s="1"/>
      <c r="W268" s="3"/>
    </row>
    <row r="269" ht="15.75" customHeight="1">
      <c r="E269" s="1"/>
      <c r="H269" s="1"/>
      <c r="K269" s="1"/>
      <c r="N269" s="1"/>
      <c r="Q269" s="1"/>
      <c r="T269" s="1"/>
      <c r="W269" s="3"/>
    </row>
    <row r="270" ht="15.75" customHeight="1">
      <c r="E270" s="1"/>
      <c r="H270" s="1"/>
      <c r="K270" s="1"/>
      <c r="N270" s="1"/>
      <c r="Q270" s="1"/>
      <c r="T270" s="1"/>
      <c r="W270" s="3"/>
    </row>
    <row r="271" ht="15.75" customHeight="1">
      <c r="E271" s="1"/>
      <c r="H271" s="1"/>
      <c r="K271" s="1"/>
      <c r="N271" s="1"/>
      <c r="Q271" s="1"/>
      <c r="T271" s="1"/>
      <c r="W271" s="3"/>
    </row>
    <row r="272" ht="15.75" customHeight="1">
      <c r="E272" s="1"/>
      <c r="H272" s="1"/>
      <c r="K272" s="1"/>
      <c r="N272" s="1"/>
      <c r="Q272" s="1"/>
      <c r="T272" s="1"/>
      <c r="W272" s="3"/>
    </row>
    <row r="273" ht="15.75" customHeight="1">
      <c r="E273" s="1"/>
      <c r="H273" s="1"/>
      <c r="K273" s="1"/>
      <c r="N273" s="1"/>
      <c r="Q273" s="1"/>
      <c r="T273" s="1"/>
      <c r="W273" s="3"/>
    </row>
    <row r="274" ht="15.75" customHeight="1">
      <c r="E274" s="1"/>
      <c r="H274" s="1"/>
      <c r="K274" s="1"/>
      <c r="N274" s="1"/>
      <c r="Q274" s="1"/>
      <c r="T274" s="1"/>
      <c r="W274" s="3"/>
    </row>
    <row r="275" ht="15.75" customHeight="1">
      <c r="E275" s="1"/>
      <c r="H275" s="1"/>
      <c r="K275" s="1"/>
      <c r="N275" s="1"/>
      <c r="Q275" s="1"/>
      <c r="T275" s="1"/>
      <c r="W275" s="3"/>
    </row>
    <row r="276" ht="15.75" customHeight="1">
      <c r="E276" s="1"/>
      <c r="H276" s="1"/>
      <c r="K276" s="1"/>
      <c r="N276" s="1"/>
      <c r="Q276" s="1"/>
      <c r="T276" s="1"/>
      <c r="W276" s="3"/>
    </row>
    <row r="277" ht="15.75" customHeight="1">
      <c r="E277" s="1"/>
      <c r="H277" s="1"/>
      <c r="K277" s="1"/>
      <c r="N277" s="1"/>
      <c r="Q277" s="1"/>
      <c r="T277" s="1"/>
      <c r="W277" s="3"/>
    </row>
    <row r="278" ht="15.75" customHeight="1">
      <c r="E278" s="1"/>
      <c r="H278" s="1"/>
      <c r="K278" s="1"/>
      <c r="N278" s="1"/>
      <c r="Q278" s="1"/>
      <c r="T278" s="1"/>
      <c r="W278" s="3"/>
    </row>
    <row r="279" ht="15.75" customHeight="1">
      <c r="E279" s="1"/>
      <c r="H279" s="1"/>
      <c r="K279" s="1"/>
      <c r="N279" s="1"/>
      <c r="Q279" s="1"/>
      <c r="T279" s="1"/>
      <c r="W279" s="3"/>
    </row>
    <row r="280" ht="15.75" customHeight="1">
      <c r="E280" s="1"/>
      <c r="H280" s="1"/>
      <c r="K280" s="1"/>
      <c r="N280" s="1"/>
      <c r="Q280" s="1"/>
      <c r="T280" s="1"/>
      <c r="W280" s="3"/>
    </row>
    <row r="281" ht="15.75" customHeight="1">
      <c r="E281" s="1"/>
      <c r="H281" s="1"/>
      <c r="K281" s="1"/>
      <c r="N281" s="1"/>
      <c r="Q281" s="1"/>
      <c r="T281" s="1"/>
      <c r="W281" s="3"/>
    </row>
    <row r="282" ht="15.75" customHeight="1">
      <c r="E282" s="1"/>
      <c r="H282" s="1"/>
      <c r="K282" s="1"/>
      <c r="N282" s="1"/>
      <c r="Q282" s="1"/>
      <c r="T282" s="1"/>
      <c r="W282" s="3"/>
    </row>
    <row r="283" ht="15.75" customHeight="1">
      <c r="E283" s="1"/>
      <c r="H283" s="1"/>
      <c r="K283" s="1"/>
      <c r="N283" s="1"/>
      <c r="Q283" s="1"/>
      <c r="T283" s="1"/>
      <c r="W283" s="3"/>
    </row>
    <row r="284" ht="15.75" customHeight="1">
      <c r="E284" s="1"/>
      <c r="H284" s="1"/>
      <c r="K284" s="1"/>
      <c r="N284" s="1"/>
      <c r="Q284" s="1"/>
      <c r="T284" s="1"/>
      <c r="W284" s="3"/>
    </row>
    <row r="285" ht="15.75" customHeight="1">
      <c r="E285" s="1"/>
      <c r="H285" s="1"/>
      <c r="K285" s="1"/>
      <c r="N285" s="1"/>
      <c r="Q285" s="1"/>
      <c r="T285" s="1"/>
      <c r="W285" s="3"/>
    </row>
    <row r="286" ht="15.75" customHeight="1">
      <c r="E286" s="1"/>
      <c r="H286" s="1"/>
      <c r="K286" s="1"/>
      <c r="N286" s="1"/>
      <c r="Q286" s="1"/>
      <c r="T286" s="1"/>
      <c r="W286" s="3"/>
    </row>
    <row r="287" ht="15.75" customHeight="1">
      <c r="E287" s="1"/>
      <c r="H287" s="1"/>
      <c r="K287" s="1"/>
      <c r="N287" s="1"/>
      <c r="Q287" s="1"/>
      <c r="T287" s="1"/>
      <c r="W287" s="3"/>
    </row>
    <row r="288" ht="15.75" customHeight="1">
      <c r="E288" s="1"/>
      <c r="H288" s="1"/>
      <c r="K288" s="1"/>
      <c r="N288" s="1"/>
      <c r="Q288" s="1"/>
      <c r="T288" s="1"/>
      <c r="W288" s="3"/>
    </row>
    <row r="289" ht="15.75" customHeight="1">
      <c r="E289" s="1"/>
      <c r="H289" s="1"/>
      <c r="K289" s="1"/>
      <c r="N289" s="1"/>
      <c r="Q289" s="1"/>
      <c r="T289" s="1"/>
      <c r="W289" s="3"/>
    </row>
    <row r="290" ht="15.75" customHeight="1">
      <c r="E290" s="1"/>
      <c r="H290" s="1"/>
      <c r="K290" s="1"/>
      <c r="N290" s="1"/>
      <c r="Q290" s="1"/>
      <c r="T290" s="1"/>
      <c r="W290" s="3"/>
    </row>
    <row r="291" ht="15.75" customHeight="1">
      <c r="E291" s="1"/>
      <c r="H291" s="1"/>
      <c r="K291" s="1"/>
      <c r="N291" s="1"/>
      <c r="Q291" s="1"/>
      <c r="T291" s="1"/>
      <c r="W291" s="3"/>
    </row>
    <row r="292" ht="15.75" customHeight="1">
      <c r="E292" s="1"/>
      <c r="H292" s="1"/>
      <c r="K292" s="1"/>
      <c r="N292" s="1"/>
      <c r="Q292" s="1"/>
      <c r="T292" s="1"/>
      <c r="W292" s="3"/>
    </row>
    <row r="293" ht="15.75" customHeight="1">
      <c r="E293" s="1"/>
      <c r="H293" s="1"/>
      <c r="K293" s="1"/>
      <c r="N293" s="1"/>
      <c r="Q293" s="1"/>
      <c r="T293" s="1"/>
      <c r="W293" s="3"/>
    </row>
    <row r="294" ht="15.75" customHeight="1">
      <c r="E294" s="1"/>
      <c r="H294" s="1"/>
      <c r="K294" s="1"/>
      <c r="N294" s="1"/>
      <c r="Q294" s="1"/>
      <c r="T294" s="1"/>
      <c r="W294" s="3"/>
    </row>
    <row r="295" ht="15.75" customHeight="1">
      <c r="E295" s="1"/>
      <c r="H295" s="1"/>
      <c r="K295" s="1"/>
      <c r="N295" s="1"/>
      <c r="Q295" s="1"/>
      <c r="T295" s="1"/>
      <c r="W295" s="3"/>
    </row>
    <row r="296" ht="15.75" customHeight="1">
      <c r="E296" s="1"/>
      <c r="H296" s="1"/>
      <c r="K296" s="1"/>
      <c r="N296" s="1"/>
      <c r="Q296" s="1"/>
      <c r="T296" s="1"/>
      <c r="W296" s="3"/>
    </row>
    <row r="297" ht="15.75" customHeight="1">
      <c r="E297" s="1"/>
      <c r="H297" s="1"/>
      <c r="K297" s="1"/>
      <c r="N297" s="1"/>
      <c r="Q297" s="1"/>
      <c r="T297" s="1"/>
      <c r="W297" s="3"/>
    </row>
    <row r="298" ht="15.75" customHeight="1">
      <c r="E298" s="1"/>
      <c r="H298" s="1"/>
      <c r="K298" s="1"/>
      <c r="N298" s="1"/>
      <c r="Q298" s="1"/>
      <c r="T298" s="1"/>
      <c r="W298" s="3"/>
    </row>
    <row r="299" ht="15.75" customHeight="1">
      <c r="E299" s="1"/>
      <c r="H299" s="1"/>
      <c r="K299" s="1"/>
      <c r="N299" s="1"/>
      <c r="Q299" s="1"/>
      <c r="T299" s="1"/>
      <c r="W299" s="3"/>
    </row>
    <row r="300" ht="15.75" customHeight="1">
      <c r="E300" s="1"/>
      <c r="H300" s="1"/>
      <c r="K300" s="1"/>
      <c r="N300" s="1"/>
      <c r="Q300" s="1"/>
      <c r="T300" s="1"/>
      <c r="W300" s="3"/>
    </row>
    <row r="301" ht="15.75" customHeight="1">
      <c r="E301" s="1"/>
      <c r="H301" s="1"/>
      <c r="K301" s="1"/>
      <c r="N301" s="1"/>
      <c r="Q301" s="1"/>
      <c r="T301" s="1"/>
      <c r="W301" s="3"/>
    </row>
    <row r="302" ht="15.75" customHeight="1">
      <c r="E302" s="1"/>
      <c r="H302" s="1"/>
      <c r="K302" s="1"/>
      <c r="N302" s="1"/>
      <c r="Q302" s="1"/>
      <c r="T302" s="1"/>
      <c r="W302" s="3"/>
    </row>
    <row r="303" ht="15.75" customHeight="1">
      <c r="E303" s="1"/>
      <c r="H303" s="1"/>
      <c r="K303" s="1"/>
      <c r="N303" s="1"/>
      <c r="Q303" s="1"/>
      <c r="T303" s="1"/>
      <c r="W303" s="3"/>
    </row>
    <row r="304" ht="15.75" customHeight="1">
      <c r="E304" s="1"/>
      <c r="H304" s="1"/>
      <c r="K304" s="1"/>
      <c r="N304" s="1"/>
      <c r="Q304" s="1"/>
      <c r="T304" s="1"/>
      <c r="W304" s="3"/>
    </row>
    <row r="305" ht="15.75" customHeight="1">
      <c r="E305" s="1"/>
      <c r="H305" s="1"/>
      <c r="K305" s="1"/>
      <c r="N305" s="1"/>
      <c r="Q305" s="1"/>
      <c r="T305" s="1"/>
      <c r="W305" s="3"/>
    </row>
    <row r="306" ht="15.75" customHeight="1">
      <c r="E306" s="1"/>
      <c r="H306" s="1"/>
      <c r="K306" s="1"/>
      <c r="N306" s="1"/>
      <c r="Q306" s="1"/>
      <c r="T306" s="1"/>
      <c r="W306" s="3"/>
    </row>
    <row r="307" ht="15.75" customHeight="1">
      <c r="E307" s="1"/>
      <c r="H307" s="1"/>
      <c r="K307" s="1"/>
      <c r="N307" s="1"/>
      <c r="Q307" s="1"/>
      <c r="T307" s="1"/>
      <c r="W307" s="3"/>
    </row>
    <row r="308" ht="15.75" customHeight="1">
      <c r="E308" s="1"/>
      <c r="H308" s="1"/>
      <c r="K308" s="1"/>
      <c r="N308" s="1"/>
      <c r="Q308" s="1"/>
      <c r="T308" s="1"/>
      <c r="W308" s="3"/>
    </row>
    <row r="309" ht="15.75" customHeight="1">
      <c r="E309" s="1"/>
      <c r="H309" s="1"/>
      <c r="K309" s="1"/>
      <c r="N309" s="1"/>
      <c r="Q309" s="1"/>
      <c r="T309" s="1"/>
      <c r="W309" s="3"/>
    </row>
    <row r="310" ht="15.75" customHeight="1">
      <c r="E310" s="1"/>
      <c r="H310" s="1"/>
      <c r="K310" s="1"/>
      <c r="N310" s="1"/>
      <c r="Q310" s="1"/>
      <c r="T310" s="1"/>
      <c r="W310" s="3"/>
    </row>
    <row r="311" ht="15.75" customHeight="1">
      <c r="E311" s="1"/>
      <c r="H311" s="1"/>
      <c r="K311" s="1"/>
      <c r="N311" s="1"/>
      <c r="Q311" s="1"/>
      <c r="T311" s="1"/>
      <c r="W311" s="3"/>
    </row>
    <row r="312" ht="15.75" customHeight="1">
      <c r="E312" s="1"/>
      <c r="H312" s="1"/>
      <c r="K312" s="1"/>
      <c r="N312" s="1"/>
      <c r="Q312" s="1"/>
      <c r="T312" s="1"/>
      <c r="W312" s="3"/>
    </row>
    <row r="313" ht="15.75" customHeight="1">
      <c r="E313" s="1"/>
      <c r="H313" s="1"/>
      <c r="K313" s="1"/>
      <c r="N313" s="1"/>
      <c r="Q313" s="1"/>
      <c r="T313" s="1"/>
      <c r="W313" s="3"/>
    </row>
    <row r="314" ht="15.75" customHeight="1">
      <c r="E314" s="1"/>
      <c r="H314" s="1"/>
      <c r="K314" s="1"/>
      <c r="N314" s="1"/>
      <c r="Q314" s="1"/>
      <c r="T314" s="1"/>
      <c r="W314" s="3"/>
    </row>
    <row r="315" ht="15.75" customHeight="1">
      <c r="E315" s="1"/>
      <c r="H315" s="1"/>
      <c r="K315" s="1"/>
      <c r="N315" s="1"/>
      <c r="Q315" s="1"/>
      <c r="T315" s="1"/>
      <c r="W315" s="3"/>
    </row>
    <row r="316" ht="15.75" customHeight="1">
      <c r="E316" s="1"/>
      <c r="H316" s="1"/>
      <c r="K316" s="1"/>
      <c r="N316" s="1"/>
      <c r="Q316" s="1"/>
      <c r="T316" s="1"/>
      <c r="W316" s="3"/>
    </row>
    <row r="317" ht="15.75" customHeight="1">
      <c r="E317" s="1"/>
      <c r="H317" s="1"/>
      <c r="K317" s="1"/>
      <c r="N317" s="1"/>
      <c r="Q317" s="1"/>
      <c r="T317" s="1"/>
      <c r="W317" s="3"/>
    </row>
    <row r="318" ht="15.75" customHeight="1">
      <c r="E318" s="1"/>
      <c r="H318" s="1"/>
      <c r="K318" s="1"/>
      <c r="N318" s="1"/>
      <c r="Q318" s="1"/>
      <c r="T318" s="1"/>
      <c r="W318" s="3"/>
    </row>
    <row r="319" ht="15.75" customHeight="1">
      <c r="E319" s="1"/>
      <c r="H319" s="1"/>
      <c r="K319" s="1"/>
      <c r="N319" s="1"/>
      <c r="Q319" s="1"/>
      <c r="T319" s="1"/>
      <c r="W319" s="3"/>
    </row>
    <row r="320" ht="15.75" customHeight="1">
      <c r="E320" s="1"/>
      <c r="H320" s="1"/>
      <c r="K320" s="1"/>
      <c r="N320" s="1"/>
      <c r="Q320" s="1"/>
      <c r="T320" s="1"/>
      <c r="W320" s="3"/>
    </row>
    <row r="321" ht="15.75" customHeight="1">
      <c r="E321" s="1"/>
      <c r="H321" s="1"/>
      <c r="K321" s="1"/>
      <c r="N321" s="1"/>
      <c r="Q321" s="1"/>
      <c r="T321" s="1"/>
      <c r="W321" s="3"/>
    </row>
    <row r="322" ht="15.75" customHeight="1">
      <c r="E322" s="1"/>
      <c r="H322" s="1"/>
      <c r="K322" s="1"/>
      <c r="N322" s="1"/>
      <c r="Q322" s="1"/>
      <c r="T322" s="1"/>
      <c r="W322" s="3"/>
    </row>
    <row r="323" ht="15.75" customHeight="1">
      <c r="E323" s="1"/>
      <c r="H323" s="1"/>
      <c r="K323" s="1"/>
      <c r="N323" s="1"/>
      <c r="Q323" s="1"/>
      <c r="T323" s="1"/>
      <c r="W323" s="3"/>
    </row>
    <row r="324" ht="15.75" customHeight="1">
      <c r="E324" s="1"/>
      <c r="H324" s="1"/>
      <c r="K324" s="1"/>
      <c r="N324" s="1"/>
      <c r="Q324" s="1"/>
      <c r="T324" s="1"/>
      <c r="W324" s="3"/>
    </row>
    <row r="325" ht="15.75" customHeight="1">
      <c r="E325" s="1"/>
      <c r="H325" s="1"/>
      <c r="K325" s="1"/>
      <c r="N325" s="1"/>
      <c r="Q325" s="1"/>
      <c r="T325" s="1"/>
      <c r="W325" s="3"/>
    </row>
    <row r="326" ht="15.75" customHeight="1">
      <c r="E326" s="1"/>
      <c r="H326" s="1"/>
      <c r="K326" s="1"/>
      <c r="N326" s="1"/>
      <c r="Q326" s="1"/>
      <c r="T326" s="1"/>
      <c r="W326" s="3"/>
    </row>
    <row r="327" ht="15.75" customHeight="1">
      <c r="E327" s="1"/>
      <c r="H327" s="1"/>
      <c r="K327" s="1"/>
      <c r="N327" s="1"/>
      <c r="Q327" s="1"/>
      <c r="T327" s="1"/>
      <c r="W327" s="3"/>
    </row>
    <row r="328" ht="15.75" customHeight="1">
      <c r="E328" s="1"/>
      <c r="H328" s="1"/>
      <c r="K328" s="1"/>
      <c r="N328" s="1"/>
      <c r="Q328" s="1"/>
      <c r="T328" s="1"/>
      <c r="W328" s="3"/>
    </row>
    <row r="329" ht="15.75" customHeight="1">
      <c r="E329" s="1"/>
      <c r="H329" s="1"/>
      <c r="K329" s="1"/>
      <c r="N329" s="1"/>
      <c r="Q329" s="1"/>
      <c r="T329" s="1"/>
      <c r="W329" s="3"/>
    </row>
    <row r="330" ht="15.75" customHeight="1">
      <c r="E330" s="1"/>
      <c r="H330" s="1"/>
      <c r="K330" s="1"/>
      <c r="N330" s="1"/>
      <c r="Q330" s="1"/>
      <c r="T330" s="1"/>
      <c r="W330" s="3"/>
    </row>
    <row r="331" ht="15.75" customHeight="1">
      <c r="E331" s="1"/>
      <c r="H331" s="1"/>
      <c r="K331" s="1"/>
      <c r="N331" s="1"/>
      <c r="Q331" s="1"/>
      <c r="T331" s="1"/>
      <c r="W331" s="3"/>
    </row>
    <row r="332" ht="15.75" customHeight="1">
      <c r="E332" s="1"/>
      <c r="H332" s="1"/>
      <c r="K332" s="1"/>
      <c r="N332" s="1"/>
      <c r="Q332" s="1"/>
      <c r="T332" s="1"/>
      <c r="W332" s="3"/>
    </row>
    <row r="333" ht="15.75" customHeight="1">
      <c r="E333" s="1"/>
      <c r="H333" s="1"/>
      <c r="K333" s="1"/>
      <c r="N333" s="1"/>
      <c r="Q333" s="1"/>
      <c r="T333" s="1"/>
      <c r="W333" s="3"/>
    </row>
    <row r="334" ht="15.75" customHeight="1">
      <c r="E334" s="1"/>
      <c r="H334" s="1"/>
      <c r="K334" s="1"/>
      <c r="N334" s="1"/>
      <c r="Q334" s="1"/>
      <c r="T334" s="1"/>
      <c r="W334" s="3"/>
    </row>
    <row r="335" ht="15.75" customHeight="1">
      <c r="E335" s="1"/>
      <c r="H335" s="1"/>
      <c r="K335" s="1"/>
      <c r="N335" s="1"/>
      <c r="Q335" s="1"/>
      <c r="T335" s="1"/>
      <c r="W335" s="3"/>
    </row>
    <row r="336" ht="15.75" customHeight="1">
      <c r="E336" s="1"/>
      <c r="H336" s="1"/>
      <c r="K336" s="1"/>
      <c r="N336" s="1"/>
      <c r="Q336" s="1"/>
      <c r="T336" s="1"/>
      <c r="W336" s="3"/>
    </row>
    <row r="337" ht="15.75" customHeight="1">
      <c r="E337" s="1"/>
      <c r="H337" s="1"/>
      <c r="K337" s="1"/>
      <c r="N337" s="1"/>
      <c r="Q337" s="1"/>
      <c r="T337" s="1"/>
      <c r="W337" s="3"/>
    </row>
    <row r="338" ht="15.75" customHeight="1">
      <c r="E338" s="1"/>
      <c r="H338" s="1"/>
      <c r="K338" s="1"/>
      <c r="N338" s="1"/>
      <c r="Q338" s="1"/>
      <c r="T338" s="1"/>
      <c r="W338" s="3"/>
    </row>
    <row r="339" ht="15.75" customHeight="1">
      <c r="E339" s="1"/>
      <c r="H339" s="1"/>
      <c r="K339" s="1"/>
      <c r="N339" s="1"/>
      <c r="Q339" s="1"/>
      <c r="T339" s="1"/>
      <c r="W339" s="3"/>
    </row>
    <row r="340" ht="15.75" customHeight="1">
      <c r="E340" s="1"/>
      <c r="H340" s="1"/>
      <c r="K340" s="1"/>
      <c r="N340" s="1"/>
      <c r="Q340" s="1"/>
      <c r="T340" s="1"/>
      <c r="W340" s="3"/>
    </row>
    <row r="341" ht="15.75" customHeight="1">
      <c r="E341" s="1"/>
      <c r="H341" s="1"/>
      <c r="K341" s="1"/>
      <c r="N341" s="1"/>
      <c r="Q341" s="1"/>
      <c r="T341" s="1"/>
      <c r="W341" s="3"/>
    </row>
    <row r="342" ht="15.75" customHeight="1">
      <c r="E342" s="1"/>
      <c r="H342" s="1"/>
      <c r="K342" s="1"/>
      <c r="N342" s="1"/>
      <c r="Q342" s="1"/>
      <c r="T342" s="1"/>
      <c r="W342" s="3"/>
    </row>
    <row r="343" ht="15.75" customHeight="1">
      <c r="E343" s="1"/>
      <c r="H343" s="1"/>
      <c r="K343" s="1"/>
      <c r="N343" s="1"/>
      <c r="Q343" s="1"/>
      <c r="T343" s="1"/>
      <c r="W343" s="3"/>
    </row>
    <row r="344" ht="15.75" customHeight="1">
      <c r="E344" s="1"/>
      <c r="H344" s="1"/>
      <c r="K344" s="1"/>
      <c r="N344" s="1"/>
      <c r="Q344" s="1"/>
      <c r="T344" s="1"/>
      <c r="W344" s="3"/>
    </row>
    <row r="345" ht="15.75" customHeight="1">
      <c r="E345" s="1"/>
      <c r="H345" s="1"/>
      <c r="K345" s="1"/>
      <c r="N345" s="1"/>
      <c r="Q345" s="1"/>
      <c r="T345" s="1"/>
      <c r="W345" s="3"/>
    </row>
    <row r="346" ht="15.75" customHeight="1">
      <c r="E346" s="1"/>
      <c r="H346" s="1"/>
      <c r="K346" s="1"/>
      <c r="N346" s="1"/>
      <c r="Q346" s="1"/>
      <c r="T346" s="1"/>
      <c r="W346" s="3"/>
    </row>
    <row r="347" ht="15.75" customHeight="1">
      <c r="E347" s="1"/>
      <c r="H347" s="1"/>
      <c r="K347" s="1"/>
      <c r="N347" s="1"/>
      <c r="Q347" s="1"/>
      <c r="T347" s="1"/>
      <c r="W347" s="3"/>
    </row>
    <row r="348" ht="15.75" customHeight="1">
      <c r="E348" s="1"/>
      <c r="H348" s="1"/>
      <c r="K348" s="1"/>
      <c r="N348" s="1"/>
      <c r="Q348" s="1"/>
      <c r="T348" s="1"/>
      <c r="W348" s="3"/>
    </row>
    <row r="349" ht="15.75" customHeight="1">
      <c r="E349" s="1"/>
      <c r="H349" s="1"/>
      <c r="K349" s="1"/>
      <c r="N349" s="1"/>
      <c r="Q349" s="1"/>
      <c r="T349" s="1"/>
      <c r="W349" s="3"/>
    </row>
    <row r="350" ht="15.75" customHeight="1">
      <c r="E350" s="1"/>
      <c r="H350" s="1"/>
      <c r="K350" s="1"/>
      <c r="N350" s="1"/>
      <c r="Q350" s="1"/>
      <c r="T350" s="1"/>
      <c r="W350" s="3"/>
    </row>
    <row r="351" ht="15.75" customHeight="1">
      <c r="E351" s="1"/>
      <c r="H351" s="1"/>
      <c r="K351" s="1"/>
      <c r="N351" s="1"/>
      <c r="Q351" s="1"/>
      <c r="T351" s="1"/>
      <c r="W351" s="3"/>
    </row>
    <row r="352" ht="15.75" customHeight="1">
      <c r="E352" s="1"/>
      <c r="H352" s="1"/>
      <c r="K352" s="1"/>
      <c r="N352" s="1"/>
      <c r="Q352" s="1"/>
      <c r="T352" s="1"/>
      <c r="W352" s="3"/>
    </row>
    <row r="353" ht="15.75" customHeight="1">
      <c r="E353" s="1"/>
      <c r="H353" s="1"/>
      <c r="K353" s="1"/>
      <c r="N353" s="1"/>
      <c r="Q353" s="1"/>
      <c r="T353" s="1"/>
      <c r="W353" s="3"/>
    </row>
    <row r="354" ht="15.75" customHeight="1">
      <c r="E354" s="1"/>
      <c r="H354" s="1"/>
      <c r="K354" s="1"/>
      <c r="N354" s="1"/>
      <c r="Q354" s="1"/>
      <c r="T354" s="1"/>
      <c r="W354" s="3"/>
    </row>
    <row r="355" ht="15.75" customHeight="1">
      <c r="E355" s="1"/>
      <c r="H355" s="1"/>
      <c r="K355" s="1"/>
      <c r="N355" s="1"/>
      <c r="Q355" s="1"/>
      <c r="T355" s="1"/>
      <c r="W355" s="3"/>
    </row>
    <row r="356" ht="15.75" customHeight="1">
      <c r="E356" s="1"/>
      <c r="H356" s="1"/>
      <c r="K356" s="1"/>
      <c r="N356" s="1"/>
      <c r="Q356" s="1"/>
      <c r="T356" s="1"/>
      <c r="W356" s="3"/>
    </row>
    <row r="357" ht="15.75" customHeight="1">
      <c r="E357" s="1"/>
      <c r="H357" s="1"/>
      <c r="K357" s="1"/>
      <c r="N357" s="1"/>
      <c r="Q357" s="1"/>
      <c r="T357" s="1"/>
      <c r="W357" s="3"/>
    </row>
    <row r="358" ht="15.75" customHeight="1">
      <c r="E358" s="1"/>
      <c r="H358" s="1"/>
      <c r="K358" s="1"/>
      <c r="N358" s="1"/>
      <c r="Q358" s="1"/>
      <c r="T358" s="1"/>
      <c r="W358" s="3"/>
    </row>
    <row r="359" ht="15.75" customHeight="1">
      <c r="E359" s="1"/>
      <c r="H359" s="1"/>
      <c r="K359" s="1"/>
      <c r="N359" s="1"/>
      <c r="Q359" s="1"/>
      <c r="T359" s="1"/>
      <c r="W359" s="3"/>
    </row>
    <row r="360" ht="15.75" customHeight="1">
      <c r="E360" s="1"/>
      <c r="H360" s="1"/>
      <c r="K360" s="1"/>
      <c r="N360" s="1"/>
      <c r="Q360" s="1"/>
      <c r="T360" s="1"/>
      <c r="W360" s="3"/>
    </row>
    <row r="361" ht="15.75" customHeight="1">
      <c r="E361" s="1"/>
      <c r="H361" s="1"/>
      <c r="K361" s="1"/>
      <c r="N361" s="1"/>
      <c r="Q361" s="1"/>
      <c r="T361" s="1"/>
      <c r="W361" s="3"/>
    </row>
    <row r="362" ht="15.75" customHeight="1">
      <c r="E362" s="1"/>
      <c r="H362" s="1"/>
      <c r="K362" s="1"/>
      <c r="N362" s="1"/>
      <c r="Q362" s="1"/>
      <c r="T362" s="1"/>
      <c r="W362" s="3"/>
    </row>
    <row r="363" ht="15.75" customHeight="1">
      <c r="E363" s="1"/>
      <c r="H363" s="1"/>
      <c r="K363" s="1"/>
      <c r="N363" s="1"/>
      <c r="Q363" s="1"/>
      <c r="T363" s="1"/>
      <c r="W363" s="3"/>
    </row>
    <row r="364" ht="15.75" customHeight="1">
      <c r="E364" s="1"/>
      <c r="H364" s="1"/>
      <c r="K364" s="1"/>
      <c r="N364" s="1"/>
      <c r="Q364" s="1"/>
      <c r="T364" s="1"/>
      <c r="W364" s="3"/>
    </row>
    <row r="365" ht="15.75" customHeight="1">
      <c r="E365" s="1"/>
      <c r="H365" s="1"/>
      <c r="K365" s="1"/>
      <c r="N365" s="1"/>
      <c r="Q365" s="1"/>
      <c r="T365" s="1"/>
      <c r="W365" s="3"/>
    </row>
    <row r="366" ht="15.75" customHeight="1">
      <c r="E366" s="1"/>
      <c r="H366" s="1"/>
      <c r="K366" s="1"/>
      <c r="N366" s="1"/>
      <c r="Q366" s="1"/>
      <c r="T366" s="1"/>
      <c r="W366" s="3"/>
    </row>
    <row r="367" ht="15.75" customHeight="1">
      <c r="E367" s="1"/>
      <c r="H367" s="1"/>
      <c r="K367" s="1"/>
      <c r="N367" s="1"/>
      <c r="Q367" s="1"/>
      <c r="T367" s="1"/>
      <c r="W367" s="3"/>
    </row>
    <row r="368" ht="15.75" customHeight="1">
      <c r="E368" s="1"/>
      <c r="H368" s="1"/>
      <c r="K368" s="1"/>
      <c r="N368" s="1"/>
      <c r="Q368" s="1"/>
      <c r="T368" s="1"/>
      <c r="W368" s="3"/>
    </row>
    <row r="369" ht="15.75" customHeight="1">
      <c r="E369" s="1"/>
      <c r="H369" s="1"/>
      <c r="K369" s="1"/>
      <c r="N369" s="1"/>
      <c r="Q369" s="1"/>
      <c r="T369" s="1"/>
      <c r="W369" s="3"/>
    </row>
    <row r="370" ht="15.75" customHeight="1">
      <c r="E370" s="1"/>
      <c r="H370" s="1"/>
      <c r="K370" s="1"/>
      <c r="N370" s="1"/>
      <c r="Q370" s="1"/>
      <c r="T370" s="1"/>
      <c r="W370" s="3"/>
    </row>
    <row r="371" ht="15.75" customHeight="1">
      <c r="E371" s="1"/>
      <c r="H371" s="1"/>
      <c r="K371" s="1"/>
      <c r="N371" s="1"/>
      <c r="Q371" s="1"/>
      <c r="T371" s="1"/>
      <c r="W371" s="3"/>
    </row>
    <row r="372" ht="15.75" customHeight="1">
      <c r="E372" s="1"/>
      <c r="H372" s="1"/>
      <c r="K372" s="1"/>
      <c r="N372" s="1"/>
      <c r="Q372" s="1"/>
      <c r="T372" s="1"/>
      <c r="W372" s="3"/>
    </row>
    <row r="373" ht="15.75" customHeight="1">
      <c r="E373" s="1"/>
      <c r="H373" s="1"/>
      <c r="K373" s="1"/>
      <c r="N373" s="1"/>
      <c r="Q373" s="1"/>
      <c r="T373" s="1"/>
      <c r="W373" s="3"/>
    </row>
    <row r="374" ht="15.75" customHeight="1">
      <c r="E374" s="1"/>
      <c r="H374" s="1"/>
      <c r="K374" s="1"/>
      <c r="N374" s="1"/>
      <c r="Q374" s="1"/>
      <c r="T374" s="1"/>
      <c r="W374" s="3"/>
    </row>
    <row r="375" ht="15.75" customHeight="1">
      <c r="E375" s="1"/>
      <c r="H375" s="1"/>
      <c r="K375" s="1"/>
      <c r="N375" s="1"/>
      <c r="Q375" s="1"/>
      <c r="T375" s="1"/>
      <c r="W375" s="3"/>
    </row>
    <row r="376" ht="15.75" customHeight="1">
      <c r="E376" s="1"/>
      <c r="H376" s="1"/>
      <c r="K376" s="1"/>
      <c r="N376" s="1"/>
      <c r="Q376" s="1"/>
      <c r="T376" s="1"/>
      <c r="W376" s="3"/>
    </row>
    <row r="377" ht="15.75" customHeight="1">
      <c r="E377" s="1"/>
      <c r="H377" s="1"/>
      <c r="K377" s="1"/>
      <c r="N377" s="1"/>
      <c r="Q377" s="1"/>
      <c r="T377" s="1"/>
      <c r="W377" s="3"/>
    </row>
    <row r="378" ht="15.75" customHeight="1">
      <c r="E378" s="1"/>
      <c r="H378" s="1"/>
      <c r="K378" s="1"/>
      <c r="N378" s="1"/>
      <c r="Q378" s="1"/>
      <c r="T378" s="1"/>
      <c r="W378" s="3"/>
    </row>
    <row r="379" ht="15.75" customHeight="1">
      <c r="E379" s="1"/>
      <c r="H379" s="1"/>
      <c r="K379" s="1"/>
      <c r="N379" s="1"/>
      <c r="Q379" s="1"/>
      <c r="T379" s="1"/>
      <c r="W379" s="3"/>
    </row>
    <row r="380" ht="15.75" customHeight="1">
      <c r="E380" s="1"/>
      <c r="H380" s="1"/>
      <c r="K380" s="1"/>
      <c r="N380" s="1"/>
      <c r="Q380" s="1"/>
      <c r="T380" s="1"/>
      <c r="W380" s="3"/>
    </row>
    <row r="381" ht="15.75" customHeight="1">
      <c r="E381" s="1"/>
      <c r="H381" s="1"/>
      <c r="K381" s="1"/>
      <c r="N381" s="1"/>
      <c r="Q381" s="1"/>
      <c r="T381" s="1"/>
      <c r="W381" s="3"/>
    </row>
    <row r="382" ht="15.75" customHeight="1">
      <c r="E382" s="1"/>
      <c r="H382" s="1"/>
      <c r="K382" s="1"/>
      <c r="N382" s="1"/>
      <c r="Q382" s="1"/>
      <c r="T382" s="1"/>
      <c r="W382" s="3"/>
    </row>
    <row r="383" ht="15.75" customHeight="1">
      <c r="E383" s="1"/>
      <c r="H383" s="1"/>
      <c r="K383" s="1"/>
      <c r="N383" s="1"/>
      <c r="Q383" s="1"/>
      <c r="T383" s="1"/>
      <c r="W383" s="3"/>
    </row>
    <row r="384" ht="15.75" customHeight="1">
      <c r="E384" s="1"/>
      <c r="H384" s="1"/>
      <c r="K384" s="1"/>
      <c r="N384" s="1"/>
      <c r="Q384" s="1"/>
      <c r="T384" s="1"/>
      <c r="W384" s="3"/>
    </row>
    <row r="385" ht="15.75" customHeight="1">
      <c r="E385" s="1"/>
      <c r="H385" s="1"/>
      <c r="K385" s="1"/>
      <c r="N385" s="1"/>
      <c r="Q385" s="1"/>
      <c r="T385" s="1"/>
      <c r="W385" s="3"/>
    </row>
    <row r="386" ht="15.75" customHeight="1">
      <c r="E386" s="1"/>
      <c r="H386" s="1"/>
      <c r="K386" s="1"/>
      <c r="N386" s="1"/>
      <c r="Q386" s="1"/>
      <c r="T386" s="1"/>
      <c r="W386" s="3"/>
    </row>
    <row r="387" ht="15.75" customHeight="1">
      <c r="E387" s="1"/>
      <c r="H387" s="1"/>
      <c r="K387" s="1"/>
      <c r="N387" s="1"/>
      <c r="Q387" s="1"/>
      <c r="T387" s="1"/>
      <c r="W387" s="3"/>
    </row>
    <row r="388" ht="15.75" customHeight="1">
      <c r="E388" s="1"/>
      <c r="H388" s="1"/>
      <c r="K388" s="1"/>
      <c r="N388" s="1"/>
      <c r="Q388" s="1"/>
      <c r="T388" s="1"/>
      <c r="W388" s="3"/>
    </row>
    <row r="389" ht="15.75" customHeight="1">
      <c r="E389" s="1"/>
      <c r="H389" s="1"/>
      <c r="K389" s="1"/>
      <c r="N389" s="1"/>
      <c r="Q389" s="1"/>
      <c r="T389" s="1"/>
      <c r="W389" s="3"/>
    </row>
    <row r="390" ht="15.75" customHeight="1">
      <c r="E390" s="1"/>
      <c r="H390" s="1"/>
      <c r="K390" s="1"/>
      <c r="N390" s="1"/>
      <c r="Q390" s="1"/>
      <c r="T390" s="1"/>
      <c r="W390" s="3"/>
    </row>
    <row r="391" ht="15.75" customHeight="1">
      <c r="E391" s="1"/>
      <c r="H391" s="1"/>
      <c r="K391" s="1"/>
      <c r="N391" s="1"/>
      <c r="Q391" s="1"/>
      <c r="T391" s="1"/>
      <c r="W391" s="3"/>
    </row>
    <row r="392" ht="15.75" customHeight="1">
      <c r="E392" s="1"/>
      <c r="H392" s="1"/>
      <c r="K392" s="1"/>
      <c r="N392" s="1"/>
      <c r="Q392" s="1"/>
      <c r="T392" s="1"/>
      <c r="W392" s="3"/>
    </row>
    <row r="393" ht="15.75" customHeight="1">
      <c r="E393" s="1"/>
      <c r="H393" s="1"/>
      <c r="K393" s="1"/>
      <c r="N393" s="1"/>
      <c r="Q393" s="1"/>
      <c r="T393" s="1"/>
      <c r="W393" s="3"/>
    </row>
    <row r="394" ht="15.75" customHeight="1">
      <c r="E394" s="1"/>
      <c r="H394" s="1"/>
      <c r="K394" s="1"/>
      <c r="N394" s="1"/>
      <c r="Q394" s="1"/>
      <c r="T394" s="1"/>
      <c r="W394" s="3"/>
    </row>
    <row r="395" ht="15.75" customHeight="1">
      <c r="E395" s="1"/>
      <c r="H395" s="1"/>
      <c r="K395" s="1"/>
      <c r="N395" s="1"/>
      <c r="Q395" s="1"/>
      <c r="T395" s="1"/>
      <c r="W395" s="3"/>
    </row>
    <row r="396" ht="15.75" customHeight="1">
      <c r="E396" s="1"/>
      <c r="H396" s="1"/>
      <c r="K396" s="1"/>
      <c r="N396" s="1"/>
      <c r="Q396" s="1"/>
      <c r="T396" s="1"/>
      <c r="W396" s="3"/>
    </row>
    <row r="397" ht="15.75" customHeight="1">
      <c r="E397" s="1"/>
      <c r="H397" s="1"/>
      <c r="K397" s="1"/>
      <c r="N397" s="1"/>
      <c r="Q397" s="1"/>
      <c r="T397" s="1"/>
      <c r="W397" s="3"/>
    </row>
    <row r="398" ht="15.75" customHeight="1">
      <c r="E398" s="1"/>
      <c r="H398" s="1"/>
      <c r="K398" s="1"/>
      <c r="N398" s="1"/>
      <c r="Q398" s="1"/>
      <c r="T398" s="1"/>
      <c r="W398" s="3"/>
    </row>
    <row r="399" ht="15.75" customHeight="1">
      <c r="E399" s="1"/>
      <c r="H399" s="1"/>
      <c r="K399" s="1"/>
      <c r="N399" s="1"/>
      <c r="Q399" s="1"/>
      <c r="T399" s="1"/>
      <c r="W399" s="3"/>
    </row>
    <row r="400" ht="15.75" customHeight="1">
      <c r="E400" s="1"/>
      <c r="H400" s="1"/>
      <c r="K400" s="1"/>
      <c r="N400" s="1"/>
      <c r="Q400" s="1"/>
      <c r="T400" s="1"/>
      <c r="W400" s="3"/>
    </row>
    <row r="401" ht="15.75" customHeight="1">
      <c r="E401" s="1"/>
      <c r="H401" s="1"/>
      <c r="K401" s="1"/>
      <c r="N401" s="1"/>
      <c r="Q401" s="1"/>
      <c r="T401" s="1"/>
      <c r="W401" s="3"/>
    </row>
    <row r="402" ht="15.75" customHeight="1">
      <c r="E402" s="1"/>
      <c r="H402" s="1"/>
      <c r="K402" s="1"/>
      <c r="N402" s="1"/>
      <c r="Q402" s="1"/>
      <c r="T402" s="1"/>
      <c r="W402" s="3"/>
    </row>
    <row r="403" ht="15.75" customHeight="1">
      <c r="E403" s="1"/>
      <c r="H403" s="1"/>
      <c r="K403" s="1"/>
      <c r="N403" s="1"/>
      <c r="Q403" s="1"/>
      <c r="T403" s="1"/>
      <c r="W403" s="3"/>
    </row>
    <row r="404" ht="15.75" customHeight="1">
      <c r="E404" s="1"/>
      <c r="H404" s="1"/>
      <c r="K404" s="1"/>
      <c r="N404" s="1"/>
      <c r="Q404" s="1"/>
      <c r="T404" s="1"/>
      <c r="W404" s="3"/>
    </row>
    <row r="405" ht="15.75" customHeight="1">
      <c r="E405" s="1"/>
      <c r="H405" s="1"/>
      <c r="K405" s="1"/>
      <c r="N405" s="1"/>
      <c r="Q405" s="1"/>
      <c r="T405" s="1"/>
      <c r="W405" s="3"/>
    </row>
    <row r="406" ht="15.75" customHeight="1">
      <c r="E406" s="1"/>
      <c r="H406" s="1"/>
      <c r="K406" s="1"/>
      <c r="N406" s="1"/>
      <c r="Q406" s="1"/>
      <c r="T406" s="1"/>
      <c r="W406" s="3"/>
    </row>
    <row r="407" ht="15.75" customHeight="1">
      <c r="E407" s="1"/>
      <c r="H407" s="1"/>
      <c r="K407" s="1"/>
      <c r="N407" s="1"/>
      <c r="Q407" s="1"/>
      <c r="T407" s="1"/>
      <c r="W407" s="3"/>
    </row>
    <row r="408" ht="15.75" customHeight="1">
      <c r="E408" s="1"/>
      <c r="H408" s="1"/>
      <c r="K408" s="1"/>
      <c r="N408" s="1"/>
      <c r="Q408" s="1"/>
      <c r="T408" s="1"/>
      <c r="W408" s="3"/>
    </row>
    <row r="409" ht="15.75" customHeight="1">
      <c r="E409" s="1"/>
      <c r="H409" s="1"/>
      <c r="K409" s="1"/>
      <c r="N409" s="1"/>
      <c r="Q409" s="1"/>
      <c r="T409" s="1"/>
      <c r="W409" s="3"/>
    </row>
    <row r="410" ht="15.75" customHeight="1">
      <c r="E410" s="1"/>
      <c r="H410" s="1"/>
      <c r="K410" s="1"/>
      <c r="N410" s="1"/>
      <c r="Q410" s="1"/>
      <c r="T410" s="1"/>
      <c r="W410" s="3"/>
    </row>
    <row r="411" ht="15.75" customHeight="1">
      <c r="E411" s="1"/>
      <c r="H411" s="1"/>
      <c r="K411" s="1"/>
      <c r="N411" s="1"/>
      <c r="Q411" s="1"/>
      <c r="T411" s="1"/>
      <c r="W411" s="3"/>
    </row>
    <row r="412" ht="15.75" customHeight="1">
      <c r="E412" s="1"/>
      <c r="H412" s="1"/>
      <c r="K412" s="1"/>
      <c r="N412" s="1"/>
      <c r="Q412" s="1"/>
      <c r="T412" s="1"/>
      <c r="W412" s="3"/>
    </row>
    <row r="413" ht="15.75" customHeight="1">
      <c r="E413" s="1"/>
      <c r="H413" s="1"/>
      <c r="K413" s="1"/>
      <c r="N413" s="1"/>
      <c r="Q413" s="1"/>
      <c r="T413" s="1"/>
      <c r="W413" s="3"/>
    </row>
    <row r="414" ht="15.75" customHeight="1">
      <c r="E414" s="1"/>
      <c r="H414" s="1"/>
      <c r="K414" s="1"/>
      <c r="N414" s="1"/>
      <c r="Q414" s="1"/>
      <c r="T414" s="1"/>
      <c r="W414" s="3"/>
    </row>
    <row r="415" ht="15.75" customHeight="1">
      <c r="E415" s="1"/>
      <c r="H415" s="1"/>
      <c r="K415" s="1"/>
      <c r="N415" s="1"/>
      <c r="Q415" s="1"/>
      <c r="T415" s="1"/>
      <c r="W415" s="3"/>
    </row>
    <row r="416" ht="15.75" customHeight="1">
      <c r="E416" s="1"/>
      <c r="H416" s="1"/>
      <c r="K416" s="1"/>
      <c r="N416" s="1"/>
      <c r="Q416" s="1"/>
      <c r="T416" s="1"/>
      <c r="W416" s="3"/>
    </row>
    <row r="417" ht="15.75" customHeight="1">
      <c r="E417" s="1"/>
      <c r="H417" s="1"/>
      <c r="K417" s="1"/>
      <c r="N417" s="1"/>
      <c r="Q417" s="1"/>
      <c r="T417" s="1"/>
      <c r="W417" s="3"/>
    </row>
    <row r="418" ht="15.75" customHeight="1">
      <c r="E418" s="1"/>
      <c r="H418" s="1"/>
      <c r="K418" s="1"/>
      <c r="N418" s="1"/>
      <c r="Q418" s="1"/>
      <c r="T418" s="1"/>
      <c r="W418" s="3"/>
    </row>
    <row r="419" ht="15.75" customHeight="1">
      <c r="E419" s="1"/>
      <c r="H419" s="1"/>
      <c r="K419" s="1"/>
      <c r="N419" s="1"/>
      <c r="Q419" s="1"/>
      <c r="T419" s="1"/>
      <c r="W419" s="3"/>
    </row>
    <row r="420" ht="15.75" customHeight="1">
      <c r="E420" s="1"/>
      <c r="H420" s="1"/>
      <c r="K420" s="1"/>
      <c r="N420" s="1"/>
      <c r="Q420" s="1"/>
      <c r="T420" s="1"/>
      <c r="W420" s="3"/>
    </row>
    <row r="421" ht="15.75" customHeight="1">
      <c r="E421" s="1"/>
      <c r="H421" s="1"/>
      <c r="K421" s="1"/>
      <c r="N421" s="1"/>
      <c r="Q421" s="1"/>
      <c r="T421" s="1"/>
      <c r="W421" s="3"/>
    </row>
    <row r="422" ht="15.75" customHeight="1">
      <c r="E422" s="1"/>
      <c r="H422" s="1"/>
      <c r="K422" s="1"/>
      <c r="N422" s="1"/>
      <c r="Q422" s="1"/>
      <c r="T422" s="1"/>
      <c r="W422" s="3"/>
    </row>
    <row r="423" ht="15.75" customHeight="1">
      <c r="E423" s="1"/>
      <c r="H423" s="1"/>
      <c r="K423" s="1"/>
      <c r="N423" s="1"/>
      <c r="Q423" s="1"/>
      <c r="T423" s="1"/>
      <c r="W423" s="3"/>
    </row>
    <row r="424" ht="15.75" customHeight="1">
      <c r="E424" s="1"/>
      <c r="H424" s="1"/>
      <c r="K424" s="1"/>
      <c r="N424" s="1"/>
      <c r="Q424" s="1"/>
      <c r="T424" s="1"/>
      <c r="W424" s="3"/>
    </row>
    <row r="425" ht="15.75" customHeight="1">
      <c r="E425" s="1"/>
      <c r="H425" s="1"/>
      <c r="K425" s="1"/>
      <c r="N425" s="1"/>
      <c r="Q425" s="1"/>
      <c r="T425" s="1"/>
      <c r="W425" s="3"/>
    </row>
    <row r="426" ht="15.75" customHeight="1">
      <c r="E426" s="1"/>
      <c r="H426" s="1"/>
      <c r="K426" s="1"/>
      <c r="N426" s="1"/>
      <c r="Q426" s="1"/>
      <c r="T426" s="1"/>
      <c r="W426" s="3"/>
    </row>
    <row r="427" ht="15.75" customHeight="1">
      <c r="E427" s="1"/>
      <c r="H427" s="1"/>
      <c r="K427" s="1"/>
      <c r="N427" s="1"/>
      <c r="Q427" s="1"/>
      <c r="T427" s="1"/>
      <c r="W427" s="3"/>
    </row>
    <row r="428" ht="15.75" customHeight="1">
      <c r="E428" s="1"/>
      <c r="H428" s="1"/>
      <c r="K428" s="1"/>
      <c r="N428" s="1"/>
      <c r="Q428" s="1"/>
      <c r="T428" s="1"/>
      <c r="W428" s="3"/>
    </row>
    <row r="429" ht="15.75" customHeight="1">
      <c r="E429" s="1"/>
      <c r="H429" s="1"/>
      <c r="K429" s="1"/>
      <c r="N429" s="1"/>
      <c r="Q429" s="1"/>
      <c r="T429" s="1"/>
      <c r="W429" s="3"/>
    </row>
    <row r="430" ht="15.75" customHeight="1">
      <c r="E430" s="1"/>
      <c r="H430" s="1"/>
      <c r="K430" s="1"/>
      <c r="N430" s="1"/>
      <c r="Q430" s="1"/>
      <c r="T430" s="1"/>
      <c r="W430" s="3"/>
    </row>
    <row r="431" ht="15.75" customHeight="1">
      <c r="E431" s="1"/>
      <c r="H431" s="1"/>
      <c r="K431" s="1"/>
      <c r="N431" s="1"/>
      <c r="Q431" s="1"/>
      <c r="T431" s="1"/>
      <c r="W431" s="3"/>
    </row>
    <row r="432" ht="15.75" customHeight="1">
      <c r="E432" s="1"/>
      <c r="H432" s="1"/>
      <c r="K432" s="1"/>
      <c r="N432" s="1"/>
      <c r="Q432" s="1"/>
      <c r="T432" s="1"/>
      <c r="W432" s="3"/>
    </row>
    <row r="433" ht="15.75" customHeight="1">
      <c r="E433" s="1"/>
      <c r="H433" s="1"/>
      <c r="K433" s="1"/>
      <c r="N433" s="1"/>
      <c r="Q433" s="1"/>
      <c r="T433" s="1"/>
      <c r="W433" s="3"/>
    </row>
    <row r="434" ht="15.75" customHeight="1">
      <c r="E434" s="1"/>
      <c r="H434" s="1"/>
      <c r="K434" s="1"/>
      <c r="N434" s="1"/>
      <c r="Q434" s="1"/>
      <c r="T434" s="1"/>
      <c r="W434" s="3"/>
    </row>
    <row r="435" ht="15.75" customHeight="1">
      <c r="E435" s="1"/>
      <c r="H435" s="1"/>
      <c r="K435" s="1"/>
      <c r="N435" s="1"/>
      <c r="Q435" s="1"/>
      <c r="T435" s="1"/>
      <c r="W435" s="3"/>
    </row>
    <row r="436" ht="15.75" customHeight="1">
      <c r="E436" s="1"/>
      <c r="H436" s="1"/>
      <c r="K436" s="1"/>
      <c r="N436" s="1"/>
      <c r="Q436" s="1"/>
      <c r="T436" s="1"/>
      <c r="W436" s="3"/>
    </row>
    <row r="437" ht="15.75" customHeight="1">
      <c r="E437" s="1"/>
      <c r="H437" s="1"/>
      <c r="K437" s="1"/>
      <c r="N437" s="1"/>
      <c r="Q437" s="1"/>
      <c r="T437" s="1"/>
      <c r="W437" s="3"/>
    </row>
    <row r="438" ht="15.75" customHeight="1">
      <c r="E438" s="1"/>
      <c r="H438" s="1"/>
      <c r="K438" s="1"/>
      <c r="N438" s="1"/>
      <c r="Q438" s="1"/>
      <c r="T438" s="1"/>
      <c r="W438" s="3"/>
    </row>
    <row r="439" ht="15.75" customHeight="1">
      <c r="E439" s="1"/>
      <c r="H439" s="1"/>
      <c r="K439" s="1"/>
      <c r="N439" s="1"/>
      <c r="Q439" s="1"/>
      <c r="T439" s="1"/>
      <c r="W439" s="3"/>
    </row>
    <row r="440" ht="15.75" customHeight="1">
      <c r="E440" s="1"/>
      <c r="H440" s="1"/>
      <c r="K440" s="1"/>
      <c r="N440" s="1"/>
      <c r="Q440" s="1"/>
      <c r="T440" s="1"/>
      <c r="W440" s="3"/>
    </row>
    <row r="441" ht="15.75" customHeight="1">
      <c r="E441" s="1"/>
      <c r="H441" s="1"/>
      <c r="K441" s="1"/>
      <c r="N441" s="1"/>
      <c r="Q441" s="1"/>
      <c r="T441" s="1"/>
      <c r="W441" s="3"/>
    </row>
    <row r="442" ht="15.75" customHeight="1">
      <c r="E442" s="1"/>
      <c r="H442" s="1"/>
      <c r="K442" s="1"/>
      <c r="N442" s="1"/>
      <c r="Q442" s="1"/>
      <c r="T442" s="1"/>
      <c r="W442" s="3"/>
    </row>
    <row r="443" ht="15.75" customHeight="1">
      <c r="E443" s="1"/>
      <c r="H443" s="1"/>
      <c r="K443" s="1"/>
      <c r="N443" s="1"/>
      <c r="Q443" s="1"/>
      <c r="T443" s="1"/>
      <c r="W443" s="3"/>
    </row>
    <row r="444" ht="15.75" customHeight="1">
      <c r="E444" s="1"/>
      <c r="H444" s="1"/>
      <c r="K444" s="1"/>
      <c r="N444" s="1"/>
      <c r="Q444" s="1"/>
      <c r="T444" s="1"/>
      <c r="W444" s="3"/>
    </row>
    <row r="445" ht="15.75" customHeight="1">
      <c r="E445" s="1"/>
      <c r="H445" s="1"/>
      <c r="K445" s="1"/>
      <c r="N445" s="1"/>
      <c r="Q445" s="1"/>
      <c r="T445" s="1"/>
      <c r="W445" s="3"/>
    </row>
    <row r="446" ht="15.75" customHeight="1">
      <c r="E446" s="1"/>
      <c r="H446" s="1"/>
      <c r="K446" s="1"/>
      <c r="N446" s="1"/>
      <c r="Q446" s="1"/>
      <c r="T446" s="1"/>
      <c r="W446" s="3"/>
    </row>
    <row r="447" ht="15.75" customHeight="1">
      <c r="E447" s="1"/>
      <c r="H447" s="1"/>
      <c r="K447" s="1"/>
      <c r="N447" s="1"/>
      <c r="Q447" s="1"/>
      <c r="T447" s="1"/>
      <c r="W447" s="3"/>
    </row>
    <row r="448" ht="15.75" customHeight="1">
      <c r="E448" s="1"/>
      <c r="H448" s="1"/>
      <c r="K448" s="1"/>
      <c r="N448" s="1"/>
      <c r="Q448" s="1"/>
      <c r="T448" s="1"/>
      <c r="W448" s="3"/>
    </row>
    <row r="449" ht="15.75" customHeight="1">
      <c r="E449" s="1"/>
      <c r="H449" s="1"/>
      <c r="K449" s="1"/>
      <c r="N449" s="1"/>
      <c r="Q449" s="1"/>
      <c r="T449" s="1"/>
      <c r="W449" s="3"/>
    </row>
    <row r="450" ht="15.75" customHeight="1">
      <c r="E450" s="1"/>
      <c r="H450" s="1"/>
      <c r="K450" s="1"/>
      <c r="N450" s="1"/>
      <c r="Q450" s="1"/>
      <c r="T450" s="1"/>
      <c r="W450" s="3"/>
    </row>
    <row r="451" ht="15.75" customHeight="1">
      <c r="E451" s="1"/>
      <c r="H451" s="1"/>
      <c r="K451" s="1"/>
      <c r="N451" s="1"/>
      <c r="Q451" s="1"/>
      <c r="T451" s="1"/>
      <c r="W451" s="3"/>
    </row>
    <row r="452" ht="15.75" customHeight="1">
      <c r="E452" s="1"/>
      <c r="H452" s="1"/>
      <c r="K452" s="1"/>
      <c r="N452" s="1"/>
      <c r="Q452" s="1"/>
      <c r="T452" s="1"/>
      <c r="W452" s="3"/>
    </row>
    <row r="453" ht="15.75" customHeight="1">
      <c r="E453" s="1"/>
      <c r="H453" s="1"/>
      <c r="K453" s="1"/>
      <c r="N453" s="1"/>
      <c r="Q453" s="1"/>
      <c r="T453" s="1"/>
      <c r="W453" s="3"/>
    </row>
    <row r="454" ht="15.75" customHeight="1">
      <c r="E454" s="1"/>
      <c r="H454" s="1"/>
      <c r="K454" s="1"/>
      <c r="N454" s="1"/>
      <c r="Q454" s="1"/>
      <c r="T454" s="1"/>
      <c r="W454" s="3"/>
    </row>
    <row r="455" ht="15.75" customHeight="1">
      <c r="E455" s="1"/>
      <c r="H455" s="1"/>
      <c r="K455" s="1"/>
      <c r="N455" s="1"/>
      <c r="Q455" s="1"/>
      <c r="T455" s="1"/>
      <c r="W455" s="3"/>
    </row>
    <row r="456" ht="15.75" customHeight="1">
      <c r="E456" s="1"/>
      <c r="H456" s="1"/>
      <c r="K456" s="1"/>
      <c r="N456" s="1"/>
      <c r="Q456" s="1"/>
      <c r="T456" s="1"/>
      <c r="W456" s="3"/>
    </row>
    <row r="457" ht="15.75" customHeight="1">
      <c r="E457" s="1"/>
      <c r="H457" s="1"/>
      <c r="K457" s="1"/>
      <c r="N457" s="1"/>
      <c r="Q457" s="1"/>
      <c r="T457" s="1"/>
      <c r="W457" s="3"/>
    </row>
    <row r="458" ht="15.75" customHeight="1">
      <c r="E458" s="1"/>
      <c r="H458" s="1"/>
      <c r="K458" s="1"/>
      <c r="N458" s="1"/>
      <c r="Q458" s="1"/>
      <c r="T458" s="1"/>
      <c r="W458" s="3"/>
    </row>
    <row r="459" ht="15.75" customHeight="1">
      <c r="E459" s="1"/>
      <c r="H459" s="1"/>
      <c r="K459" s="1"/>
      <c r="N459" s="1"/>
      <c r="Q459" s="1"/>
      <c r="T459" s="1"/>
      <c r="W459" s="3"/>
    </row>
    <row r="460" ht="15.75" customHeight="1">
      <c r="E460" s="1"/>
      <c r="H460" s="1"/>
      <c r="K460" s="1"/>
      <c r="N460" s="1"/>
      <c r="Q460" s="1"/>
      <c r="T460" s="1"/>
      <c r="W460" s="3"/>
    </row>
    <row r="461" ht="15.75" customHeight="1">
      <c r="E461" s="1"/>
      <c r="H461" s="1"/>
      <c r="K461" s="1"/>
      <c r="N461" s="1"/>
      <c r="Q461" s="1"/>
      <c r="T461" s="1"/>
      <c r="W461" s="3"/>
    </row>
    <row r="462" ht="15.75" customHeight="1">
      <c r="E462" s="1"/>
      <c r="H462" s="1"/>
      <c r="K462" s="1"/>
      <c r="N462" s="1"/>
      <c r="Q462" s="1"/>
      <c r="T462" s="1"/>
      <c r="W462" s="3"/>
    </row>
    <row r="463" ht="15.75" customHeight="1">
      <c r="E463" s="1"/>
      <c r="H463" s="1"/>
      <c r="K463" s="1"/>
      <c r="N463" s="1"/>
      <c r="Q463" s="1"/>
      <c r="T463" s="1"/>
      <c r="W463" s="3"/>
    </row>
    <row r="464" ht="15.75" customHeight="1">
      <c r="E464" s="1"/>
      <c r="H464" s="1"/>
      <c r="K464" s="1"/>
      <c r="N464" s="1"/>
      <c r="Q464" s="1"/>
      <c r="T464" s="1"/>
      <c r="W464" s="3"/>
    </row>
    <row r="465" ht="15.75" customHeight="1">
      <c r="E465" s="1"/>
      <c r="H465" s="1"/>
      <c r="K465" s="1"/>
      <c r="N465" s="1"/>
      <c r="Q465" s="1"/>
      <c r="T465" s="1"/>
      <c r="W465" s="3"/>
    </row>
    <row r="466" ht="15.75" customHeight="1">
      <c r="E466" s="1"/>
      <c r="H466" s="1"/>
      <c r="K466" s="1"/>
      <c r="N466" s="1"/>
      <c r="Q466" s="1"/>
      <c r="T466" s="1"/>
      <c r="W466" s="3"/>
    </row>
    <row r="467" ht="15.75" customHeight="1">
      <c r="E467" s="1"/>
      <c r="H467" s="1"/>
      <c r="K467" s="1"/>
      <c r="N467" s="1"/>
      <c r="Q467" s="1"/>
      <c r="T467" s="1"/>
      <c r="W467" s="3"/>
    </row>
    <row r="468" ht="15.75" customHeight="1">
      <c r="E468" s="1"/>
      <c r="H468" s="1"/>
      <c r="K468" s="1"/>
      <c r="N468" s="1"/>
      <c r="Q468" s="1"/>
      <c r="T468" s="1"/>
      <c r="W468" s="3"/>
    </row>
    <row r="469" ht="15.75" customHeight="1">
      <c r="E469" s="1"/>
      <c r="H469" s="1"/>
      <c r="K469" s="1"/>
      <c r="N469" s="1"/>
      <c r="Q469" s="1"/>
      <c r="T469" s="1"/>
      <c r="W469" s="3"/>
    </row>
    <row r="470" ht="15.75" customHeight="1">
      <c r="E470" s="1"/>
      <c r="H470" s="1"/>
      <c r="K470" s="1"/>
      <c r="N470" s="1"/>
      <c r="Q470" s="1"/>
      <c r="T470" s="1"/>
      <c r="W470" s="3"/>
    </row>
    <row r="471" ht="15.75" customHeight="1">
      <c r="E471" s="1"/>
      <c r="H471" s="1"/>
      <c r="K471" s="1"/>
      <c r="N471" s="1"/>
      <c r="Q471" s="1"/>
      <c r="T471" s="1"/>
      <c r="W471" s="3"/>
    </row>
    <row r="472" ht="15.75" customHeight="1">
      <c r="E472" s="1"/>
      <c r="H472" s="1"/>
      <c r="K472" s="1"/>
      <c r="N472" s="1"/>
      <c r="Q472" s="1"/>
      <c r="T472" s="1"/>
      <c r="W472" s="3"/>
    </row>
    <row r="473" ht="15.75" customHeight="1">
      <c r="E473" s="1"/>
      <c r="H473" s="1"/>
      <c r="K473" s="1"/>
      <c r="N473" s="1"/>
      <c r="Q473" s="1"/>
      <c r="T473" s="1"/>
      <c r="W473" s="3"/>
    </row>
    <row r="474" ht="15.75" customHeight="1">
      <c r="E474" s="1"/>
      <c r="H474" s="1"/>
      <c r="K474" s="1"/>
      <c r="N474" s="1"/>
      <c r="Q474" s="1"/>
      <c r="T474" s="1"/>
      <c r="W474" s="3"/>
    </row>
    <row r="475" ht="15.75" customHeight="1">
      <c r="E475" s="1"/>
      <c r="H475" s="1"/>
      <c r="K475" s="1"/>
      <c r="N475" s="1"/>
      <c r="Q475" s="1"/>
      <c r="T475" s="1"/>
      <c r="W475" s="3"/>
    </row>
    <row r="476" ht="15.75" customHeight="1">
      <c r="E476" s="1"/>
      <c r="H476" s="1"/>
      <c r="K476" s="1"/>
      <c r="N476" s="1"/>
      <c r="Q476" s="1"/>
      <c r="T476" s="1"/>
      <c r="W476" s="3"/>
    </row>
    <row r="477" ht="15.75" customHeight="1">
      <c r="E477" s="1"/>
      <c r="H477" s="1"/>
      <c r="K477" s="1"/>
      <c r="N477" s="1"/>
      <c r="Q477" s="1"/>
      <c r="T477" s="1"/>
      <c r="W477" s="3"/>
    </row>
    <row r="478" ht="15.75" customHeight="1">
      <c r="E478" s="1"/>
      <c r="H478" s="1"/>
      <c r="K478" s="1"/>
      <c r="N478" s="1"/>
      <c r="Q478" s="1"/>
      <c r="T478" s="1"/>
      <c r="W478" s="3"/>
    </row>
    <row r="479" ht="15.75" customHeight="1">
      <c r="E479" s="1"/>
      <c r="H479" s="1"/>
      <c r="K479" s="1"/>
      <c r="N479" s="1"/>
      <c r="Q479" s="1"/>
      <c r="T479" s="1"/>
      <c r="W479" s="3"/>
    </row>
    <row r="480" ht="15.75" customHeight="1">
      <c r="E480" s="1"/>
      <c r="H480" s="1"/>
      <c r="K480" s="1"/>
      <c r="N480" s="1"/>
      <c r="Q480" s="1"/>
      <c r="T480" s="1"/>
      <c r="W480" s="3"/>
    </row>
    <row r="481" ht="15.75" customHeight="1">
      <c r="E481" s="1"/>
      <c r="H481" s="1"/>
      <c r="K481" s="1"/>
      <c r="N481" s="1"/>
      <c r="Q481" s="1"/>
      <c r="T481" s="1"/>
      <c r="W481" s="3"/>
    </row>
    <row r="482" ht="15.75" customHeight="1">
      <c r="E482" s="1"/>
      <c r="H482" s="1"/>
      <c r="K482" s="1"/>
      <c r="N482" s="1"/>
      <c r="Q482" s="1"/>
      <c r="T482" s="1"/>
      <c r="W482" s="3"/>
    </row>
    <row r="483" ht="15.75" customHeight="1">
      <c r="E483" s="1"/>
      <c r="H483" s="1"/>
      <c r="K483" s="1"/>
      <c r="N483" s="1"/>
      <c r="Q483" s="1"/>
      <c r="T483" s="1"/>
      <c r="W483" s="3"/>
    </row>
    <row r="484" ht="15.75" customHeight="1">
      <c r="E484" s="1"/>
      <c r="H484" s="1"/>
      <c r="K484" s="1"/>
      <c r="N484" s="1"/>
      <c r="Q484" s="1"/>
      <c r="T484" s="1"/>
      <c r="W484" s="3"/>
    </row>
    <row r="485" ht="15.75" customHeight="1">
      <c r="E485" s="1"/>
      <c r="H485" s="1"/>
      <c r="K485" s="1"/>
      <c r="N485" s="1"/>
      <c r="Q485" s="1"/>
      <c r="T485" s="1"/>
      <c r="W485" s="3"/>
    </row>
    <row r="486" ht="15.75" customHeight="1">
      <c r="E486" s="1"/>
      <c r="H486" s="1"/>
      <c r="K486" s="1"/>
      <c r="N486" s="1"/>
      <c r="Q486" s="1"/>
      <c r="T486" s="1"/>
      <c r="W486" s="3"/>
    </row>
    <row r="487" ht="15.75" customHeight="1">
      <c r="E487" s="1"/>
      <c r="H487" s="1"/>
      <c r="K487" s="1"/>
      <c r="N487" s="1"/>
      <c r="Q487" s="1"/>
      <c r="T487" s="1"/>
      <c r="W487" s="3"/>
    </row>
    <row r="488" ht="15.75" customHeight="1">
      <c r="E488" s="1"/>
      <c r="H488" s="1"/>
      <c r="K488" s="1"/>
      <c r="N488" s="1"/>
      <c r="Q488" s="1"/>
      <c r="T488" s="1"/>
      <c r="W488" s="3"/>
    </row>
    <row r="489" ht="15.75" customHeight="1">
      <c r="E489" s="1"/>
      <c r="H489" s="1"/>
      <c r="K489" s="1"/>
      <c r="N489" s="1"/>
      <c r="Q489" s="1"/>
      <c r="T489" s="1"/>
      <c r="W489" s="3"/>
    </row>
    <row r="490" ht="15.75" customHeight="1">
      <c r="E490" s="1"/>
      <c r="H490" s="1"/>
      <c r="K490" s="1"/>
      <c r="N490" s="1"/>
      <c r="Q490" s="1"/>
      <c r="T490" s="1"/>
      <c r="W490" s="3"/>
    </row>
    <row r="491" ht="15.75" customHeight="1">
      <c r="E491" s="1"/>
      <c r="H491" s="1"/>
      <c r="K491" s="1"/>
      <c r="N491" s="1"/>
      <c r="Q491" s="1"/>
      <c r="T491" s="1"/>
      <c r="W491" s="3"/>
    </row>
    <row r="492" ht="15.75" customHeight="1">
      <c r="E492" s="1"/>
      <c r="H492" s="1"/>
      <c r="K492" s="1"/>
      <c r="N492" s="1"/>
      <c r="Q492" s="1"/>
      <c r="T492" s="1"/>
      <c r="W492" s="3"/>
    </row>
    <row r="493" ht="15.75" customHeight="1">
      <c r="E493" s="1"/>
      <c r="H493" s="1"/>
      <c r="K493" s="1"/>
      <c r="N493" s="1"/>
      <c r="Q493" s="1"/>
      <c r="T493" s="1"/>
      <c r="W493" s="3"/>
    </row>
    <row r="494" ht="15.75" customHeight="1">
      <c r="E494" s="1"/>
      <c r="H494" s="1"/>
      <c r="K494" s="1"/>
      <c r="N494" s="1"/>
      <c r="Q494" s="1"/>
      <c r="T494" s="1"/>
      <c r="W494" s="3"/>
    </row>
    <row r="495" ht="15.75" customHeight="1">
      <c r="E495" s="1"/>
      <c r="H495" s="1"/>
      <c r="K495" s="1"/>
      <c r="N495" s="1"/>
      <c r="Q495" s="1"/>
      <c r="T495" s="1"/>
      <c r="W495" s="3"/>
    </row>
    <row r="496" ht="15.75" customHeight="1">
      <c r="E496" s="1"/>
      <c r="H496" s="1"/>
      <c r="K496" s="1"/>
      <c r="N496" s="1"/>
      <c r="Q496" s="1"/>
      <c r="T496" s="1"/>
      <c r="W496" s="3"/>
    </row>
    <row r="497" ht="15.75" customHeight="1">
      <c r="E497" s="1"/>
      <c r="H497" s="1"/>
      <c r="K497" s="1"/>
      <c r="N497" s="1"/>
      <c r="Q497" s="1"/>
      <c r="T497" s="1"/>
      <c r="W497" s="3"/>
    </row>
    <row r="498" ht="15.75" customHeight="1">
      <c r="E498" s="1"/>
      <c r="H498" s="1"/>
      <c r="K498" s="1"/>
      <c r="N498" s="1"/>
      <c r="Q498" s="1"/>
      <c r="T498" s="1"/>
      <c r="W498" s="3"/>
    </row>
    <row r="499" ht="15.75" customHeight="1">
      <c r="E499" s="1"/>
      <c r="H499" s="1"/>
      <c r="K499" s="1"/>
      <c r="N499" s="1"/>
      <c r="Q499" s="1"/>
      <c r="T499" s="1"/>
      <c r="W499" s="3"/>
    </row>
    <row r="500" ht="15.75" customHeight="1">
      <c r="E500" s="1"/>
      <c r="H500" s="1"/>
      <c r="K500" s="1"/>
      <c r="N500" s="1"/>
      <c r="Q500" s="1"/>
      <c r="T500" s="1"/>
      <c r="W500" s="3"/>
    </row>
    <row r="501" ht="15.75" customHeight="1">
      <c r="E501" s="1"/>
      <c r="H501" s="1"/>
      <c r="K501" s="1"/>
      <c r="N501" s="1"/>
      <c r="Q501" s="1"/>
      <c r="T501" s="1"/>
      <c r="W501" s="3"/>
    </row>
    <row r="502" ht="15.75" customHeight="1">
      <c r="E502" s="1"/>
      <c r="H502" s="1"/>
      <c r="K502" s="1"/>
      <c r="N502" s="1"/>
      <c r="Q502" s="1"/>
      <c r="T502" s="1"/>
      <c r="W502" s="3"/>
    </row>
    <row r="503" ht="15.75" customHeight="1">
      <c r="E503" s="1"/>
      <c r="H503" s="1"/>
      <c r="K503" s="1"/>
      <c r="N503" s="1"/>
      <c r="Q503" s="1"/>
      <c r="T503" s="1"/>
      <c r="W503" s="3"/>
    </row>
    <row r="504" ht="15.75" customHeight="1">
      <c r="E504" s="1"/>
      <c r="H504" s="1"/>
      <c r="K504" s="1"/>
      <c r="N504" s="1"/>
      <c r="Q504" s="1"/>
      <c r="T504" s="1"/>
      <c r="W504" s="3"/>
    </row>
    <row r="505" ht="15.75" customHeight="1">
      <c r="E505" s="1"/>
      <c r="H505" s="1"/>
      <c r="K505" s="1"/>
      <c r="N505" s="1"/>
      <c r="Q505" s="1"/>
      <c r="T505" s="1"/>
      <c r="W505" s="3"/>
    </row>
    <row r="506" ht="15.75" customHeight="1">
      <c r="E506" s="1"/>
      <c r="H506" s="1"/>
      <c r="K506" s="1"/>
      <c r="N506" s="1"/>
      <c r="Q506" s="1"/>
      <c r="T506" s="1"/>
      <c r="W506" s="3"/>
    </row>
    <row r="507" ht="15.75" customHeight="1">
      <c r="E507" s="1"/>
      <c r="H507" s="1"/>
      <c r="K507" s="1"/>
      <c r="N507" s="1"/>
      <c r="Q507" s="1"/>
      <c r="T507" s="1"/>
      <c r="W507" s="3"/>
    </row>
    <row r="508" ht="15.75" customHeight="1">
      <c r="E508" s="1"/>
      <c r="H508" s="1"/>
      <c r="K508" s="1"/>
      <c r="N508" s="1"/>
      <c r="Q508" s="1"/>
      <c r="T508" s="1"/>
      <c r="W508" s="3"/>
    </row>
    <row r="509" ht="15.75" customHeight="1">
      <c r="E509" s="1"/>
      <c r="H509" s="1"/>
      <c r="K509" s="1"/>
      <c r="N509" s="1"/>
      <c r="Q509" s="1"/>
      <c r="T509" s="1"/>
      <c r="W509" s="3"/>
    </row>
    <row r="510" ht="15.75" customHeight="1">
      <c r="E510" s="1"/>
      <c r="H510" s="1"/>
      <c r="K510" s="1"/>
      <c r="N510" s="1"/>
      <c r="Q510" s="1"/>
      <c r="T510" s="1"/>
      <c r="W510" s="3"/>
    </row>
    <row r="511" ht="15.75" customHeight="1">
      <c r="E511" s="1"/>
      <c r="H511" s="1"/>
      <c r="K511" s="1"/>
      <c r="N511" s="1"/>
      <c r="Q511" s="1"/>
      <c r="T511" s="1"/>
      <c r="W511" s="3"/>
    </row>
    <row r="512" ht="15.75" customHeight="1">
      <c r="E512" s="1"/>
      <c r="H512" s="1"/>
      <c r="K512" s="1"/>
      <c r="N512" s="1"/>
      <c r="Q512" s="1"/>
      <c r="T512" s="1"/>
      <c r="W512" s="3"/>
    </row>
    <row r="513" ht="15.75" customHeight="1">
      <c r="E513" s="1"/>
      <c r="H513" s="1"/>
      <c r="K513" s="1"/>
      <c r="N513" s="1"/>
      <c r="Q513" s="1"/>
      <c r="T513" s="1"/>
      <c r="W513" s="3"/>
    </row>
    <row r="514" ht="15.75" customHeight="1">
      <c r="E514" s="1"/>
      <c r="H514" s="1"/>
      <c r="K514" s="1"/>
      <c r="N514" s="1"/>
      <c r="Q514" s="1"/>
      <c r="T514" s="1"/>
      <c r="W514" s="3"/>
    </row>
    <row r="515" ht="15.75" customHeight="1">
      <c r="E515" s="1"/>
      <c r="H515" s="1"/>
      <c r="K515" s="1"/>
      <c r="N515" s="1"/>
      <c r="Q515" s="1"/>
      <c r="T515" s="1"/>
      <c r="W515" s="3"/>
    </row>
    <row r="516" ht="15.75" customHeight="1">
      <c r="E516" s="1"/>
      <c r="H516" s="1"/>
      <c r="K516" s="1"/>
      <c r="N516" s="1"/>
      <c r="Q516" s="1"/>
      <c r="T516" s="1"/>
      <c r="W516" s="3"/>
    </row>
    <row r="517" ht="15.75" customHeight="1">
      <c r="E517" s="1"/>
      <c r="H517" s="1"/>
      <c r="K517" s="1"/>
      <c r="N517" s="1"/>
      <c r="Q517" s="1"/>
      <c r="T517" s="1"/>
      <c r="W517" s="3"/>
    </row>
    <row r="518" ht="15.75" customHeight="1">
      <c r="E518" s="1"/>
      <c r="H518" s="1"/>
      <c r="K518" s="1"/>
      <c r="N518" s="1"/>
      <c r="Q518" s="1"/>
      <c r="T518" s="1"/>
      <c r="W518" s="3"/>
    </row>
    <row r="519" ht="15.75" customHeight="1">
      <c r="E519" s="1"/>
      <c r="H519" s="1"/>
      <c r="K519" s="1"/>
      <c r="N519" s="1"/>
      <c r="Q519" s="1"/>
      <c r="T519" s="1"/>
      <c r="W519" s="3"/>
    </row>
    <row r="520" ht="15.75" customHeight="1">
      <c r="E520" s="1"/>
      <c r="H520" s="1"/>
      <c r="K520" s="1"/>
      <c r="N520" s="1"/>
      <c r="Q520" s="1"/>
      <c r="T520" s="1"/>
      <c r="W520" s="3"/>
    </row>
    <row r="521" ht="15.75" customHeight="1">
      <c r="E521" s="1"/>
      <c r="H521" s="1"/>
      <c r="K521" s="1"/>
      <c r="N521" s="1"/>
      <c r="Q521" s="1"/>
      <c r="T521" s="1"/>
      <c r="W521" s="3"/>
    </row>
    <row r="522" ht="15.75" customHeight="1">
      <c r="E522" s="1"/>
      <c r="H522" s="1"/>
      <c r="K522" s="1"/>
      <c r="N522" s="1"/>
      <c r="Q522" s="1"/>
      <c r="T522" s="1"/>
      <c r="W522" s="3"/>
    </row>
    <row r="523" ht="15.75" customHeight="1">
      <c r="E523" s="1"/>
      <c r="H523" s="1"/>
      <c r="K523" s="1"/>
      <c r="N523" s="1"/>
      <c r="Q523" s="1"/>
      <c r="T523" s="1"/>
      <c r="W523" s="3"/>
    </row>
    <row r="524" ht="15.75" customHeight="1">
      <c r="E524" s="1"/>
      <c r="H524" s="1"/>
      <c r="K524" s="1"/>
      <c r="N524" s="1"/>
      <c r="Q524" s="1"/>
      <c r="T524" s="1"/>
      <c r="W524" s="3"/>
    </row>
    <row r="525" ht="15.75" customHeight="1">
      <c r="E525" s="1"/>
      <c r="H525" s="1"/>
      <c r="K525" s="1"/>
      <c r="N525" s="1"/>
      <c r="Q525" s="1"/>
      <c r="T525" s="1"/>
      <c r="W525" s="3"/>
    </row>
    <row r="526" ht="15.75" customHeight="1">
      <c r="E526" s="1"/>
      <c r="H526" s="1"/>
      <c r="K526" s="1"/>
      <c r="N526" s="1"/>
      <c r="Q526" s="1"/>
      <c r="T526" s="1"/>
      <c r="W526" s="3"/>
    </row>
    <row r="527" ht="15.75" customHeight="1">
      <c r="E527" s="1"/>
      <c r="H527" s="1"/>
      <c r="K527" s="1"/>
      <c r="N527" s="1"/>
      <c r="Q527" s="1"/>
      <c r="T527" s="1"/>
      <c r="W527" s="3"/>
    </row>
    <row r="528" ht="15.75" customHeight="1">
      <c r="E528" s="1"/>
      <c r="H528" s="1"/>
      <c r="K528" s="1"/>
      <c r="N528" s="1"/>
      <c r="Q528" s="1"/>
      <c r="T528" s="1"/>
      <c r="W528" s="3"/>
    </row>
    <row r="529" ht="15.75" customHeight="1">
      <c r="E529" s="1"/>
      <c r="H529" s="1"/>
      <c r="K529" s="1"/>
      <c r="N529" s="1"/>
      <c r="Q529" s="1"/>
      <c r="T529" s="1"/>
      <c r="W529" s="3"/>
    </row>
    <row r="530" ht="15.75" customHeight="1">
      <c r="E530" s="1"/>
      <c r="H530" s="1"/>
      <c r="K530" s="1"/>
      <c r="N530" s="1"/>
      <c r="Q530" s="1"/>
      <c r="T530" s="1"/>
      <c r="W530" s="3"/>
    </row>
    <row r="531" ht="15.75" customHeight="1">
      <c r="E531" s="1"/>
      <c r="H531" s="1"/>
      <c r="K531" s="1"/>
      <c r="N531" s="1"/>
      <c r="Q531" s="1"/>
      <c r="T531" s="1"/>
      <c r="W531" s="3"/>
    </row>
    <row r="532" ht="15.75" customHeight="1">
      <c r="E532" s="1"/>
      <c r="H532" s="1"/>
      <c r="K532" s="1"/>
      <c r="N532" s="1"/>
      <c r="Q532" s="1"/>
      <c r="T532" s="1"/>
      <c r="W532" s="3"/>
    </row>
    <row r="533" ht="15.75" customHeight="1">
      <c r="E533" s="1"/>
      <c r="H533" s="1"/>
      <c r="K533" s="1"/>
      <c r="N533" s="1"/>
      <c r="Q533" s="1"/>
      <c r="T533" s="1"/>
      <c r="W533" s="3"/>
    </row>
    <row r="534" ht="15.75" customHeight="1">
      <c r="E534" s="1"/>
      <c r="H534" s="1"/>
      <c r="K534" s="1"/>
      <c r="N534" s="1"/>
      <c r="Q534" s="1"/>
      <c r="T534" s="1"/>
      <c r="W534" s="3"/>
    </row>
    <row r="535" ht="15.75" customHeight="1">
      <c r="E535" s="1"/>
      <c r="H535" s="1"/>
      <c r="K535" s="1"/>
      <c r="N535" s="1"/>
      <c r="Q535" s="1"/>
      <c r="T535" s="1"/>
      <c r="W535" s="3"/>
    </row>
    <row r="536" ht="15.75" customHeight="1">
      <c r="E536" s="1"/>
      <c r="H536" s="1"/>
      <c r="K536" s="1"/>
      <c r="N536" s="1"/>
      <c r="Q536" s="1"/>
      <c r="T536" s="1"/>
      <c r="W536" s="3"/>
    </row>
    <row r="537" ht="15.75" customHeight="1">
      <c r="E537" s="1"/>
      <c r="H537" s="1"/>
      <c r="K537" s="1"/>
      <c r="N537" s="1"/>
      <c r="Q537" s="1"/>
      <c r="T537" s="1"/>
      <c r="W537" s="3"/>
    </row>
    <row r="538" ht="15.75" customHeight="1">
      <c r="E538" s="1"/>
      <c r="H538" s="1"/>
      <c r="K538" s="1"/>
      <c r="N538" s="1"/>
      <c r="Q538" s="1"/>
      <c r="T538" s="1"/>
      <c r="W538" s="3"/>
    </row>
    <row r="539" ht="15.75" customHeight="1">
      <c r="E539" s="1"/>
      <c r="H539" s="1"/>
      <c r="K539" s="1"/>
      <c r="N539" s="1"/>
      <c r="Q539" s="1"/>
      <c r="T539" s="1"/>
      <c r="W539" s="3"/>
    </row>
    <row r="540" ht="15.75" customHeight="1">
      <c r="E540" s="1"/>
      <c r="H540" s="1"/>
      <c r="K540" s="1"/>
      <c r="N540" s="1"/>
      <c r="Q540" s="1"/>
      <c r="T540" s="1"/>
      <c r="W540" s="3"/>
    </row>
    <row r="541" ht="15.75" customHeight="1">
      <c r="E541" s="1"/>
      <c r="H541" s="1"/>
      <c r="K541" s="1"/>
      <c r="N541" s="1"/>
      <c r="Q541" s="1"/>
      <c r="T541" s="1"/>
      <c r="W541" s="3"/>
    </row>
    <row r="542" ht="15.75" customHeight="1">
      <c r="E542" s="1"/>
      <c r="H542" s="1"/>
      <c r="K542" s="1"/>
      <c r="N542" s="1"/>
      <c r="Q542" s="1"/>
      <c r="T542" s="1"/>
      <c r="W542" s="3"/>
    </row>
    <row r="543" ht="15.75" customHeight="1">
      <c r="E543" s="1"/>
      <c r="H543" s="1"/>
      <c r="K543" s="1"/>
      <c r="N543" s="1"/>
      <c r="Q543" s="1"/>
      <c r="T543" s="1"/>
      <c r="W543" s="3"/>
    </row>
    <row r="544" ht="15.75" customHeight="1">
      <c r="E544" s="1"/>
      <c r="H544" s="1"/>
      <c r="K544" s="1"/>
      <c r="N544" s="1"/>
      <c r="Q544" s="1"/>
      <c r="T544" s="1"/>
      <c r="W544" s="3"/>
    </row>
    <row r="545" ht="15.75" customHeight="1">
      <c r="E545" s="1"/>
      <c r="H545" s="1"/>
      <c r="K545" s="1"/>
      <c r="N545" s="1"/>
      <c r="Q545" s="1"/>
      <c r="T545" s="1"/>
      <c r="W545" s="3"/>
    </row>
    <row r="546" ht="15.75" customHeight="1">
      <c r="E546" s="1"/>
      <c r="H546" s="1"/>
      <c r="K546" s="1"/>
      <c r="N546" s="1"/>
      <c r="Q546" s="1"/>
      <c r="T546" s="1"/>
      <c r="W546" s="3"/>
    </row>
    <row r="547" ht="15.75" customHeight="1">
      <c r="E547" s="1"/>
      <c r="H547" s="1"/>
      <c r="K547" s="1"/>
      <c r="N547" s="1"/>
      <c r="Q547" s="1"/>
      <c r="T547" s="1"/>
      <c r="W547" s="3"/>
    </row>
    <row r="548" ht="15.75" customHeight="1">
      <c r="E548" s="1"/>
      <c r="H548" s="1"/>
      <c r="K548" s="1"/>
      <c r="N548" s="1"/>
      <c r="Q548" s="1"/>
      <c r="T548" s="1"/>
      <c r="W548" s="3"/>
    </row>
    <row r="549" ht="15.75" customHeight="1">
      <c r="E549" s="1"/>
      <c r="H549" s="1"/>
      <c r="K549" s="1"/>
      <c r="N549" s="1"/>
      <c r="Q549" s="1"/>
      <c r="T549" s="1"/>
      <c r="W549" s="3"/>
    </row>
    <row r="550" ht="15.75" customHeight="1">
      <c r="E550" s="1"/>
      <c r="H550" s="1"/>
      <c r="K550" s="1"/>
      <c r="N550" s="1"/>
      <c r="Q550" s="1"/>
      <c r="T550" s="1"/>
      <c r="W550" s="3"/>
    </row>
    <row r="551" ht="15.75" customHeight="1">
      <c r="E551" s="1"/>
      <c r="H551" s="1"/>
      <c r="K551" s="1"/>
      <c r="N551" s="1"/>
      <c r="Q551" s="1"/>
      <c r="T551" s="1"/>
      <c r="W551" s="3"/>
    </row>
    <row r="552" ht="15.75" customHeight="1">
      <c r="E552" s="1"/>
      <c r="H552" s="1"/>
      <c r="K552" s="1"/>
      <c r="N552" s="1"/>
      <c r="Q552" s="1"/>
      <c r="T552" s="1"/>
      <c r="W552" s="3"/>
    </row>
    <row r="553" ht="15.75" customHeight="1">
      <c r="E553" s="1"/>
      <c r="H553" s="1"/>
      <c r="K553" s="1"/>
      <c r="N553" s="1"/>
      <c r="Q553" s="1"/>
      <c r="T553" s="1"/>
      <c r="W553" s="3"/>
    </row>
    <row r="554" ht="15.75" customHeight="1">
      <c r="E554" s="1"/>
      <c r="H554" s="1"/>
      <c r="K554" s="1"/>
      <c r="N554" s="1"/>
      <c r="Q554" s="1"/>
      <c r="T554" s="1"/>
      <c r="W554" s="3"/>
    </row>
    <row r="555" ht="15.75" customHeight="1">
      <c r="E555" s="1"/>
      <c r="H555" s="1"/>
      <c r="K555" s="1"/>
      <c r="N555" s="1"/>
      <c r="Q555" s="1"/>
      <c r="T555" s="1"/>
      <c r="W555" s="3"/>
    </row>
    <row r="556" ht="15.75" customHeight="1">
      <c r="E556" s="1"/>
      <c r="H556" s="1"/>
      <c r="K556" s="1"/>
      <c r="N556" s="1"/>
      <c r="Q556" s="1"/>
      <c r="T556" s="1"/>
      <c r="W556" s="3"/>
    </row>
    <row r="557" ht="15.75" customHeight="1">
      <c r="E557" s="1"/>
      <c r="H557" s="1"/>
      <c r="K557" s="1"/>
      <c r="N557" s="1"/>
      <c r="Q557" s="1"/>
      <c r="T557" s="1"/>
      <c r="W557" s="3"/>
    </row>
    <row r="558" ht="15.75" customHeight="1">
      <c r="E558" s="1"/>
      <c r="H558" s="1"/>
      <c r="K558" s="1"/>
      <c r="N558" s="1"/>
      <c r="Q558" s="1"/>
      <c r="T558" s="1"/>
      <c r="W558" s="3"/>
    </row>
    <row r="559" ht="15.75" customHeight="1">
      <c r="E559" s="1"/>
      <c r="H559" s="1"/>
      <c r="K559" s="1"/>
      <c r="N559" s="1"/>
      <c r="Q559" s="1"/>
      <c r="T559" s="1"/>
      <c r="W559" s="3"/>
    </row>
    <row r="560" ht="15.75" customHeight="1">
      <c r="E560" s="1"/>
      <c r="H560" s="1"/>
      <c r="K560" s="1"/>
      <c r="N560" s="1"/>
      <c r="Q560" s="1"/>
      <c r="T560" s="1"/>
      <c r="W560" s="3"/>
    </row>
    <row r="561" ht="15.75" customHeight="1">
      <c r="E561" s="1"/>
      <c r="H561" s="1"/>
      <c r="K561" s="1"/>
      <c r="N561" s="1"/>
      <c r="Q561" s="1"/>
      <c r="T561" s="1"/>
      <c r="W561" s="3"/>
    </row>
    <row r="562" ht="15.75" customHeight="1">
      <c r="E562" s="1"/>
      <c r="H562" s="1"/>
      <c r="K562" s="1"/>
      <c r="N562" s="1"/>
      <c r="Q562" s="1"/>
      <c r="T562" s="1"/>
      <c r="W562" s="3"/>
    </row>
    <row r="563" ht="15.75" customHeight="1">
      <c r="E563" s="1"/>
      <c r="H563" s="1"/>
      <c r="K563" s="1"/>
      <c r="N563" s="1"/>
      <c r="Q563" s="1"/>
      <c r="T563" s="1"/>
      <c r="W563" s="3"/>
    </row>
    <row r="564" ht="15.75" customHeight="1">
      <c r="E564" s="1"/>
      <c r="H564" s="1"/>
      <c r="K564" s="1"/>
      <c r="N564" s="1"/>
      <c r="Q564" s="1"/>
      <c r="T564" s="1"/>
      <c r="W564" s="3"/>
    </row>
    <row r="565" ht="15.75" customHeight="1">
      <c r="E565" s="1"/>
      <c r="H565" s="1"/>
      <c r="K565" s="1"/>
      <c r="N565" s="1"/>
      <c r="Q565" s="1"/>
      <c r="T565" s="1"/>
      <c r="W565" s="3"/>
    </row>
    <row r="566" ht="15.75" customHeight="1">
      <c r="E566" s="1"/>
      <c r="H566" s="1"/>
      <c r="K566" s="1"/>
      <c r="N566" s="1"/>
      <c r="Q566" s="1"/>
      <c r="T566" s="1"/>
      <c r="W566" s="3"/>
    </row>
    <row r="567" ht="15.75" customHeight="1">
      <c r="E567" s="1"/>
      <c r="H567" s="1"/>
      <c r="K567" s="1"/>
      <c r="N567" s="1"/>
      <c r="Q567" s="1"/>
      <c r="T567" s="1"/>
      <c r="W567" s="3"/>
    </row>
    <row r="568" ht="15.75" customHeight="1">
      <c r="E568" s="1"/>
      <c r="H568" s="1"/>
      <c r="K568" s="1"/>
      <c r="N568" s="1"/>
      <c r="Q568" s="1"/>
      <c r="T568" s="1"/>
      <c r="W568" s="3"/>
    </row>
    <row r="569" ht="15.75" customHeight="1">
      <c r="E569" s="1"/>
      <c r="H569" s="1"/>
      <c r="K569" s="1"/>
      <c r="N569" s="1"/>
      <c r="Q569" s="1"/>
      <c r="T569" s="1"/>
      <c r="W569" s="3"/>
    </row>
    <row r="570" ht="15.75" customHeight="1">
      <c r="E570" s="1"/>
      <c r="H570" s="1"/>
      <c r="K570" s="1"/>
      <c r="N570" s="1"/>
      <c r="Q570" s="1"/>
      <c r="T570" s="1"/>
      <c r="W570" s="3"/>
    </row>
    <row r="571" ht="15.75" customHeight="1">
      <c r="E571" s="1"/>
      <c r="H571" s="1"/>
      <c r="K571" s="1"/>
      <c r="N571" s="1"/>
      <c r="Q571" s="1"/>
      <c r="T571" s="1"/>
      <c r="W571" s="3"/>
    </row>
    <row r="572" ht="15.75" customHeight="1">
      <c r="E572" s="1"/>
      <c r="H572" s="1"/>
      <c r="K572" s="1"/>
      <c r="N572" s="1"/>
      <c r="Q572" s="1"/>
      <c r="T572" s="1"/>
      <c r="W572" s="3"/>
    </row>
    <row r="573" ht="15.75" customHeight="1">
      <c r="E573" s="1"/>
      <c r="H573" s="1"/>
      <c r="K573" s="1"/>
      <c r="N573" s="1"/>
      <c r="Q573" s="1"/>
      <c r="T573" s="1"/>
      <c r="W573" s="3"/>
    </row>
    <row r="574" ht="15.75" customHeight="1">
      <c r="E574" s="1"/>
      <c r="H574" s="1"/>
      <c r="K574" s="1"/>
      <c r="N574" s="1"/>
      <c r="Q574" s="1"/>
      <c r="T574" s="1"/>
      <c r="W574" s="3"/>
    </row>
    <row r="575" ht="15.75" customHeight="1">
      <c r="E575" s="1"/>
      <c r="H575" s="1"/>
      <c r="K575" s="1"/>
      <c r="N575" s="1"/>
      <c r="Q575" s="1"/>
      <c r="T575" s="1"/>
      <c r="W575" s="3"/>
    </row>
    <row r="576" ht="15.75" customHeight="1">
      <c r="E576" s="1"/>
      <c r="H576" s="1"/>
      <c r="K576" s="1"/>
      <c r="N576" s="1"/>
      <c r="Q576" s="1"/>
      <c r="T576" s="1"/>
      <c r="W576" s="3"/>
    </row>
    <row r="577" ht="15.75" customHeight="1">
      <c r="E577" s="1"/>
      <c r="H577" s="1"/>
      <c r="K577" s="1"/>
      <c r="N577" s="1"/>
      <c r="Q577" s="1"/>
      <c r="T577" s="1"/>
      <c r="W577" s="3"/>
    </row>
    <row r="578" ht="15.75" customHeight="1">
      <c r="E578" s="1"/>
      <c r="H578" s="1"/>
      <c r="K578" s="1"/>
      <c r="N578" s="1"/>
      <c r="Q578" s="1"/>
      <c r="T578" s="1"/>
      <c r="W578" s="3"/>
    </row>
    <row r="579" ht="15.75" customHeight="1">
      <c r="E579" s="1"/>
      <c r="H579" s="1"/>
      <c r="K579" s="1"/>
      <c r="N579" s="1"/>
      <c r="Q579" s="1"/>
      <c r="T579" s="1"/>
      <c r="W579" s="3"/>
    </row>
    <row r="580" ht="15.75" customHeight="1">
      <c r="E580" s="1"/>
      <c r="H580" s="1"/>
      <c r="K580" s="1"/>
      <c r="N580" s="1"/>
      <c r="Q580" s="1"/>
      <c r="T580" s="1"/>
      <c r="W580" s="3"/>
    </row>
    <row r="581" ht="15.75" customHeight="1">
      <c r="E581" s="1"/>
      <c r="H581" s="1"/>
      <c r="K581" s="1"/>
      <c r="N581" s="1"/>
      <c r="Q581" s="1"/>
      <c r="T581" s="1"/>
      <c r="W581" s="3"/>
    </row>
    <row r="582" ht="15.75" customHeight="1">
      <c r="E582" s="1"/>
      <c r="H582" s="1"/>
      <c r="K582" s="1"/>
      <c r="N582" s="1"/>
      <c r="Q582" s="1"/>
      <c r="T582" s="1"/>
      <c r="W582" s="3"/>
    </row>
    <row r="583" ht="15.75" customHeight="1">
      <c r="E583" s="1"/>
      <c r="H583" s="1"/>
      <c r="K583" s="1"/>
      <c r="N583" s="1"/>
      <c r="Q583" s="1"/>
      <c r="T583" s="1"/>
      <c r="W583" s="3"/>
    </row>
    <row r="584" ht="15.75" customHeight="1">
      <c r="E584" s="1"/>
      <c r="H584" s="1"/>
      <c r="K584" s="1"/>
      <c r="N584" s="1"/>
      <c r="Q584" s="1"/>
      <c r="T584" s="1"/>
      <c r="W584" s="3"/>
    </row>
    <row r="585" ht="15.75" customHeight="1">
      <c r="E585" s="1"/>
      <c r="H585" s="1"/>
      <c r="K585" s="1"/>
      <c r="N585" s="1"/>
      <c r="Q585" s="1"/>
      <c r="T585" s="1"/>
      <c r="W585" s="3"/>
    </row>
    <row r="586" ht="15.75" customHeight="1">
      <c r="E586" s="1"/>
      <c r="H586" s="1"/>
      <c r="K586" s="1"/>
      <c r="N586" s="1"/>
      <c r="Q586" s="1"/>
      <c r="T586" s="1"/>
      <c r="W586" s="3"/>
    </row>
    <row r="587" ht="15.75" customHeight="1">
      <c r="E587" s="1"/>
      <c r="H587" s="1"/>
      <c r="K587" s="1"/>
      <c r="N587" s="1"/>
      <c r="Q587" s="1"/>
      <c r="T587" s="1"/>
      <c r="W587" s="3"/>
    </row>
    <row r="588" ht="15.75" customHeight="1">
      <c r="E588" s="1"/>
      <c r="H588" s="1"/>
      <c r="K588" s="1"/>
      <c r="N588" s="1"/>
      <c r="Q588" s="1"/>
      <c r="T588" s="1"/>
      <c r="W588" s="3"/>
    </row>
    <row r="589" ht="15.75" customHeight="1">
      <c r="E589" s="1"/>
      <c r="H589" s="1"/>
      <c r="K589" s="1"/>
      <c r="N589" s="1"/>
      <c r="Q589" s="1"/>
      <c r="T589" s="1"/>
      <c r="W589" s="3"/>
    </row>
    <row r="590" ht="15.75" customHeight="1">
      <c r="E590" s="1"/>
      <c r="H590" s="1"/>
      <c r="K590" s="1"/>
      <c r="N590" s="1"/>
      <c r="Q590" s="1"/>
      <c r="T590" s="1"/>
      <c r="W590" s="3"/>
    </row>
    <row r="591" ht="15.75" customHeight="1">
      <c r="E591" s="1"/>
      <c r="H591" s="1"/>
      <c r="K591" s="1"/>
      <c r="N591" s="1"/>
      <c r="Q591" s="1"/>
      <c r="T591" s="1"/>
      <c r="W591" s="3"/>
    </row>
    <row r="592" ht="15.75" customHeight="1">
      <c r="E592" s="1"/>
      <c r="H592" s="1"/>
      <c r="K592" s="1"/>
      <c r="N592" s="1"/>
      <c r="Q592" s="1"/>
      <c r="T592" s="1"/>
      <c r="W592" s="3"/>
    </row>
    <row r="593" ht="15.75" customHeight="1">
      <c r="E593" s="1"/>
      <c r="H593" s="1"/>
      <c r="K593" s="1"/>
      <c r="N593" s="1"/>
      <c r="Q593" s="1"/>
      <c r="T593" s="1"/>
      <c r="W593" s="3"/>
    </row>
    <row r="594" ht="15.75" customHeight="1">
      <c r="E594" s="1"/>
      <c r="H594" s="1"/>
      <c r="K594" s="1"/>
      <c r="N594" s="1"/>
      <c r="Q594" s="1"/>
      <c r="T594" s="1"/>
      <c r="W594" s="3"/>
    </row>
    <row r="595" ht="15.75" customHeight="1">
      <c r="E595" s="1"/>
      <c r="H595" s="1"/>
      <c r="K595" s="1"/>
      <c r="N595" s="1"/>
      <c r="Q595" s="1"/>
      <c r="T595" s="1"/>
      <c r="W595" s="3"/>
    </row>
    <row r="596" ht="15.75" customHeight="1">
      <c r="E596" s="1"/>
      <c r="H596" s="1"/>
      <c r="K596" s="1"/>
      <c r="N596" s="1"/>
      <c r="Q596" s="1"/>
      <c r="T596" s="1"/>
      <c r="W596" s="3"/>
    </row>
    <row r="597" ht="15.75" customHeight="1">
      <c r="E597" s="1"/>
      <c r="H597" s="1"/>
      <c r="K597" s="1"/>
      <c r="N597" s="1"/>
      <c r="Q597" s="1"/>
      <c r="T597" s="1"/>
      <c r="W597" s="3"/>
    </row>
    <row r="598" ht="15.75" customHeight="1">
      <c r="E598" s="1"/>
      <c r="H598" s="1"/>
      <c r="K598" s="1"/>
      <c r="N598" s="1"/>
      <c r="Q598" s="1"/>
      <c r="T598" s="1"/>
      <c r="W598" s="3"/>
    </row>
    <row r="599" ht="15.75" customHeight="1">
      <c r="E599" s="1"/>
      <c r="H599" s="1"/>
      <c r="K599" s="1"/>
      <c r="N599" s="1"/>
      <c r="Q599" s="1"/>
      <c r="T599" s="1"/>
      <c r="W599" s="3"/>
    </row>
    <row r="600" ht="15.75" customHeight="1">
      <c r="E600" s="1"/>
      <c r="H600" s="1"/>
      <c r="K600" s="1"/>
      <c r="N600" s="1"/>
      <c r="Q600" s="1"/>
      <c r="T600" s="1"/>
      <c r="W600" s="3"/>
    </row>
    <row r="601" ht="15.75" customHeight="1">
      <c r="E601" s="1"/>
      <c r="H601" s="1"/>
      <c r="K601" s="1"/>
      <c r="N601" s="1"/>
      <c r="Q601" s="1"/>
      <c r="T601" s="1"/>
      <c r="W601" s="3"/>
    </row>
    <row r="602" ht="15.75" customHeight="1">
      <c r="E602" s="1"/>
      <c r="H602" s="1"/>
      <c r="K602" s="1"/>
      <c r="N602" s="1"/>
      <c r="Q602" s="1"/>
      <c r="T602" s="1"/>
      <c r="W602" s="3"/>
    </row>
    <row r="603" ht="15.75" customHeight="1">
      <c r="E603" s="1"/>
      <c r="H603" s="1"/>
      <c r="K603" s="1"/>
      <c r="N603" s="1"/>
      <c r="Q603" s="1"/>
      <c r="T603" s="1"/>
      <c r="W603" s="3"/>
    </row>
    <row r="604" ht="15.75" customHeight="1">
      <c r="E604" s="1"/>
      <c r="H604" s="1"/>
      <c r="K604" s="1"/>
      <c r="N604" s="1"/>
      <c r="Q604" s="1"/>
      <c r="T604" s="1"/>
      <c r="W604" s="3"/>
    </row>
    <row r="605" ht="15.75" customHeight="1">
      <c r="E605" s="1"/>
      <c r="H605" s="1"/>
      <c r="K605" s="1"/>
      <c r="N605" s="1"/>
      <c r="Q605" s="1"/>
      <c r="T605" s="1"/>
      <c r="W605" s="3"/>
    </row>
    <row r="606" ht="15.75" customHeight="1">
      <c r="E606" s="1"/>
      <c r="H606" s="1"/>
      <c r="K606" s="1"/>
      <c r="N606" s="1"/>
      <c r="Q606" s="1"/>
      <c r="T606" s="1"/>
      <c r="W606" s="3"/>
    </row>
    <row r="607" ht="15.75" customHeight="1">
      <c r="E607" s="1"/>
      <c r="H607" s="1"/>
      <c r="K607" s="1"/>
      <c r="N607" s="1"/>
      <c r="Q607" s="1"/>
      <c r="T607" s="1"/>
      <c r="W607" s="3"/>
    </row>
    <row r="608" ht="15.75" customHeight="1">
      <c r="E608" s="1"/>
      <c r="H608" s="1"/>
      <c r="K608" s="1"/>
      <c r="N608" s="1"/>
      <c r="Q608" s="1"/>
      <c r="T608" s="1"/>
      <c r="W608" s="3"/>
    </row>
    <row r="609" ht="15.75" customHeight="1">
      <c r="E609" s="1"/>
      <c r="H609" s="1"/>
      <c r="K609" s="1"/>
      <c r="N609" s="1"/>
      <c r="Q609" s="1"/>
      <c r="T609" s="1"/>
      <c r="W609" s="3"/>
    </row>
    <row r="610" ht="15.75" customHeight="1">
      <c r="E610" s="1"/>
      <c r="H610" s="1"/>
      <c r="K610" s="1"/>
      <c r="N610" s="1"/>
      <c r="Q610" s="1"/>
      <c r="T610" s="1"/>
      <c r="W610" s="3"/>
    </row>
    <row r="611" ht="15.75" customHeight="1">
      <c r="E611" s="1"/>
      <c r="H611" s="1"/>
      <c r="K611" s="1"/>
      <c r="N611" s="1"/>
      <c r="Q611" s="1"/>
      <c r="T611" s="1"/>
      <c r="W611" s="3"/>
    </row>
    <row r="612" ht="15.75" customHeight="1">
      <c r="E612" s="1"/>
      <c r="H612" s="1"/>
      <c r="K612" s="1"/>
      <c r="N612" s="1"/>
      <c r="Q612" s="1"/>
      <c r="T612" s="1"/>
      <c r="W612" s="3"/>
    </row>
    <row r="613" ht="15.75" customHeight="1">
      <c r="E613" s="1"/>
      <c r="H613" s="1"/>
      <c r="K613" s="1"/>
      <c r="N613" s="1"/>
      <c r="Q613" s="1"/>
      <c r="T613" s="1"/>
      <c r="W613" s="3"/>
    </row>
    <row r="614" ht="15.75" customHeight="1">
      <c r="E614" s="1"/>
      <c r="H614" s="1"/>
      <c r="K614" s="1"/>
      <c r="N614" s="1"/>
      <c r="Q614" s="1"/>
      <c r="T614" s="1"/>
      <c r="W614" s="3"/>
    </row>
    <row r="615" ht="15.75" customHeight="1">
      <c r="E615" s="1"/>
      <c r="H615" s="1"/>
      <c r="K615" s="1"/>
      <c r="N615" s="1"/>
      <c r="Q615" s="1"/>
      <c r="T615" s="1"/>
      <c r="W615" s="3"/>
    </row>
    <row r="616" ht="15.75" customHeight="1">
      <c r="E616" s="1"/>
      <c r="H616" s="1"/>
      <c r="K616" s="1"/>
      <c r="N616" s="1"/>
      <c r="Q616" s="1"/>
      <c r="T616" s="1"/>
      <c r="W616" s="3"/>
    </row>
    <row r="617" ht="15.75" customHeight="1">
      <c r="E617" s="1"/>
      <c r="H617" s="1"/>
      <c r="K617" s="1"/>
      <c r="N617" s="1"/>
      <c r="Q617" s="1"/>
      <c r="T617" s="1"/>
      <c r="W617" s="3"/>
    </row>
    <row r="618" ht="15.75" customHeight="1">
      <c r="E618" s="1"/>
      <c r="H618" s="1"/>
      <c r="K618" s="1"/>
      <c r="N618" s="1"/>
      <c r="Q618" s="1"/>
      <c r="T618" s="1"/>
      <c r="W618" s="3"/>
    </row>
    <row r="619" ht="15.75" customHeight="1">
      <c r="E619" s="1"/>
      <c r="H619" s="1"/>
      <c r="K619" s="1"/>
      <c r="N619" s="1"/>
      <c r="Q619" s="1"/>
      <c r="T619" s="1"/>
      <c r="W619" s="3"/>
    </row>
    <row r="620" ht="15.75" customHeight="1">
      <c r="E620" s="1"/>
      <c r="H620" s="1"/>
      <c r="K620" s="1"/>
      <c r="N620" s="1"/>
      <c r="Q620" s="1"/>
      <c r="T620" s="1"/>
      <c r="W620" s="3"/>
    </row>
    <row r="621" ht="15.75" customHeight="1">
      <c r="E621" s="1"/>
      <c r="H621" s="1"/>
      <c r="K621" s="1"/>
      <c r="N621" s="1"/>
      <c r="Q621" s="1"/>
      <c r="T621" s="1"/>
      <c r="W621" s="3"/>
    </row>
    <row r="622" ht="15.75" customHeight="1">
      <c r="E622" s="1"/>
      <c r="H622" s="1"/>
      <c r="K622" s="1"/>
      <c r="N622" s="1"/>
      <c r="Q622" s="1"/>
      <c r="T622" s="1"/>
      <c r="W622" s="3"/>
    </row>
    <row r="623" ht="15.75" customHeight="1">
      <c r="E623" s="1"/>
      <c r="H623" s="1"/>
      <c r="K623" s="1"/>
      <c r="N623" s="1"/>
      <c r="Q623" s="1"/>
      <c r="T623" s="1"/>
      <c r="W623" s="3"/>
    </row>
    <row r="624" ht="15.75" customHeight="1">
      <c r="E624" s="1"/>
      <c r="H624" s="1"/>
      <c r="K624" s="1"/>
      <c r="N624" s="1"/>
      <c r="Q624" s="1"/>
      <c r="T624" s="1"/>
      <c r="W624" s="3"/>
    </row>
    <row r="625" ht="15.75" customHeight="1">
      <c r="E625" s="1"/>
      <c r="H625" s="1"/>
      <c r="K625" s="1"/>
      <c r="N625" s="1"/>
      <c r="Q625" s="1"/>
      <c r="T625" s="1"/>
      <c r="W625" s="3"/>
    </row>
    <row r="626" ht="15.75" customHeight="1">
      <c r="E626" s="1"/>
      <c r="H626" s="1"/>
      <c r="K626" s="1"/>
      <c r="N626" s="1"/>
      <c r="Q626" s="1"/>
      <c r="T626" s="1"/>
      <c r="W626" s="3"/>
    </row>
    <row r="627" ht="15.75" customHeight="1">
      <c r="E627" s="1"/>
      <c r="H627" s="1"/>
      <c r="K627" s="1"/>
      <c r="N627" s="1"/>
      <c r="Q627" s="1"/>
      <c r="T627" s="1"/>
      <c r="W627" s="3"/>
    </row>
    <row r="628" ht="15.75" customHeight="1">
      <c r="E628" s="1"/>
      <c r="H628" s="1"/>
      <c r="K628" s="1"/>
      <c r="N628" s="1"/>
      <c r="Q628" s="1"/>
      <c r="T628" s="1"/>
      <c r="W628" s="3"/>
    </row>
    <row r="629" ht="15.75" customHeight="1">
      <c r="E629" s="1"/>
      <c r="H629" s="1"/>
      <c r="K629" s="1"/>
      <c r="N629" s="1"/>
      <c r="Q629" s="1"/>
      <c r="T629" s="1"/>
      <c r="W629" s="3"/>
    </row>
    <row r="630" ht="15.75" customHeight="1">
      <c r="E630" s="1"/>
      <c r="H630" s="1"/>
      <c r="K630" s="1"/>
      <c r="N630" s="1"/>
      <c r="Q630" s="1"/>
      <c r="T630" s="1"/>
      <c r="W630" s="3"/>
    </row>
    <row r="631" ht="15.75" customHeight="1">
      <c r="E631" s="1"/>
      <c r="H631" s="1"/>
      <c r="K631" s="1"/>
      <c r="N631" s="1"/>
      <c r="Q631" s="1"/>
      <c r="T631" s="1"/>
      <c r="W631" s="3"/>
    </row>
    <row r="632" ht="15.75" customHeight="1">
      <c r="E632" s="1"/>
      <c r="H632" s="1"/>
      <c r="K632" s="1"/>
      <c r="N632" s="1"/>
      <c r="Q632" s="1"/>
      <c r="T632" s="1"/>
      <c r="W632" s="3"/>
    </row>
    <row r="633" ht="15.75" customHeight="1">
      <c r="E633" s="1"/>
      <c r="H633" s="1"/>
      <c r="K633" s="1"/>
      <c r="N633" s="1"/>
      <c r="Q633" s="1"/>
      <c r="T633" s="1"/>
      <c r="W633" s="3"/>
    </row>
    <row r="634" ht="15.75" customHeight="1">
      <c r="E634" s="1"/>
      <c r="H634" s="1"/>
      <c r="K634" s="1"/>
      <c r="N634" s="1"/>
      <c r="Q634" s="1"/>
      <c r="T634" s="1"/>
      <c r="W634" s="3"/>
    </row>
    <row r="635" ht="15.75" customHeight="1">
      <c r="E635" s="1"/>
      <c r="H635" s="1"/>
      <c r="K635" s="1"/>
      <c r="N635" s="1"/>
      <c r="Q635" s="1"/>
      <c r="T635" s="1"/>
      <c r="W635" s="3"/>
    </row>
    <row r="636" ht="15.75" customHeight="1">
      <c r="E636" s="1"/>
      <c r="H636" s="1"/>
      <c r="K636" s="1"/>
      <c r="N636" s="1"/>
      <c r="Q636" s="1"/>
      <c r="T636" s="1"/>
      <c r="W636" s="3"/>
    </row>
    <row r="637" ht="15.75" customHeight="1">
      <c r="E637" s="1"/>
      <c r="H637" s="1"/>
      <c r="K637" s="1"/>
      <c r="N637" s="1"/>
      <c r="Q637" s="1"/>
      <c r="T637" s="1"/>
      <c r="W637" s="3"/>
    </row>
    <row r="638" ht="15.75" customHeight="1">
      <c r="E638" s="1"/>
      <c r="H638" s="1"/>
      <c r="K638" s="1"/>
      <c r="N638" s="1"/>
      <c r="Q638" s="1"/>
      <c r="T638" s="1"/>
      <c r="W638" s="3"/>
    </row>
    <row r="639" ht="15.75" customHeight="1">
      <c r="E639" s="1"/>
      <c r="H639" s="1"/>
      <c r="K639" s="1"/>
      <c r="N639" s="1"/>
      <c r="Q639" s="1"/>
      <c r="T639" s="1"/>
      <c r="W639" s="3"/>
    </row>
    <row r="640" ht="15.75" customHeight="1">
      <c r="E640" s="1"/>
      <c r="H640" s="1"/>
      <c r="K640" s="1"/>
      <c r="N640" s="1"/>
      <c r="Q640" s="1"/>
      <c r="T640" s="1"/>
      <c r="W640" s="3"/>
    </row>
    <row r="641" ht="15.75" customHeight="1">
      <c r="E641" s="1"/>
      <c r="H641" s="1"/>
      <c r="K641" s="1"/>
      <c r="N641" s="1"/>
      <c r="Q641" s="1"/>
      <c r="T641" s="1"/>
      <c r="W641" s="3"/>
    </row>
    <row r="642" ht="15.75" customHeight="1">
      <c r="E642" s="1"/>
      <c r="H642" s="1"/>
      <c r="K642" s="1"/>
      <c r="N642" s="1"/>
      <c r="Q642" s="1"/>
      <c r="T642" s="1"/>
      <c r="W642" s="3"/>
    </row>
    <row r="643" ht="15.75" customHeight="1">
      <c r="E643" s="1"/>
      <c r="H643" s="1"/>
      <c r="K643" s="1"/>
      <c r="N643" s="1"/>
      <c r="Q643" s="1"/>
      <c r="T643" s="1"/>
      <c r="W643" s="3"/>
    </row>
    <row r="644" ht="15.75" customHeight="1">
      <c r="E644" s="1"/>
      <c r="H644" s="1"/>
      <c r="K644" s="1"/>
      <c r="N644" s="1"/>
      <c r="Q644" s="1"/>
      <c r="T644" s="1"/>
      <c r="W644" s="3"/>
    </row>
    <row r="645" ht="15.75" customHeight="1">
      <c r="E645" s="1"/>
      <c r="H645" s="1"/>
      <c r="K645" s="1"/>
      <c r="N645" s="1"/>
      <c r="Q645" s="1"/>
      <c r="T645" s="1"/>
      <c r="W645" s="3"/>
    </row>
    <row r="646" ht="15.75" customHeight="1">
      <c r="E646" s="1"/>
      <c r="H646" s="1"/>
      <c r="K646" s="1"/>
      <c r="N646" s="1"/>
      <c r="Q646" s="1"/>
      <c r="T646" s="1"/>
      <c r="W646" s="3"/>
    </row>
    <row r="647" ht="15.75" customHeight="1">
      <c r="E647" s="1"/>
      <c r="H647" s="1"/>
      <c r="K647" s="1"/>
      <c r="N647" s="1"/>
      <c r="Q647" s="1"/>
      <c r="T647" s="1"/>
      <c r="W647" s="3"/>
    </row>
    <row r="648" ht="15.75" customHeight="1">
      <c r="E648" s="1"/>
      <c r="H648" s="1"/>
      <c r="K648" s="1"/>
      <c r="N648" s="1"/>
      <c r="Q648" s="1"/>
      <c r="T648" s="1"/>
      <c r="W648" s="3"/>
    </row>
    <row r="649" ht="15.75" customHeight="1">
      <c r="E649" s="1"/>
      <c r="H649" s="1"/>
      <c r="K649" s="1"/>
      <c r="N649" s="1"/>
      <c r="Q649" s="1"/>
      <c r="T649" s="1"/>
      <c r="W649" s="3"/>
    </row>
    <row r="650" ht="15.75" customHeight="1">
      <c r="E650" s="1"/>
      <c r="H650" s="1"/>
      <c r="K650" s="1"/>
      <c r="N650" s="1"/>
      <c r="Q650" s="1"/>
      <c r="T650" s="1"/>
      <c r="W650" s="3"/>
    </row>
    <row r="651" ht="15.75" customHeight="1">
      <c r="E651" s="1"/>
      <c r="H651" s="1"/>
      <c r="K651" s="1"/>
      <c r="N651" s="1"/>
      <c r="Q651" s="1"/>
      <c r="T651" s="1"/>
      <c r="W651" s="3"/>
    </row>
    <row r="652" ht="15.75" customHeight="1">
      <c r="E652" s="1"/>
      <c r="H652" s="1"/>
      <c r="K652" s="1"/>
      <c r="N652" s="1"/>
      <c r="Q652" s="1"/>
      <c r="T652" s="1"/>
      <c r="W652" s="3"/>
    </row>
    <row r="653" ht="15.75" customHeight="1">
      <c r="E653" s="1"/>
      <c r="H653" s="1"/>
      <c r="K653" s="1"/>
      <c r="N653" s="1"/>
      <c r="Q653" s="1"/>
      <c r="T653" s="1"/>
      <c r="W653" s="3"/>
    </row>
    <row r="654" ht="15.75" customHeight="1">
      <c r="E654" s="1"/>
      <c r="H654" s="1"/>
      <c r="K654" s="1"/>
      <c r="N654" s="1"/>
      <c r="Q654" s="1"/>
      <c r="T654" s="1"/>
      <c r="W654" s="3"/>
    </row>
    <row r="655" ht="15.75" customHeight="1">
      <c r="E655" s="1"/>
      <c r="H655" s="1"/>
      <c r="K655" s="1"/>
      <c r="N655" s="1"/>
      <c r="Q655" s="1"/>
      <c r="T655" s="1"/>
      <c r="W655" s="3"/>
    </row>
    <row r="656" ht="15.75" customHeight="1">
      <c r="E656" s="1"/>
      <c r="H656" s="1"/>
      <c r="K656" s="1"/>
      <c r="N656" s="1"/>
      <c r="Q656" s="1"/>
      <c r="T656" s="1"/>
      <c r="W656" s="3"/>
    </row>
    <row r="657" ht="15.75" customHeight="1">
      <c r="E657" s="1"/>
      <c r="H657" s="1"/>
      <c r="K657" s="1"/>
      <c r="N657" s="1"/>
      <c r="Q657" s="1"/>
      <c r="T657" s="1"/>
      <c r="W657" s="3"/>
    </row>
    <row r="658" ht="15.75" customHeight="1">
      <c r="E658" s="1"/>
      <c r="H658" s="1"/>
      <c r="K658" s="1"/>
      <c r="N658" s="1"/>
      <c r="Q658" s="1"/>
      <c r="T658" s="1"/>
      <c r="W658" s="3"/>
    </row>
    <row r="659" ht="15.75" customHeight="1">
      <c r="E659" s="1"/>
      <c r="H659" s="1"/>
      <c r="K659" s="1"/>
      <c r="N659" s="1"/>
      <c r="Q659" s="1"/>
      <c r="T659" s="1"/>
      <c r="W659" s="3"/>
    </row>
    <row r="660" ht="15.75" customHeight="1">
      <c r="E660" s="1"/>
      <c r="H660" s="1"/>
      <c r="K660" s="1"/>
      <c r="N660" s="1"/>
      <c r="Q660" s="1"/>
      <c r="T660" s="1"/>
      <c r="W660" s="3"/>
    </row>
    <row r="661" ht="15.75" customHeight="1">
      <c r="E661" s="1"/>
      <c r="H661" s="1"/>
      <c r="K661" s="1"/>
      <c r="N661" s="1"/>
      <c r="Q661" s="1"/>
      <c r="T661" s="1"/>
      <c r="W661" s="3"/>
    </row>
    <row r="662" ht="15.75" customHeight="1">
      <c r="E662" s="1"/>
      <c r="H662" s="1"/>
      <c r="K662" s="1"/>
      <c r="N662" s="1"/>
      <c r="Q662" s="1"/>
      <c r="T662" s="1"/>
      <c r="W662" s="3"/>
    </row>
    <row r="663" ht="15.75" customHeight="1">
      <c r="E663" s="1"/>
      <c r="H663" s="1"/>
      <c r="K663" s="1"/>
      <c r="N663" s="1"/>
      <c r="Q663" s="1"/>
      <c r="T663" s="1"/>
      <c r="W663" s="3"/>
    </row>
    <row r="664" ht="15.75" customHeight="1">
      <c r="E664" s="1"/>
      <c r="H664" s="1"/>
      <c r="K664" s="1"/>
      <c r="N664" s="1"/>
      <c r="Q664" s="1"/>
      <c r="T664" s="1"/>
      <c r="W664" s="3"/>
    </row>
    <row r="665" ht="15.75" customHeight="1">
      <c r="E665" s="1"/>
      <c r="H665" s="1"/>
      <c r="K665" s="1"/>
      <c r="N665" s="1"/>
      <c r="Q665" s="1"/>
      <c r="T665" s="1"/>
      <c r="W665" s="3"/>
    </row>
    <row r="666" ht="15.75" customHeight="1">
      <c r="E666" s="1"/>
      <c r="H666" s="1"/>
      <c r="K666" s="1"/>
      <c r="N666" s="1"/>
      <c r="Q666" s="1"/>
      <c r="T666" s="1"/>
      <c r="W666" s="3"/>
    </row>
    <row r="667" ht="15.75" customHeight="1">
      <c r="E667" s="1"/>
      <c r="H667" s="1"/>
      <c r="K667" s="1"/>
      <c r="N667" s="1"/>
      <c r="Q667" s="1"/>
      <c r="T667" s="1"/>
      <c r="W667" s="3"/>
    </row>
    <row r="668" ht="15.75" customHeight="1">
      <c r="E668" s="1"/>
      <c r="H668" s="1"/>
      <c r="K668" s="1"/>
      <c r="N668" s="1"/>
      <c r="Q668" s="1"/>
      <c r="T668" s="1"/>
      <c r="W668" s="3"/>
    </row>
    <row r="669" ht="15.75" customHeight="1">
      <c r="E669" s="1"/>
      <c r="H669" s="1"/>
      <c r="K669" s="1"/>
      <c r="N669" s="1"/>
      <c r="Q669" s="1"/>
      <c r="T669" s="1"/>
      <c r="W669" s="3"/>
    </row>
    <row r="670" ht="15.75" customHeight="1">
      <c r="E670" s="1"/>
      <c r="H670" s="1"/>
      <c r="K670" s="1"/>
      <c r="N670" s="1"/>
      <c r="Q670" s="1"/>
      <c r="T670" s="1"/>
      <c r="W670" s="3"/>
    </row>
    <row r="671" ht="15.75" customHeight="1">
      <c r="E671" s="1"/>
      <c r="H671" s="1"/>
      <c r="K671" s="1"/>
      <c r="N671" s="1"/>
      <c r="Q671" s="1"/>
      <c r="T671" s="1"/>
      <c r="W671" s="3"/>
    </row>
    <row r="672" ht="15.75" customHeight="1">
      <c r="E672" s="1"/>
      <c r="H672" s="1"/>
      <c r="K672" s="1"/>
      <c r="N672" s="1"/>
      <c r="Q672" s="1"/>
      <c r="T672" s="1"/>
      <c r="W672" s="3"/>
    </row>
    <row r="673" ht="15.75" customHeight="1">
      <c r="E673" s="1"/>
      <c r="H673" s="1"/>
      <c r="K673" s="1"/>
      <c r="N673" s="1"/>
      <c r="Q673" s="1"/>
      <c r="T673" s="1"/>
      <c r="W673" s="3"/>
    </row>
    <row r="674" ht="15.75" customHeight="1">
      <c r="E674" s="1"/>
      <c r="H674" s="1"/>
      <c r="K674" s="1"/>
      <c r="N674" s="1"/>
      <c r="Q674" s="1"/>
      <c r="T674" s="1"/>
      <c r="W674" s="3"/>
    </row>
    <row r="675" ht="15.75" customHeight="1">
      <c r="E675" s="1"/>
      <c r="H675" s="1"/>
      <c r="K675" s="1"/>
      <c r="N675" s="1"/>
      <c r="Q675" s="1"/>
      <c r="T675" s="1"/>
      <c r="W675" s="3"/>
    </row>
    <row r="676" ht="15.75" customHeight="1">
      <c r="E676" s="1"/>
      <c r="H676" s="1"/>
      <c r="K676" s="1"/>
      <c r="N676" s="1"/>
      <c r="Q676" s="1"/>
      <c r="T676" s="1"/>
      <c r="W676" s="3"/>
    </row>
    <row r="677" ht="15.75" customHeight="1">
      <c r="E677" s="1"/>
      <c r="H677" s="1"/>
      <c r="K677" s="1"/>
      <c r="N677" s="1"/>
      <c r="Q677" s="1"/>
      <c r="T677" s="1"/>
      <c r="W677" s="3"/>
    </row>
    <row r="678" ht="15.75" customHeight="1">
      <c r="E678" s="1"/>
      <c r="H678" s="1"/>
      <c r="K678" s="1"/>
      <c r="N678" s="1"/>
      <c r="Q678" s="1"/>
      <c r="T678" s="1"/>
      <c r="W678" s="3"/>
    </row>
    <row r="679" ht="15.75" customHeight="1">
      <c r="E679" s="1"/>
      <c r="H679" s="1"/>
      <c r="K679" s="1"/>
      <c r="N679" s="1"/>
      <c r="Q679" s="1"/>
      <c r="T679" s="1"/>
      <c r="W679" s="3"/>
    </row>
    <row r="680" ht="15.75" customHeight="1">
      <c r="E680" s="1"/>
      <c r="H680" s="1"/>
      <c r="K680" s="1"/>
      <c r="N680" s="1"/>
      <c r="Q680" s="1"/>
      <c r="T680" s="1"/>
      <c r="W680" s="3"/>
    </row>
    <row r="681" ht="15.75" customHeight="1">
      <c r="E681" s="1"/>
      <c r="H681" s="1"/>
      <c r="K681" s="1"/>
      <c r="N681" s="1"/>
      <c r="Q681" s="1"/>
      <c r="T681" s="1"/>
      <c r="W681" s="3"/>
    </row>
    <row r="682" ht="15.75" customHeight="1">
      <c r="E682" s="1"/>
      <c r="H682" s="1"/>
      <c r="K682" s="1"/>
      <c r="N682" s="1"/>
      <c r="Q682" s="1"/>
      <c r="T682" s="1"/>
      <c r="W682" s="3"/>
    </row>
    <row r="683" ht="15.75" customHeight="1">
      <c r="E683" s="1"/>
      <c r="H683" s="1"/>
      <c r="K683" s="1"/>
      <c r="N683" s="1"/>
      <c r="Q683" s="1"/>
      <c r="T683" s="1"/>
      <c r="W683" s="3"/>
    </row>
    <row r="684" ht="15.75" customHeight="1">
      <c r="E684" s="1"/>
      <c r="H684" s="1"/>
      <c r="K684" s="1"/>
      <c r="N684" s="1"/>
      <c r="Q684" s="1"/>
      <c r="T684" s="1"/>
      <c r="W684" s="3"/>
    </row>
    <row r="685" ht="15.75" customHeight="1">
      <c r="E685" s="1"/>
      <c r="H685" s="1"/>
      <c r="K685" s="1"/>
      <c r="N685" s="1"/>
      <c r="Q685" s="1"/>
      <c r="T685" s="1"/>
      <c r="W685" s="3"/>
    </row>
    <row r="686" ht="15.75" customHeight="1">
      <c r="E686" s="1"/>
      <c r="H686" s="1"/>
      <c r="K686" s="1"/>
      <c r="N686" s="1"/>
      <c r="Q686" s="1"/>
      <c r="T686" s="1"/>
      <c r="W686" s="3"/>
    </row>
    <row r="687" ht="15.75" customHeight="1">
      <c r="E687" s="1"/>
      <c r="H687" s="1"/>
      <c r="K687" s="1"/>
      <c r="N687" s="1"/>
      <c r="Q687" s="1"/>
      <c r="T687" s="1"/>
      <c r="W687" s="3"/>
    </row>
    <row r="688" ht="15.75" customHeight="1">
      <c r="E688" s="1"/>
      <c r="H688" s="1"/>
      <c r="K688" s="1"/>
      <c r="N688" s="1"/>
      <c r="Q688" s="1"/>
      <c r="T688" s="1"/>
      <c r="W688" s="3"/>
    </row>
    <row r="689" ht="15.75" customHeight="1">
      <c r="E689" s="1"/>
      <c r="H689" s="1"/>
      <c r="K689" s="1"/>
      <c r="N689" s="1"/>
      <c r="Q689" s="1"/>
      <c r="T689" s="1"/>
      <c r="W689" s="3"/>
    </row>
    <row r="690" ht="15.75" customHeight="1">
      <c r="E690" s="1"/>
      <c r="H690" s="1"/>
      <c r="K690" s="1"/>
      <c r="N690" s="1"/>
      <c r="Q690" s="1"/>
      <c r="T690" s="1"/>
      <c r="W690" s="3"/>
    </row>
    <row r="691" ht="15.75" customHeight="1">
      <c r="E691" s="1"/>
      <c r="H691" s="1"/>
      <c r="K691" s="1"/>
      <c r="N691" s="1"/>
      <c r="Q691" s="1"/>
      <c r="T691" s="1"/>
      <c r="W691" s="3"/>
    </row>
    <row r="692" ht="15.75" customHeight="1">
      <c r="E692" s="1"/>
      <c r="H692" s="1"/>
      <c r="K692" s="1"/>
      <c r="N692" s="1"/>
      <c r="Q692" s="1"/>
      <c r="T692" s="1"/>
      <c r="W692" s="3"/>
    </row>
    <row r="693" ht="15.75" customHeight="1">
      <c r="E693" s="1"/>
      <c r="H693" s="1"/>
      <c r="K693" s="1"/>
      <c r="N693" s="1"/>
      <c r="Q693" s="1"/>
      <c r="T693" s="1"/>
      <c r="W693" s="3"/>
    </row>
    <row r="694" ht="15.75" customHeight="1">
      <c r="E694" s="1"/>
      <c r="H694" s="1"/>
      <c r="K694" s="1"/>
      <c r="N694" s="1"/>
      <c r="Q694" s="1"/>
      <c r="T694" s="1"/>
      <c r="W694" s="3"/>
    </row>
    <row r="695" ht="15.75" customHeight="1">
      <c r="E695" s="1"/>
      <c r="H695" s="1"/>
      <c r="K695" s="1"/>
      <c r="N695" s="1"/>
      <c r="Q695" s="1"/>
      <c r="T695" s="1"/>
      <c r="W695" s="3"/>
    </row>
    <row r="696" ht="15.75" customHeight="1">
      <c r="E696" s="1"/>
      <c r="H696" s="1"/>
      <c r="K696" s="1"/>
      <c r="N696" s="1"/>
      <c r="Q696" s="1"/>
      <c r="T696" s="1"/>
      <c r="W696" s="3"/>
    </row>
    <row r="697" ht="15.75" customHeight="1">
      <c r="E697" s="1"/>
      <c r="H697" s="1"/>
      <c r="K697" s="1"/>
      <c r="N697" s="1"/>
      <c r="Q697" s="1"/>
      <c r="T697" s="1"/>
      <c r="W697" s="3"/>
    </row>
    <row r="698" ht="15.75" customHeight="1">
      <c r="E698" s="1"/>
      <c r="H698" s="1"/>
      <c r="K698" s="1"/>
      <c r="N698" s="1"/>
      <c r="Q698" s="1"/>
      <c r="T698" s="1"/>
      <c r="W698" s="3"/>
    </row>
    <row r="699" ht="15.75" customHeight="1">
      <c r="E699" s="1"/>
      <c r="H699" s="1"/>
      <c r="K699" s="1"/>
      <c r="N699" s="1"/>
      <c r="Q699" s="1"/>
      <c r="T699" s="1"/>
      <c r="W699" s="3"/>
    </row>
    <row r="700" ht="15.75" customHeight="1">
      <c r="E700" s="1"/>
      <c r="H700" s="1"/>
      <c r="K700" s="1"/>
      <c r="N700" s="1"/>
      <c r="Q700" s="1"/>
      <c r="T700" s="1"/>
      <c r="W700" s="3"/>
    </row>
    <row r="701" ht="15.75" customHeight="1">
      <c r="E701" s="1"/>
      <c r="H701" s="1"/>
      <c r="K701" s="1"/>
      <c r="N701" s="1"/>
      <c r="Q701" s="1"/>
      <c r="T701" s="1"/>
      <c r="W701" s="3"/>
    </row>
    <row r="702" ht="15.75" customHeight="1">
      <c r="E702" s="1"/>
      <c r="H702" s="1"/>
      <c r="K702" s="1"/>
      <c r="N702" s="1"/>
      <c r="Q702" s="1"/>
      <c r="T702" s="1"/>
      <c r="W702" s="3"/>
    </row>
    <row r="703" ht="15.75" customHeight="1">
      <c r="E703" s="1"/>
      <c r="H703" s="1"/>
      <c r="K703" s="1"/>
      <c r="N703" s="1"/>
      <c r="Q703" s="1"/>
      <c r="T703" s="1"/>
      <c r="W703" s="3"/>
    </row>
    <row r="704" ht="15.75" customHeight="1">
      <c r="E704" s="1"/>
      <c r="H704" s="1"/>
      <c r="K704" s="1"/>
      <c r="N704" s="1"/>
      <c r="Q704" s="1"/>
      <c r="T704" s="1"/>
      <c r="W704" s="3"/>
    </row>
    <row r="705" ht="15.75" customHeight="1">
      <c r="E705" s="1"/>
      <c r="H705" s="1"/>
      <c r="K705" s="1"/>
      <c r="N705" s="1"/>
      <c r="Q705" s="1"/>
      <c r="T705" s="1"/>
      <c r="W705" s="3"/>
    </row>
    <row r="706" ht="15.75" customHeight="1">
      <c r="E706" s="1"/>
      <c r="H706" s="1"/>
      <c r="K706" s="1"/>
      <c r="N706" s="1"/>
      <c r="Q706" s="1"/>
      <c r="T706" s="1"/>
      <c r="W706" s="3"/>
    </row>
    <row r="707" ht="15.75" customHeight="1">
      <c r="E707" s="1"/>
      <c r="H707" s="1"/>
      <c r="K707" s="1"/>
      <c r="N707" s="1"/>
      <c r="Q707" s="1"/>
      <c r="T707" s="1"/>
      <c r="W707" s="3"/>
    </row>
    <row r="708" ht="15.75" customHeight="1">
      <c r="E708" s="1"/>
      <c r="H708" s="1"/>
      <c r="K708" s="1"/>
      <c r="N708" s="1"/>
      <c r="Q708" s="1"/>
      <c r="T708" s="1"/>
      <c r="W708" s="3"/>
    </row>
    <row r="709" ht="15.75" customHeight="1">
      <c r="E709" s="1"/>
      <c r="H709" s="1"/>
      <c r="K709" s="1"/>
      <c r="N709" s="1"/>
      <c r="Q709" s="1"/>
      <c r="T709" s="1"/>
      <c r="W709" s="3"/>
    </row>
    <row r="710" ht="15.75" customHeight="1">
      <c r="E710" s="1"/>
      <c r="H710" s="1"/>
      <c r="K710" s="1"/>
      <c r="N710" s="1"/>
      <c r="Q710" s="1"/>
      <c r="T710" s="1"/>
      <c r="W710" s="3"/>
    </row>
    <row r="711" ht="15.75" customHeight="1">
      <c r="E711" s="1"/>
      <c r="H711" s="1"/>
      <c r="K711" s="1"/>
      <c r="N711" s="1"/>
      <c r="Q711" s="1"/>
      <c r="T711" s="1"/>
      <c r="W711" s="3"/>
    </row>
    <row r="712" ht="15.75" customHeight="1">
      <c r="E712" s="1"/>
      <c r="H712" s="1"/>
      <c r="K712" s="1"/>
      <c r="N712" s="1"/>
      <c r="Q712" s="1"/>
      <c r="T712" s="1"/>
      <c r="W712" s="3"/>
    </row>
    <row r="713" ht="15.75" customHeight="1">
      <c r="E713" s="1"/>
      <c r="H713" s="1"/>
      <c r="K713" s="1"/>
      <c r="N713" s="1"/>
      <c r="Q713" s="1"/>
      <c r="T713" s="1"/>
      <c r="W713" s="3"/>
    </row>
    <row r="714" ht="15.75" customHeight="1">
      <c r="E714" s="1"/>
      <c r="H714" s="1"/>
      <c r="K714" s="1"/>
      <c r="N714" s="1"/>
      <c r="Q714" s="1"/>
      <c r="T714" s="1"/>
      <c r="W714" s="3"/>
    </row>
    <row r="715" ht="15.75" customHeight="1">
      <c r="E715" s="1"/>
      <c r="H715" s="1"/>
      <c r="K715" s="1"/>
      <c r="N715" s="1"/>
      <c r="Q715" s="1"/>
      <c r="T715" s="1"/>
      <c r="W715" s="3"/>
    </row>
    <row r="716" ht="15.75" customHeight="1">
      <c r="E716" s="1"/>
      <c r="H716" s="1"/>
      <c r="K716" s="1"/>
      <c r="N716" s="1"/>
      <c r="Q716" s="1"/>
      <c r="T716" s="1"/>
      <c r="W716" s="3"/>
    </row>
    <row r="717" ht="15.75" customHeight="1">
      <c r="E717" s="1"/>
      <c r="H717" s="1"/>
      <c r="K717" s="1"/>
      <c r="N717" s="1"/>
      <c r="Q717" s="1"/>
      <c r="T717" s="1"/>
      <c r="W717" s="3"/>
    </row>
    <row r="718" ht="15.75" customHeight="1">
      <c r="E718" s="1"/>
      <c r="H718" s="1"/>
      <c r="K718" s="1"/>
      <c r="N718" s="1"/>
      <c r="Q718" s="1"/>
      <c r="T718" s="1"/>
      <c r="W718" s="3"/>
    </row>
    <row r="719" ht="15.75" customHeight="1">
      <c r="E719" s="1"/>
      <c r="H719" s="1"/>
      <c r="K719" s="1"/>
      <c r="N719" s="1"/>
      <c r="Q719" s="1"/>
      <c r="T719" s="1"/>
      <c r="W719" s="3"/>
    </row>
    <row r="720" ht="15.75" customHeight="1">
      <c r="E720" s="1"/>
      <c r="H720" s="1"/>
      <c r="K720" s="1"/>
      <c r="N720" s="1"/>
      <c r="Q720" s="1"/>
      <c r="T720" s="1"/>
      <c r="W720" s="3"/>
    </row>
    <row r="721" ht="15.75" customHeight="1">
      <c r="E721" s="1"/>
      <c r="H721" s="1"/>
      <c r="K721" s="1"/>
      <c r="N721" s="1"/>
      <c r="Q721" s="1"/>
      <c r="T721" s="1"/>
      <c r="W721" s="3"/>
    </row>
    <row r="722" ht="15.75" customHeight="1">
      <c r="E722" s="1"/>
      <c r="H722" s="1"/>
      <c r="K722" s="1"/>
      <c r="N722" s="1"/>
      <c r="Q722" s="1"/>
      <c r="T722" s="1"/>
      <c r="W722" s="3"/>
    </row>
    <row r="723" ht="15.75" customHeight="1">
      <c r="E723" s="1"/>
      <c r="H723" s="1"/>
      <c r="K723" s="1"/>
      <c r="N723" s="1"/>
      <c r="Q723" s="1"/>
      <c r="T723" s="1"/>
      <c r="W723" s="3"/>
    </row>
    <row r="724" ht="15.75" customHeight="1">
      <c r="E724" s="1"/>
      <c r="H724" s="1"/>
      <c r="K724" s="1"/>
      <c r="N724" s="1"/>
      <c r="Q724" s="1"/>
      <c r="T724" s="1"/>
      <c r="W724" s="3"/>
    </row>
    <row r="725" ht="15.75" customHeight="1">
      <c r="E725" s="1"/>
      <c r="H725" s="1"/>
      <c r="K725" s="1"/>
      <c r="N725" s="1"/>
      <c r="Q725" s="1"/>
      <c r="T725" s="1"/>
      <c r="W725" s="3"/>
    </row>
    <row r="726" ht="15.75" customHeight="1">
      <c r="E726" s="1"/>
      <c r="H726" s="1"/>
      <c r="K726" s="1"/>
      <c r="N726" s="1"/>
      <c r="Q726" s="1"/>
      <c r="T726" s="1"/>
      <c r="W726" s="3"/>
    </row>
    <row r="727" ht="15.75" customHeight="1">
      <c r="E727" s="1"/>
      <c r="H727" s="1"/>
      <c r="K727" s="1"/>
      <c r="N727" s="1"/>
      <c r="Q727" s="1"/>
      <c r="T727" s="1"/>
      <c r="W727" s="3"/>
    </row>
    <row r="728" ht="15.75" customHeight="1">
      <c r="E728" s="1"/>
      <c r="H728" s="1"/>
      <c r="K728" s="1"/>
      <c r="N728" s="1"/>
      <c r="Q728" s="1"/>
      <c r="T728" s="1"/>
      <c r="W728" s="3"/>
    </row>
    <row r="729" ht="15.75" customHeight="1">
      <c r="E729" s="1"/>
      <c r="H729" s="1"/>
      <c r="K729" s="1"/>
      <c r="N729" s="1"/>
      <c r="Q729" s="1"/>
      <c r="T729" s="1"/>
      <c r="W729" s="3"/>
    </row>
    <row r="730" ht="15.75" customHeight="1">
      <c r="E730" s="1"/>
      <c r="H730" s="1"/>
      <c r="K730" s="1"/>
      <c r="N730" s="1"/>
      <c r="Q730" s="1"/>
      <c r="T730" s="1"/>
      <c r="W730" s="3"/>
    </row>
    <row r="731" ht="15.75" customHeight="1">
      <c r="E731" s="1"/>
      <c r="H731" s="1"/>
      <c r="K731" s="1"/>
      <c r="N731" s="1"/>
      <c r="Q731" s="1"/>
      <c r="T731" s="1"/>
      <c r="W731" s="3"/>
    </row>
    <row r="732" ht="15.75" customHeight="1">
      <c r="E732" s="1"/>
      <c r="H732" s="1"/>
      <c r="K732" s="1"/>
      <c r="N732" s="1"/>
      <c r="Q732" s="1"/>
      <c r="T732" s="1"/>
      <c r="W732" s="3"/>
    </row>
    <row r="733" ht="15.75" customHeight="1">
      <c r="E733" s="1"/>
      <c r="H733" s="1"/>
      <c r="K733" s="1"/>
      <c r="N733" s="1"/>
      <c r="Q733" s="1"/>
      <c r="T733" s="1"/>
      <c r="W733" s="3"/>
    </row>
    <row r="734" ht="15.75" customHeight="1">
      <c r="E734" s="1"/>
      <c r="H734" s="1"/>
      <c r="K734" s="1"/>
      <c r="N734" s="1"/>
      <c r="Q734" s="1"/>
      <c r="T734" s="1"/>
      <c r="W734" s="3"/>
    </row>
    <row r="735" ht="15.75" customHeight="1">
      <c r="E735" s="1"/>
      <c r="H735" s="1"/>
      <c r="K735" s="1"/>
      <c r="N735" s="1"/>
      <c r="Q735" s="1"/>
      <c r="T735" s="1"/>
      <c r="W735" s="3"/>
    </row>
    <row r="736" ht="15.75" customHeight="1">
      <c r="E736" s="1"/>
      <c r="H736" s="1"/>
      <c r="K736" s="1"/>
      <c r="N736" s="1"/>
      <c r="Q736" s="1"/>
      <c r="T736" s="1"/>
      <c r="W736" s="3"/>
    </row>
    <row r="737" ht="15.75" customHeight="1">
      <c r="E737" s="1"/>
      <c r="H737" s="1"/>
      <c r="K737" s="1"/>
      <c r="N737" s="1"/>
      <c r="Q737" s="1"/>
      <c r="T737" s="1"/>
      <c r="W737" s="3"/>
    </row>
    <row r="738" ht="15.75" customHeight="1">
      <c r="E738" s="1"/>
      <c r="H738" s="1"/>
      <c r="K738" s="1"/>
      <c r="N738" s="1"/>
      <c r="Q738" s="1"/>
      <c r="T738" s="1"/>
      <c r="W738" s="3"/>
    </row>
    <row r="739" ht="15.75" customHeight="1">
      <c r="E739" s="1"/>
      <c r="H739" s="1"/>
      <c r="K739" s="1"/>
      <c r="N739" s="1"/>
      <c r="Q739" s="1"/>
      <c r="T739" s="1"/>
      <c r="W739" s="3"/>
    </row>
    <row r="740" ht="15.75" customHeight="1">
      <c r="E740" s="1"/>
      <c r="H740" s="1"/>
      <c r="K740" s="1"/>
      <c r="N740" s="1"/>
      <c r="Q740" s="1"/>
      <c r="T740" s="1"/>
      <c r="W740" s="3"/>
    </row>
    <row r="741" ht="15.75" customHeight="1">
      <c r="E741" s="1"/>
      <c r="H741" s="1"/>
      <c r="K741" s="1"/>
      <c r="N741" s="1"/>
      <c r="Q741" s="1"/>
      <c r="T741" s="1"/>
      <c r="W741" s="3"/>
    </row>
    <row r="742" ht="15.75" customHeight="1">
      <c r="E742" s="1"/>
      <c r="H742" s="1"/>
      <c r="K742" s="1"/>
      <c r="N742" s="1"/>
      <c r="Q742" s="1"/>
      <c r="T742" s="1"/>
      <c r="W742" s="3"/>
    </row>
    <row r="743" ht="15.75" customHeight="1">
      <c r="E743" s="1"/>
      <c r="H743" s="1"/>
      <c r="K743" s="1"/>
      <c r="N743" s="1"/>
      <c r="Q743" s="1"/>
      <c r="T743" s="1"/>
      <c r="W743" s="3"/>
    </row>
    <row r="744" ht="15.75" customHeight="1">
      <c r="E744" s="1"/>
      <c r="H744" s="1"/>
      <c r="K744" s="1"/>
      <c r="N744" s="1"/>
      <c r="Q744" s="1"/>
      <c r="T744" s="1"/>
      <c r="W744" s="3"/>
    </row>
    <row r="745" ht="15.75" customHeight="1">
      <c r="E745" s="1"/>
      <c r="H745" s="1"/>
      <c r="K745" s="1"/>
      <c r="N745" s="1"/>
      <c r="Q745" s="1"/>
      <c r="T745" s="1"/>
      <c r="W745" s="3"/>
    </row>
    <row r="746" ht="15.75" customHeight="1">
      <c r="E746" s="1"/>
      <c r="H746" s="1"/>
      <c r="K746" s="1"/>
      <c r="N746" s="1"/>
      <c r="Q746" s="1"/>
      <c r="T746" s="1"/>
      <c r="W746" s="3"/>
    </row>
    <row r="747" ht="15.75" customHeight="1">
      <c r="E747" s="1"/>
      <c r="H747" s="1"/>
      <c r="K747" s="1"/>
      <c r="N747" s="1"/>
      <c r="Q747" s="1"/>
      <c r="T747" s="1"/>
      <c r="W747" s="3"/>
    </row>
    <row r="748" ht="15.75" customHeight="1">
      <c r="E748" s="1"/>
      <c r="H748" s="1"/>
      <c r="K748" s="1"/>
      <c r="N748" s="1"/>
      <c r="Q748" s="1"/>
      <c r="T748" s="1"/>
      <c r="W748" s="3"/>
    </row>
    <row r="749" ht="15.75" customHeight="1">
      <c r="E749" s="1"/>
      <c r="H749" s="1"/>
      <c r="K749" s="1"/>
      <c r="N749" s="1"/>
      <c r="Q749" s="1"/>
      <c r="T749" s="1"/>
      <c r="W749" s="3"/>
    </row>
    <row r="750" ht="15.75" customHeight="1">
      <c r="E750" s="1"/>
      <c r="H750" s="1"/>
      <c r="K750" s="1"/>
      <c r="N750" s="1"/>
      <c r="Q750" s="1"/>
      <c r="T750" s="1"/>
      <c r="W750" s="3"/>
    </row>
    <row r="751" ht="15.75" customHeight="1">
      <c r="E751" s="1"/>
      <c r="H751" s="1"/>
      <c r="K751" s="1"/>
      <c r="N751" s="1"/>
      <c r="Q751" s="1"/>
      <c r="T751" s="1"/>
      <c r="W751" s="3"/>
    </row>
    <row r="752" ht="15.75" customHeight="1">
      <c r="E752" s="1"/>
      <c r="H752" s="1"/>
      <c r="K752" s="1"/>
      <c r="N752" s="1"/>
      <c r="Q752" s="1"/>
      <c r="T752" s="1"/>
      <c r="W752" s="3"/>
    </row>
    <row r="753" ht="15.75" customHeight="1">
      <c r="E753" s="1"/>
      <c r="H753" s="1"/>
      <c r="K753" s="1"/>
      <c r="N753" s="1"/>
      <c r="Q753" s="1"/>
      <c r="T753" s="1"/>
      <c r="W753" s="3"/>
    </row>
    <row r="754" ht="15.75" customHeight="1">
      <c r="E754" s="1"/>
      <c r="H754" s="1"/>
      <c r="K754" s="1"/>
      <c r="N754" s="1"/>
      <c r="Q754" s="1"/>
      <c r="T754" s="1"/>
      <c r="W754" s="3"/>
    </row>
    <row r="755" ht="15.75" customHeight="1">
      <c r="E755" s="1"/>
      <c r="H755" s="1"/>
      <c r="K755" s="1"/>
      <c r="N755" s="1"/>
      <c r="Q755" s="1"/>
      <c r="T755" s="1"/>
      <c r="W755" s="3"/>
    </row>
    <row r="756" ht="15.75" customHeight="1">
      <c r="E756" s="1"/>
      <c r="H756" s="1"/>
      <c r="K756" s="1"/>
      <c r="N756" s="1"/>
      <c r="Q756" s="1"/>
      <c r="T756" s="1"/>
      <c r="W756" s="3"/>
    </row>
    <row r="757" ht="15.75" customHeight="1">
      <c r="E757" s="1"/>
      <c r="H757" s="1"/>
      <c r="K757" s="1"/>
      <c r="N757" s="1"/>
      <c r="Q757" s="1"/>
      <c r="T757" s="1"/>
      <c r="W757" s="3"/>
    </row>
    <row r="758" ht="15.75" customHeight="1">
      <c r="E758" s="1"/>
      <c r="H758" s="1"/>
      <c r="K758" s="1"/>
      <c r="N758" s="1"/>
      <c r="Q758" s="1"/>
      <c r="T758" s="1"/>
      <c r="W758" s="3"/>
    </row>
    <row r="759" ht="15.75" customHeight="1">
      <c r="E759" s="1"/>
      <c r="H759" s="1"/>
      <c r="K759" s="1"/>
      <c r="N759" s="1"/>
      <c r="Q759" s="1"/>
      <c r="T759" s="1"/>
      <c r="W759" s="3"/>
    </row>
    <row r="760" ht="15.75" customHeight="1">
      <c r="E760" s="1"/>
      <c r="H760" s="1"/>
      <c r="K760" s="1"/>
      <c r="N760" s="1"/>
      <c r="Q760" s="1"/>
      <c r="T760" s="1"/>
      <c r="W760" s="3"/>
    </row>
    <row r="761" ht="15.75" customHeight="1">
      <c r="E761" s="1"/>
      <c r="H761" s="1"/>
      <c r="K761" s="1"/>
      <c r="N761" s="1"/>
      <c r="Q761" s="1"/>
      <c r="T761" s="1"/>
      <c r="W761" s="3"/>
    </row>
    <row r="762" ht="15.75" customHeight="1">
      <c r="E762" s="1"/>
      <c r="H762" s="1"/>
      <c r="K762" s="1"/>
      <c r="N762" s="1"/>
      <c r="Q762" s="1"/>
      <c r="T762" s="1"/>
      <c r="W762" s="3"/>
    </row>
    <row r="763" ht="15.75" customHeight="1">
      <c r="E763" s="1"/>
      <c r="H763" s="1"/>
      <c r="K763" s="1"/>
      <c r="N763" s="1"/>
      <c r="Q763" s="1"/>
      <c r="T763" s="1"/>
      <c r="W763" s="3"/>
    </row>
    <row r="764" ht="15.75" customHeight="1">
      <c r="E764" s="1"/>
      <c r="H764" s="1"/>
      <c r="K764" s="1"/>
      <c r="N764" s="1"/>
      <c r="Q764" s="1"/>
      <c r="T764" s="1"/>
      <c r="W764" s="3"/>
    </row>
    <row r="765" ht="15.75" customHeight="1">
      <c r="E765" s="1"/>
      <c r="H765" s="1"/>
      <c r="K765" s="1"/>
      <c r="N765" s="1"/>
      <c r="Q765" s="1"/>
      <c r="T765" s="1"/>
      <c r="W765" s="3"/>
    </row>
    <row r="766" ht="15.75" customHeight="1">
      <c r="E766" s="1"/>
      <c r="H766" s="1"/>
      <c r="K766" s="1"/>
      <c r="N766" s="1"/>
      <c r="Q766" s="1"/>
      <c r="T766" s="1"/>
      <c r="W766" s="3"/>
    </row>
    <row r="767" ht="15.75" customHeight="1">
      <c r="E767" s="1"/>
      <c r="H767" s="1"/>
      <c r="K767" s="1"/>
      <c r="N767" s="1"/>
      <c r="Q767" s="1"/>
      <c r="T767" s="1"/>
      <c r="W767" s="3"/>
    </row>
    <row r="768" ht="15.75" customHeight="1">
      <c r="E768" s="1"/>
      <c r="H768" s="1"/>
      <c r="K768" s="1"/>
      <c r="N768" s="1"/>
      <c r="Q768" s="1"/>
      <c r="T768" s="1"/>
      <c r="W768" s="3"/>
    </row>
    <row r="769" ht="15.75" customHeight="1">
      <c r="E769" s="1"/>
      <c r="H769" s="1"/>
      <c r="K769" s="1"/>
      <c r="N769" s="1"/>
      <c r="Q769" s="1"/>
      <c r="T769" s="1"/>
      <c r="W769" s="3"/>
    </row>
    <row r="770" ht="15.75" customHeight="1">
      <c r="E770" s="1"/>
      <c r="H770" s="1"/>
      <c r="K770" s="1"/>
      <c r="N770" s="1"/>
      <c r="Q770" s="1"/>
      <c r="T770" s="1"/>
      <c r="W770" s="3"/>
    </row>
    <row r="771" ht="15.75" customHeight="1">
      <c r="E771" s="1"/>
      <c r="H771" s="1"/>
      <c r="K771" s="1"/>
      <c r="N771" s="1"/>
      <c r="Q771" s="1"/>
      <c r="T771" s="1"/>
      <c r="W771" s="3"/>
    </row>
    <row r="772" ht="15.75" customHeight="1">
      <c r="E772" s="1"/>
      <c r="H772" s="1"/>
      <c r="K772" s="1"/>
      <c r="N772" s="1"/>
      <c r="Q772" s="1"/>
      <c r="T772" s="1"/>
      <c r="W772" s="3"/>
    </row>
    <row r="773" ht="15.75" customHeight="1">
      <c r="E773" s="1"/>
      <c r="H773" s="1"/>
      <c r="K773" s="1"/>
      <c r="N773" s="1"/>
      <c r="Q773" s="1"/>
      <c r="T773" s="1"/>
      <c r="W773" s="3"/>
    </row>
    <row r="774" ht="15.75" customHeight="1">
      <c r="E774" s="1"/>
      <c r="H774" s="1"/>
      <c r="K774" s="1"/>
      <c r="N774" s="1"/>
      <c r="Q774" s="1"/>
      <c r="T774" s="1"/>
      <c r="W774" s="3"/>
    </row>
    <row r="775" ht="15.75" customHeight="1">
      <c r="E775" s="1"/>
      <c r="H775" s="1"/>
      <c r="K775" s="1"/>
      <c r="N775" s="1"/>
      <c r="Q775" s="1"/>
      <c r="T775" s="1"/>
      <c r="W775" s="3"/>
    </row>
    <row r="776" ht="15.75" customHeight="1">
      <c r="E776" s="1"/>
      <c r="H776" s="1"/>
      <c r="K776" s="1"/>
      <c r="N776" s="1"/>
      <c r="Q776" s="1"/>
      <c r="T776" s="1"/>
      <c r="W776" s="3"/>
    </row>
    <row r="777" ht="15.75" customHeight="1">
      <c r="E777" s="1"/>
      <c r="H777" s="1"/>
      <c r="K777" s="1"/>
      <c r="N777" s="1"/>
      <c r="Q777" s="1"/>
      <c r="T777" s="1"/>
      <c r="W777" s="3"/>
    </row>
    <row r="778" ht="15.75" customHeight="1">
      <c r="E778" s="1"/>
      <c r="H778" s="1"/>
      <c r="K778" s="1"/>
      <c r="N778" s="1"/>
      <c r="Q778" s="1"/>
      <c r="T778" s="1"/>
      <c r="W778" s="3"/>
    </row>
    <row r="779" ht="15.75" customHeight="1">
      <c r="E779" s="1"/>
      <c r="H779" s="1"/>
      <c r="K779" s="1"/>
      <c r="N779" s="1"/>
      <c r="Q779" s="1"/>
      <c r="T779" s="1"/>
      <c r="W779" s="3"/>
    </row>
    <row r="780" ht="15.75" customHeight="1">
      <c r="E780" s="1"/>
      <c r="H780" s="1"/>
      <c r="K780" s="1"/>
      <c r="N780" s="1"/>
      <c r="Q780" s="1"/>
      <c r="T780" s="1"/>
      <c r="W780" s="3"/>
    </row>
    <row r="781" ht="15.75" customHeight="1">
      <c r="E781" s="1"/>
      <c r="H781" s="1"/>
      <c r="K781" s="1"/>
      <c r="N781" s="1"/>
      <c r="Q781" s="1"/>
      <c r="T781" s="1"/>
      <c r="W781" s="3"/>
    </row>
    <row r="782" ht="15.75" customHeight="1">
      <c r="E782" s="1"/>
      <c r="H782" s="1"/>
      <c r="K782" s="1"/>
      <c r="N782" s="1"/>
      <c r="Q782" s="1"/>
      <c r="T782" s="1"/>
      <c r="W782" s="3"/>
    </row>
    <row r="783" ht="15.75" customHeight="1">
      <c r="E783" s="1"/>
      <c r="H783" s="1"/>
      <c r="K783" s="1"/>
      <c r="N783" s="1"/>
      <c r="Q783" s="1"/>
      <c r="T783" s="1"/>
      <c r="W783" s="3"/>
    </row>
    <row r="784" ht="15.75" customHeight="1">
      <c r="E784" s="1"/>
      <c r="H784" s="1"/>
      <c r="K784" s="1"/>
      <c r="N784" s="1"/>
      <c r="Q784" s="1"/>
      <c r="T784" s="1"/>
      <c r="W784" s="3"/>
    </row>
    <row r="785" ht="15.75" customHeight="1">
      <c r="E785" s="1"/>
      <c r="H785" s="1"/>
      <c r="K785" s="1"/>
      <c r="N785" s="1"/>
      <c r="Q785" s="1"/>
      <c r="T785" s="1"/>
      <c r="W785" s="3"/>
    </row>
    <row r="786" ht="15.75" customHeight="1">
      <c r="E786" s="1"/>
      <c r="H786" s="1"/>
      <c r="K786" s="1"/>
      <c r="N786" s="1"/>
      <c r="Q786" s="1"/>
      <c r="T786" s="1"/>
      <c r="W786" s="3"/>
    </row>
    <row r="787" ht="15.75" customHeight="1">
      <c r="E787" s="1"/>
      <c r="H787" s="1"/>
      <c r="K787" s="1"/>
      <c r="N787" s="1"/>
      <c r="Q787" s="1"/>
      <c r="T787" s="1"/>
      <c r="W787" s="3"/>
    </row>
    <row r="788" ht="15.75" customHeight="1">
      <c r="E788" s="1"/>
      <c r="H788" s="1"/>
      <c r="K788" s="1"/>
      <c r="N788" s="1"/>
      <c r="Q788" s="1"/>
      <c r="T788" s="1"/>
      <c r="W788" s="3"/>
    </row>
    <row r="789" ht="15.75" customHeight="1">
      <c r="E789" s="1"/>
      <c r="H789" s="1"/>
      <c r="K789" s="1"/>
      <c r="N789" s="1"/>
      <c r="Q789" s="1"/>
      <c r="T789" s="1"/>
      <c r="W789" s="3"/>
    </row>
    <row r="790" ht="15.75" customHeight="1">
      <c r="E790" s="1"/>
      <c r="H790" s="1"/>
      <c r="K790" s="1"/>
      <c r="N790" s="1"/>
      <c r="Q790" s="1"/>
      <c r="T790" s="1"/>
      <c r="W790" s="3"/>
    </row>
    <row r="791" ht="15.75" customHeight="1">
      <c r="E791" s="1"/>
      <c r="H791" s="1"/>
      <c r="K791" s="1"/>
      <c r="N791" s="1"/>
      <c r="Q791" s="1"/>
      <c r="T791" s="1"/>
      <c r="W791" s="3"/>
    </row>
    <row r="792" ht="15.75" customHeight="1">
      <c r="E792" s="1"/>
      <c r="H792" s="1"/>
      <c r="K792" s="1"/>
      <c r="N792" s="1"/>
      <c r="Q792" s="1"/>
      <c r="T792" s="1"/>
      <c r="W792" s="3"/>
    </row>
    <row r="793" ht="15.75" customHeight="1">
      <c r="E793" s="1"/>
      <c r="H793" s="1"/>
      <c r="K793" s="1"/>
      <c r="N793" s="1"/>
      <c r="Q793" s="1"/>
      <c r="T793" s="1"/>
      <c r="W793" s="3"/>
    </row>
    <row r="794" ht="15.75" customHeight="1">
      <c r="E794" s="1"/>
      <c r="H794" s="1"/>
      <c r="K794" s="1"/>
      <c r="N794" s="1"/>
      <c r="Q794" s="1"/>
      <c r="T794" s="1"/>
      <c r="W794" s="3"/>
    </row>
    <row r="795" ht="15.75" customHeight="1">
      <c r="E795" s="1"/>
      <c r="H795" s="1"/>
      <c r="K795" s="1"/>
      <c r="N795" s="1"/>
      <c r="Q795" s="1"/>
      <c r="T795" s="1"/>
      <c r="W795" s="3"/>
    </row>
    <row r="796" ht="15.75" customHeight="1">
      <c r="E796" s="1"/>
      <c r="H796" s="1"/>
      <c r="K796" s="1"/>
      <c r="N796" s="1"/>
      <c r="Q796" s="1"/>
      <c r="T796" s="1"/>
      <c r="W796" s="3"/>
    </row>
    <row r="797" ht="15.75" customHeight="1">
      <c r="E797" s="1"/>
      <c r="H797" s="1"/>
      <c r="K797" s="1"/>
      <c r="N797" s="1"/>
      <c r="Q797" s="1"/>
      <c r="T797" s="1"/>
      <c r="W797" s="3"/>
    </row>
    <row r="798" ht="15.75" customHeight="1">
      <c r="E798" s="1"/>
      <c r="H798" s="1"/>
      <c r="K798" s="1"/>
      <c r="N798" s="1"/>
      <c r="Q798" s="1"/>
      <c r="T798" s="1"/>
      <c r="W798" s="3"/>
    </row>
    <row r="799" ht="15.75" customHeight="1">
      <c r="E799" s="1"/>
      <c r="H799" s="1"/>
      <c r="K799" s="1"/>
      <c r="N799" s="1"/>
      <c r="Q799" s="1"/>
      <c r="T799" s="1"/>
      <c r="W799" s="3"/>
    </row>
    <row r="800" ht="15.75" customHeight="1">
      <c r="E800" s="1"/>
      <c r="H800" s="1"/>
      <c r="K800" s="1"/>
      <c r="N800" s="1"/>
      <c r="Q800" s="1"/>
      <c r="T800" s="1"/>
      <c r="W800" s="3"/>
    </row>
    <row r="801" ht="15.75" customHeight="1">
      <c r="E801" s="1"/>
      <c r="H801" s="1"/>
      <c r="K801" s="1"/>
      <c r="N801" s="1"/>
      <c r="Q801" s="1"/>
      <c r="T801" s="1"/>
      <c r="W801" s="3"/>
    </row>
    <row r="802" ht="15.75" customHeight="1">
      <c r="E802" s="1"/>
      <c r="H802" s="1"/>
      <c r="K802" s="1"/>
      <c r="N802" s="1"/>
      <c r="Q802" s="1"/>
      <c r="T802" s="1"/>
      <c r="W802" s="3"/>
    </row>
    <row r="803" ht="15.75" customHeight="1">
      <c r="E803" s="1"/>
      <c r="H803" s="1"/>
      <c r="K803" s="1"/>
      <c r="N803" s="1"/>
      <c r="Q803" s="1"/>
      <c r="T803" s="1"/>
      <c r="W803" s="3"/>
    </row>
    <row r="804" ht="15.75" customHeight="1">
      <c r="E804" s="1"/>
      <c r="H804" s="1"/>
      <c r="K804" s="1"/>
      <c r="N804" s="1"/>
      <c r="Q804" s="1"/>
      <c r="T804" s="1"/>
      <c r="W804" s="3"/>
    </row>
    <row r="805" ht="15.75" customHeight="1">
      <c r="E805" s="1"/>
      <c r="H805" s="1"/>
      <c r="K805" s="1"/>
      <c r="N805" s="1"/>
      <c r="Q805" s="1"/>
      <c r="T805" s="1"/>
      <c r="W805" s="3"/>
    </row>
    <row r="806" ht="15.75" customHeight="1">
      <c r="E806" s="1"/>
      <c r="H806" s="1"/>
      <c r="K806" s="1"/>
      <c r="N806" s="1"/>
      <c r="Q806" s="1"/>
      <c r="T806" s="1"/>
      <c r="W806" s="3"/>
    </row>
    <row r="807" ht="15.75" customHeight="1">
      <c r="E807" s="1"/>
      <c r="H807" s="1"/>
      <c r="K807" s="1"/>
      <c r="N807" s="1"/>
      <c r="Q807" s="1"/>
      <c r="T807" s="1"/>
      <c r="W807" s="3"/>
    </row>
    <row r="808" ht="15.75" customHeight="1">
      <c r="E808" s="1"/>
      <c r="H808" s="1"/>
      <c r="K808" s="1"/>
      <c r="N808" s="1"/>
      <c r="Q808" s="1"/>
      <c r="T808" s="1"/>
      <c r="W808" s="3"/>
    </row>
    <row r="809" ht="15.75" customHeight="1">
      <c r="E809" s="1"/>
      <c r="H809" s="1"/>
      <c r="K809" s="1"/>
      <c r="N809" s="1"/>
      <c r="Q809" s="1"/>
      <c r="T809" s="1"/>
      <c r="W809" s="3"/>
    </row>
    <row r="810" ht="15.75" customHeight="1">
      <c r="E810" s="1"/>
      <c r="H810" s="1"/>
      <c r="K810" s="1"/>
      <c r="N810" s="1"/>
      <c r="Q810" s="1"/>
      <c r="T810" s="1"/>
      <c r="W810" s="3"/>
    </row>
    <row r="811" ht="15.75" customHeight="1">
      <c r="E811" s="1"/>
      <c r="H811" s="1"/>
      <c r="K811" s="1"/>
      <c r="N811" s="1"/>
      <c r="Q811" s="1"/>
      <c r="T811" s="1"/>
      <c r="W811" s="3"/>
    </row>
    <row r="812" ht="15.75" customHeight="1">
      <c r="E812" s="1"/>
      <c r="H812" s="1"/>
      <c r="K812" s="1"/>
      <c r="N812" s="1"/>
      <c r="Q812" s="1"/>
      <c r="T812" s="1"/>
      <c r="W812" s="3"/>
    </row>
    <row r="813" ht="15.75" customHeight="1">
      <c r="E813" s="1"/>
      <c r="H813" s="1"/>
      <c r="K813" s="1"/>
      <c r="N813" s="1"/>
      <c r="Q813" s="1"/>
      <c r="T813" s="1"/>
      <c r="W813" s="3"/>
    </row>
    <row r="814" ht="15.75" customHeight="1">
      <c r="E814" s="1"/>
      <c r="H814" s="1"/>
      <c r="K814" s="1"/>
      <c r="N814" s="1"/>
      <c r="Q814" s="1"/>
      <c r="T814" s="1"/>
      <c r="W814" s="3"/>
    </row>
    <row r="815" ht="15.75" customHeight="1">
      <c r="E815" s="1"/>
      <c r="H815" s="1"/>
      <c r="K815" s="1"/>
      <c r="N815" s="1"/>
      <c r="Q815" s="1"/>
      <c r="T815" s="1"/>
      <c r="W815" s="3"/>
    </row>
    <row r="816" ht="15.75" customHeight="1">
      <c r="E816" s="1"/>
      <c r="H816" s="1"/>
      <c r="K816" s="1"/>
      <c r="N816" s="1"/>
      <c r="Q816" s="1"/>
      <c r="T816" s="1"/>
      <c r="W816" s="3"/>
    </row>
    <row r="817" ht="15.75" customHeight="1">
      <c r="E817" s="1"/>
      <c r="H817" s="1"/>
      <c r="K817" s="1"/>
      <c r="N817" s="1"/>
      <c r="Q817" s="1"/>
      <c r="T817" s="1"/>
      <c r="W817" s="3"/>
    </row>
    <row r="818" ht="15.75" customHeight="1">
      <c r="E818" s="1"/>
      <c r="H818" s="1"/>
      <c r="K818" s="1"/>
      <c r="N818" s="1"/>
      <c r="Q818" s="1"/>
      <c r="T818" s="1"/>
      <c r="W818" s="3"/>
    </row>
    <row r="819" ht="15.75" customHeight="1">
      <c r="E819" s="1"/>
      <c r="H819" s="1"/>
      <c r="K819" s="1"/>
      <c r="N819" s="1"/>
      <c r="Q819" s="1"/>
      <c r="T819" s="1"/>
      <c r="W819" s="3"/>
    </row>
    <row r="820" ht="15.75" customHeight="1">
      <c r="E820" s="1"/>
      <c r="H820" s="1"/>
      <c r="K820" s="1"/>
      <c r="N820" s="1"/>
      <c r="Q820" s="1"/>
      <c r="T820" s="1"/>
      <c r="W820" s="3"/>
    </row>
    <row r="821" ht="15.75" customHeight="1">
      <c r="E821" s="1"/>
      <c r="H821" s="1"/>
      <c r="K821" s="1"/>
      <c r="N821" s="1"/>
      <c r="Q821" s="1"/>
      <c r="T821" s="1"/>
      <c r="W821" s="3"/>
    </row>
    <row r="822" ht="15.75" customHeight="1">
      <c r="E822" s="1"/>
      <c r="H822" s="1"/>
      <c r="K822" s="1"/>
      <c r="N822" s="1"/>
      <c r="Q822" s="1"/>
      <c r="T822" s="1"/>
      <c r="W822" s="3"/>
    </row>
    <row r="823" ht="15.75" customHeight="1">
      <c r="E823" s="1"/>
      <c r="H823" s="1"/>
      <c r="K823" s="1"/>
      <c r="N823" s="1"/>
      <c r="Q823" s="1"/>
      <c r="T823" s="1"/>
      <c r="W823" s="3"/>
    </row>
    <row r="824" ht="15.75" customHeight="1">
      <c r="E824" s="1"/>
      <c r="H824" s="1"/>
      <c r="K824" s="1"/>
      <c r="N824" s="1"/>
      <c r="Q824" s="1"/>
      <c r="T824" s="1"/>
      <c r="W824" s="3"/>
    </row>
    <row r="825" ht="15.75" customHeight="1">
      <c r="E825" s="1"/>
      <c r="H825" s="1"/>
      <c r="K825" s="1"/>
      <c r="N825" s="1"/>
      <c r="Q825" s="1"/>
      <c r="T825" s="1"/>
      <c r="W825" s="3"/>
    </row>
    <row r="826" ht="15.75" customHeight="1">
      <c r="E826" s="1"/>
      <c r="H826" s="1"/>
      <c r="K826" s="1"/>
      <c r="N826" s="1"/>
      <c r="Q826" s="1"/>
      <c r="T826" s="1"/>
      <c r="W826" s="3"/>
    </row>
    <row r="827" ht="15.75" customHeight="1">
      <c r="E827" s="1"/>
      <c r="H827" s="1"/>
      <c r="K827" s="1"/>
      <c r="N827" s="1"/>
      <c r="Q827" s="1"/>
      <c r="T827" s="1"/>
      <c r="W827" s="3"/>
    </row>
    <row r="828" ht="15.75" customHeight="1">
      <c r="E828" s="1"/>
      <c r="H828" s="1"/>
      <c r="K828" s="1"/>
      <c r="N828" s="1"/>
      <c r="Q828" s="1"/>
      <c r="T828" s="1"/>
      <c r="W828" s="3"/>
    </row>
    <row r="829" ht="15.75" customHeight="1">
      <c r="E829" s="1"/>
      <c r="H829" s="1"/>
      <c r="K829" s="1"/>
      <c r="N829" s="1"/>
      <c r="Q829" s="1"/>
      <c r="T829" s="1"/>
      <c r="W829" s="3"/>
    </row>
    <row r="830" ht="15.75" customHeight="1">
      <c r="E830" s="1"/>
      <c r="H830" s="1"/>
      <c r="K830" s="1"/>
      <c r="N830" s="1"/>
      <c r="Q830" s="1"/>
      <c r="T830" s="1"/>
      <c r="W830" s="3"/>
    </row>
    <row r="831" ht="15.75" customHeight="1">
      <c r="E831" s="1"/>
      <c r="H831" s="1"/>
      <c r="K831" s="1"/>
      <c r="N831" s="1"/>
      <c r="Q831" s="1"/>
      <c r="T831" s="1"/>
      <c r="W831" s="3"/>
    </row>
    <row r="832" ht="15.75" customHeight="1">
      <c r="E832" s="1"/>
      <c r="H832" s="1"/>
      <c r="K832" s="1"/>
      <c r="N832" s="1"/>
      <c r="Q832" s="1"/>
      <c r="T832" s="1"/>
      <c r="W832" s="3"/>
    </row>
    <row r="833" ht="15.75" customHeight="1">
      <c r="E833" s="1"/>
      <c r="H833" s="1"/>
      <c r="K833" s="1"/>
      <c r="N833" s="1"/>
      <c r="Q833" s="1"/>
      <c r="T833" s="1"/>
      <c r="W833" s="3"/>
    </row>
    <row r="834" ht="15.75" customHeight="1">
      <c r="E834" s="1"/>
      <c r="H834" s="1"/>
      <c r="K834" s="1"/>
      <c r="N834" s="1"/>
      <c r="Q834" s="1"/>
      <c r="T834" s="1"/>
      <c r="W834" s="3"/>
    </row>
    <row r="835" ht="15.75" customHeight="1">
      <c r="E835" s="1"/>
      <c r="H835" s="1"/>
      <c r="K835" s="1"/>
      <c r="N835" s="1"/>
      <c r="Q835" s="1"/>
      <c r="T835" s="1"/>
      <c r="W835" s="3"/>
    </row>
    <row r="836" ht="15.75" customHeight="1">
      <c r="E836" s="1"/>
      <c r="H836" s="1"/>
      <c r="K836" s="1"/>
      <c r="N836" s="1"/>
      <c r="Q836" s="1"/>
      <c r="T836" s="1"/>
      <c r="W836" s="3"/>
    </row>
    <row r="837" ht="15.75" customHeight="1">
      <c r="E837" s="1"/>
      <c r="H837" s="1"/>
      <c r="K837" s="1"/>
      <c r="N837" s="1"/>
      <c r="Q837" s="1"/>
      <c r="T837" s="1"/>
      <c r="W837" s="3"/>
    </row>
    <row r="838" ht="15.75" customHeight="1">
      <c r="E838" s="1"/>
      <c r="H838" s="1"/>
      <c r="K838" s="1"/>
      <c r="N838" s="1"/>
      <c r="Q838" s="1"/>
      <c r="T838" s="1"/>
      <c r="W838" s="3"/>
    </row>
    <row r="839" ht="15.75" customHeight="1">
      <c r="E839" s="1"/>
      <c r="H839" s="1"/>
      <c r="K839" s="1"/>
      <c r="N839" s="1"/>
      <c r="Q839" s="1"/>
      <c r="T839" s="1"/>
      <c r="W839" s="3"/>
    </row>
    <row r="840" ht="15.75" customHeight="1">
      <c r="E840" s="1"/>
      <c r="H840" s="1"/>
      <c r="K840" s="1"/>
      <c r="N840" s="1"/>
      <c r="Q840" s="1"/>
      <c r="T840" s="1"/>
      <c r="W840" s="3"/>
    </row>
    <row r="841" ht="15.75" customHeight="1">
      <c r="E841" s="1"/>
      <c r="H841" s="1"/>
      <c r="K841" s="1"/>
      <c r="N841" s="1"/>
      <c r="Q841" s="1"/>
      <c r="T841" s="1"/>
      <c r="W841" s="3"/>
    </row>
    <row r="842" ht="15.75" customHeight="1">
      <c r="E842" s="1"/>
      <c r="H842" s="1"/>
      <c r="K842" s="1"/>
      <c r="N842" s="1"/>
      <c r="Q842" s="1"/>
      <c r="T842" s="1"/>
      <c r="W842" s="3"/>
    </row>
    <row r="843" ht="15.75" customHeight="1">
      <c r="E843" s="1"/>
      <c r="H843" s="1"/>
      <c r="K843" s="1"/>
      <c r="N843" s="1"/>
      <c r="Q843" s="1"/>
      <c r="T843" s="1"/>
      <c r="W843" s="3"/>
    </row>
    <row r="844" ht="15.75" customHeight="1">
      <c r="E844" s="1"/>
      <c r="H844" s="1"/>
      <c r="K844" s="1"/>
      <c r="N844" s="1"/>
      <c r="Q844" s="1"/>
      <c r="T844" s="1"/>
      <c r="W844" s="3"/>
    </row>
    <row r="845" ht="15.75" customHeight="1">
      <c r="E845" s="1"/>
      <c r="H845" s="1"/>
      <c r="K845" s="1"/>
      <c r="N845" s="1"/>
      <c r="Q845" s="1"/>
      <c r="T845" s="1"/>
      <c r="W845" s="3"/>
    </row>
    <row r="846" ht="15.75" customHeight="1">
      <c r="E846" s="1"/>
      <c r="H846" s="1"/>
      <c r="K846" s="1"/>
      <c r="N846" s="1"/>
      <c r="Q846" s="1"/>
      <c r="T846" s="1"/>
      <c r="W846" s="3"/>
    </row>
    <row r="847" ht="15.75" customHeight="1">
      <c r="E847" s="1"/>
      <c r="H847" s="1"/>
      <c r="K847" s="1"/>
      <c r="N847" s="1"/>
      <c r="Q847" s="1"/>
      <c r="T847" s="1"/>
      <c r="W847" s="3"/>
    </row>
    <row r="848" ht="15.75" customHeight="1">
      <c r="E848" s="1"/>
      <c r="H848" s="1"/>
      <c r="K848" s="1"/>
      <c r="N848" s="1"/>
      <c r="Q848" s="1"/>
      <c r="T848" s="1"/>
      <c r="W848" s="3"/>
    </row>
    <row r="849" ht="15.75" customHeight="1">
      <c r="E849" s="1"/>
      <c r="H849" s="1"/>
      <c r="K849" s="1"/>
      <c r="N849" s="1"/>
      <c r="Q849" s="1"/>
      <c r="T849" s="1"/>
      <c r="W849" s="3"/>
    </row>
    <row r="850" ht="15.75" customHeight="1">
      <c r="E850" s="1"/>
      <c r="H850" s="1"/>
      <c r="K850" s="1"/>
      <c r="N850" s="1"/>
      <c r="Q850" s="1"/>
      <c r="T850" s="1"/>
      <c r="W850" s="3"/>
    </row>
    <row r="851" ht="15.75" customHeight="1">
      <c r="E851" s="1"/>
      <c r="H851" s="1"/>
      <c r="K851" s="1"/>
      <c r="N851" s="1"/>
      <c r="Q851" s="1"/>
      <c r="T851" s="1"/>
      <c r="W851" s="3"/>
    </row>
    <row r="852" ht="15.75" customHeight="1">
      <c r="E852" s="1"/>
      <c r="H852" s="1"/>
      <c r="K852" s="1"/>
      <c r="N852" s="1"/>
      <c r="Q852" s="1"/>
      <c r="T852" s="1"/>
      <c r="W852" s="3"/>
    </row>
    <row r="853" ht="15.75" customHeight="1">
      <c r="E853" s="1"/>
      <c r="H853" s="1"/>
      <c r="K853" s="1"/>
      <c r="N853" s="1"/>
      <c r="Q853" s="1"/>
      <c r="T853" s="1"/>
      <c r="W853" s="3"/>
    </row>
    <row r="854" ht="15.75" customHeight="1">
      <c r="E854" s="1"/>
      <c r="H854" s="1"/>
      <c r="K854" s="1"/>
      <c r="N854" s="1"/>
      <c r="Q854" s="1"/>
      <c r="T854" s="1"/>
      <c r="W854" s="3"/>
    </row>
    <row r="855" ht="15.75" customHeight="1">
      <c r="E855" s="1"/>
      <c r="H855" s="1"/>
      <c r="K855" s="1"/>
      <c r="N855" s="1"/>
      <c r="Q855" s="1"/>
      <c r="T855" s="1"/>
      <c r="W855" s="3"/>
    </row>
    <row r="856" ht="15.75" customHeight="1">
      <c r="E856" s="1"/>
      <c r="H856" s="1"/>
      <c r="K856" s="1"/>
      <c r="N856" s="1"/>
      <c r="Q856" s="1"/>
      <c r="T856" s="1"/>
      <c r="W856" s="3"/>
    </row>
    <row r="857" ht="15.75" customHeight="1">
      <c r="E857" s="1"/>
      <c r="H857" s="1"/>
      <c r="K857" s="1"/>
      <c r="N857" s="1"/>
      <c r="Q857" s="1"/>
      <c r="T857" s="1"/>
      <c r="W857" s="3"/>
    </row>
    <row r="858" ht="15.75" customHeight="1">
      <c r="E858" s="1"/>
      <c r="H858" s="1"/>
      <c r="K858" s="1"/>
      <c r="N858" s="1"/>
      <c r="Q858" s="1"/>
      <c r="T858" s="1"/>
      <c r="W858" s="3"/>
    </row>
    <row r="859" ht="15.75" customHeight="1">
      <c r="E859" s="1"/>
      <c r="H859" s="1"/>
      <c r="K859" s="1"/>
      <c r="N859" s="1"/>
      <c r="Q859" s="1"/>
      <c r="T859" s="1"/>
      <c r="W859" s="3"/>
    </row>
    <row r="860" ht="15.75" customHeight="1">
      <c r="E860" s="1"/>
      <c r="H860" s="1"/>
      <c r="K860" s="1"/>
      <c r="N860" s="1"/>
      <c r="Q860" s="1"/>
      <c r="T860" s="1"/>
      <c r="W860" s="3"/>
    </row>
    <row r="861" ht="15.75" customHeight="1">
      <c r="E861" s="1"/>
      <c r="H861" s="1"/>
      <c r="K861" s="1"/>
      <c r="N861" s="1"/>
      <c r="Q861" s="1"/>
      <c r="T861" s="1"/>
      <c r="W861" s="3"/>
    </row>
    <row r="862" ht="15.75" customHeight="1">
      <c r="E862" s="1"/>
      <c r="H862" s="1"/>
      <c r="K862" s="1"/>
      <c r="N862" s="1"/>
      <c r="Q862" s="1"/>
      <c r="T862" s="1"/>
      <c r="W862" s="3"/>
    </row>
    <row r="863" ht="15.75" customHeight="1">
      <c r="E863" s="1"/>
      <c r="H863" s="1"/>
      <c r="K863" s="1"/>
      <c r="N863" s="1"/>
      <c r="Q863" s="1"/>
      <c r="T863" s="1"/>
      <c r="W863" s="3"/>
    </row>
    <row r="864" ht="15.75" customHeight="1">
      <c r="E864" s="1"/>
      <c r="H864" s="1"/>
      <c r="K864" s="1"/>
      <c r="N864" s="1"/>
      <c r="Q864" s="1"/>
      <c r="T864" s="1"/>
      <c r="W864" s="3"/>
    </row>
    <row r="865" ht="15.75" customHeight="1">
      <c r="E865" s="1"/>
      <c r="H865" s="1"/>
      <c r="K865" s="1"/>
      <c r="N865" s="1"/>
      <c r="Q865" s="1"/>
      <c r="T865" s="1"/>
      <c r="W865" s="3"/>
    </row>
    <row r="866" ht="15.75" customHeight="1">
      <c r="E866" s="1"/>
      <c r="H866" s="1"/>
      <c r="K866" s="1"/>
      <c r="N866" s="1"/>
      <c r="Q866" s="1"/>
      <c r="T866" s="1"/>
      <c r="W866" s="3"/>
    </row>
    <row r="867" ht="15.75" customHeight="1">
      <c r="E867" s="1"/>
      <c r="H867" s="1"/>
      <c r="K867" s="1"/>
      <c r="N867" s="1"/>
      <c r="Q867" s="1"/>
      <c r="T867" s="1"/>
      <c r="W867" s="3"/>
    </row>
    <row r="868" ht="15.75" customHeight="1">
      <c r="E868" s="1"/>
      <c r="H868" s="1"/>
      <c r="K868" s="1"/>
      <c r="N868" s="1"/>
      <c r="Q868" s="1"/>
      <c r="T868" s="1"/>
      <c r="W868" s="3"/>
    </row>
    <row r="869" ht="15.75" customHeight="1">
      <c r="E869" s="1"/>
      <c r="H869" s="1"/>
      <c r="K869" s="1"/>
      <c r="N869" s="1"/>
      <c r="Q869" s="1"/>
      <c r="T869" s="1"/>
      <c r="W869" s="3"/>
    </row>
    <row r="870" ht="15.75" customHeight="1">
      <c r="E870" s="1"/>
      <c r="H870" s="1"/>
      <c r="K870" s="1"/>
      <c r="N870" s="1"/>
      <c r="Q870" s="1"/>
      <c r="T870" s="1"/>
      <c r="W870" s="3"/>
    </row>
    <row r="871" ht="15.75" customHeight="1">
      <c r="E871" s="1"/>
      <c r="H871" s="1"/>
      <c r="K871" s="1"/>
      <c r="N871" s="1"/>
      <c r="Q871" s="1"/>
      <c r="T871" s="1"/>
      <c r="W871" s="3"/>
    </row>
    <row r="872" ht="15.75" customHeight="1">
      <c r="E872" s="1"/>
      <c r="H872" s="1"/>
      <c r="K872" s="1"/>
      <c r="N872" s="1"/>
      <c r="Q872" s="1"/>
      <c r="T872" s="1"/>
      <c r="W872" s="3"/>
    </row>
    <row r="873" ht="15.75" customHeight="1">
      <c r="E873" s="1"/>
      <c r="H873" s="1"/>
      <c r="K873" s="1"/>
      <c r="N873" s="1"/>
      <c r="Q873" s="1"/>
      <c r="T873" s="1"/>
      <c r="W873" s="3"/>
    </row>
    <row r="874" ht="15.75" customHeight="1">
      <c r="E874" s="1"/>
      <c r="H874" s="1"/>
      <c r="K874" s="1"/>
      <c r="N874" s="1"/>
      <c r="Q874" s="1"/>
      <c r="T874" s="1"/>
      <c r="W874" s="3"/>
    </row>
    <row r="875" ht="15.75" customHeight="1">
      <c r="E875" s="1"/>
      <c r="H875" s="1"/>
      <c r="K875" s="1"/>
      <c r="N875" s="1"/>
      <c r="Q875" s="1"/>
      <c r="T875" s="1"/>
      <c r="W875" s="3"/>
    </row>
    <row r="876" ht="15.75" customHeight="1">
      <c r="E876" s="1"/>
      <c r="H876" s="1"/>
      <c r="K876" s="1"/>
      <c r="N876" s="1"/>
      <c r="Q876" s="1"/>
      <c r="T876" s="1"/>
      <c r="W876" s="3"/>
    </row>
    <row r="877" ht="15.75" customHeight="1">
      <c r="E877" s="1"/>
      <c r="H877" s="1"/>
      <c r="K877" s="1"/>
      <c r="N877" s="1"/>
      <c r="Q877" s="1"/>
      <c r="T877" s="1"/>
      <c r="W877" s="3"/>
    </row>
    <row r="878" ht="15.75" customHeight="1">
      <c r="E878" s="1"/>
      <c r="H878" s="1"/>
      <c r="K878" s="1"/>
      <c r="N878" s="1"/>
      <c r="Q878" s="1"/>
      <c r="T878" s="1"/>
      <c r="W878" s="3"/>
    </row>
    <row r="879" ht="15.75" customHeight="1">
      <c r="E879" s="1"/>
      <c r="H879" s="1"/>
      <c r="K879" s="1"/>
      <c r="N879" s="1"/>
      <c r="Q879" s="1"/>
      <c r="T879" s="1"/>
      <c r="W879" s="3"/>
    </row>
    <row r="880" ht="15.75" customHeight="1">
      <c r="E880" s="1"/>
      <c r="H880" s="1"/>
      <c r="K880" s="1"/>
      <c r="N880" s="1"/>
      <c r="Q880" s="1"/>
      <c r="T880" s="1"/>
      <c r="W880" s="3"/>
    </row>
    <row r="881" ht="15.75" customHeight="1">
      <c r="E881" s="1"/>
      <c r="H881" s="1"/>
      <c r="K881" s="1"/>
      <c r="N881" s="1"/>
      <c r="Q881" s="1"/>
      <c r="T881" s="1"/>
      <c r="W881" s="3"/>
    </row>
    <row r="882" ht="15.75" customHeight="1">
      <c r="E882" s="1"/>
      <c r="H882" s="1"/>
      <c r="K882" s="1"/>
      <c r="N882" s="1"/>
      <c r="Q882" s="1"/>
      <c r="T882" s="1"/>
      <c r="W882" s="3"/>
    </row>
    <row r="883" ht="15.75" customHeight="1">
      <c r="E883" s="1"/>
      <c r="H883" s="1"/>
      <c r="K883" s="1"/>
      <c r="N883" s="1"/>
      <c r="Q883" s="1"/>
      <c r="T883" s="1"/>
      <c r="W883" s="3"/>
    </row>
    <row r="884" ht="15.75" customHeight="1">
      <c r="E884" s="1"/>
      <c r="H884" s="1"/>
      <c r="K884" s="1"/>
      <c r="N884" s="1"/>
      <c r="Q884" s="1"/>
      <c r="T884" s="1"/>
      <c r="W884" s="3"/>
    </row>
    <row r="885" ht="15.75" customHeight="1">
      <c r="E885" s="1"/>
      <c r="H885" s="1"/>
      <c r="K885" s="1"/>
      <c r="N885" s="1"/>
      <c r="Q885" s="1"/>
      <c r="T885" s="1"/>
      <c r="W885" s="3"/>
    </row>
    <row r="886" ht="15.75" customHeight="1">
      <c r="E886" s="1"/>
      <c r="H886" s="1"/>
      <c r="K886" s="1"/>
      <c r="N886" s="1"/>
      <c r="Q886" s="1"/>
      <c r="T886" s="1"/>
      <c r="W886" s="3"/>
    </row>
    <row r="887" ht="15.75" customHeight="1">
      <c r="E887" s="1"/>
      <c r="H887" s="1"/>
      <c r="K887" s="1"/>
      <c r="N887" s="1"/>
      <c r="Q887" s="1"/>
      <c r="T887" s="1"/>
      <c r="W887" s="3"/>
    </row>
    <row r="888" ht="15.75" customHeight="1">
      <c r="E888" s="1"/>
      <c r="H888" s="1"/>
      <c r="K888" s="1"/>
      <c r="N888" s="1"/>
      <c r="Q888" s="1"/>
      <c r="T888" s="1"/>
      <c r="W888" s="3"/>
    </row>
    <row r="889" ht="15.75" customHeight="1">
      <c r="E889" s="1"/>
      <c r="H889" s="1"/>
      <c r="K889" s="1"/>
      <c r="N889" s="1"/>
      <c r="Q889" s="1"/>
      <c r="T889" s="1"/>
      <c r="W889" s="3"/>
    </row>
    <row r="890" ht="15.75" customHeight="1">
      <c r="E890" s="1"/>
      <c r="H890" s="1"/>
      <c r="K890" s="1"/>
      <c r="N890" s="1"/>
      <c r="Q890" s="1"/>
      <c r="T890" s="1"/>
      <c r="W890" s="3"/>
    </row>
    <row r="891" ht="15.75" customHeight="1">
      <c r="E891" s="1"/>
      <c r="H891" s="1"/>
      <c r="K891" s="1"/>
      <c r="N891" s="1"/>
      <c r="Q891" s="1"/>
      <c r="T891" s="1"/>
      <c r="W891" s="3"/>
    </row>
    <row r="892" ht="15.75" customHeight="1">
      <c r="E892" s="1"/>
      <c r="H892" s="1"/>
      <c r="K892" s="1"/>
      <c r="N892" s="1"/>
      <c r="Q892" s="1"/>
      <c r="T892" s="1"/>
      <c r="W892" s="3"/>
    </row>
    <row r="893" ht="15.75" customHeight="1">
      <c r="E893" s="1"/>
      <c r="H893" s="1"/>
      <c r="K893" s="1"/>
      <c r="N893" s="1"/>
      <c r="Q893" s="1"/>
      <c r="T893" s="1"/>
      <c r="W893" s="3"/>
    </row>
    <row r="894" ht="15.75" customHeight="1">
      <c r="E894" s="1"/>
      <c r="H894" s="1"/>
      <c r="K894" s="1"/>
      <c r="N894" s="1"/>
      <c r="Q894" s="1"/>
      <c r="T894" s="1"/>
      <c r="W894" s="3"/>
    </row>
    <row r="895" ht="15.75" customHeight="1">
      <c r="E895" s="1"/>
      <c r="H895" s="1"/>
      <c r="K895" s="1"/>
      <c r="N895" s="1"/>
      <c r="Q895" s="1"/>
      <c r="T895" s="1"/>
      <c r="W895" s="3"/>
    </row>
    <row r="896" ht="15.75" customHeight="1">
      <c r="E896" s="1"/>
      <c r="H896" s="1"/>
      <c r="K896" s="1"/>
      <c r="N896" s="1"/>
      <c r="Q896" s="1"/>
      <c r="T896" s="1"/>
      <c r="W896" s="3"/>
    </row>
    <row r="897" ht="15.75" customHeight="1">
      <c r="E897" s="1"/>
      <c r="H897" s="1"/>
      <c r="K897" s="1"/>
      <c r="N897" s="1"/>
      <c r="Q897" s="1"/>
      <c r="T897" s="1"/>
      <c r="W897" s="3"/>
    </row>
    <row r="898" ht="15.75" customHeight="1">
      <c r="E898" s="1"/>
      <c r="H898" s="1"/>
      <c r="K898" s="1"/>
      <c r="N898" s="1"/>
      <c r="Q898" s="1"/>
      <c r="T898" s="1"/>
      <c r="W898" s="3"/>
    </row>
    <row r="899" ht="15.75" customHeight="1">
      <c r="E899" s="1"/>
      <c r="H899" s="1"/>
      <c r="K899" s="1"/>
      <c r="N899" s="1"/>
      <c r="Q899" s="1"/>
      <c r="T899" s="1"/>
      <c r="W899" s="3"/>
    </row>
    <row r="900" ht="15.75" customHeight="1">
      <c r="E900" s="1"/>
      <c r="H900" s="1"/>
      <c r="K900" s="1"/>
      <c r="N900" s="1"/>
      <c r="Q900" s="1"/>
      <c r="T900" s="1"/>
      <c r="W900" s="3"/>
    </row>
    <row r="901" ht="15.75" customHeight="1">
      <c r="E901" s="1"/>
      <c r="H901" s="1"/>
      <c r="K901" s="1"/>
      <c r="N901" s="1"/>
      <c r="Q901" s="1"/>
      <c r="T901" s="1"/>
      <c r="W901" s="3"/>
    </row>
    <row r="902" ht="15.75" customHeight="1">
      <c r="E902" s="1"/>
      <c r="H902" s="1"/>
      <c r="K902" s="1"/>
      <c r="N902" s="1"/>
      <c r="Q902" s="1"/>
      <c r="T902" s="1"/>
      <c r="W902" s="3"/>
    </row>
    <row r="903" ht="15.75" customHeight="1">
      <c r="E903" s="1"/>
      <c r="H903" s="1"/>
      <c r="K903" s="1"/>
      <c r="N903" s="1"/>
      <c r="Q903" s="1"/>
      <c r="T903" s="1"/>
      <c r="W903" s="3"/>
    </row>
    <row r="904" ht="15.75" customHeight="1">
      <c r="E904" s="1"/>
      <c r="H904" s="1"/>
      <c r="K904" s="1"/>
      <c r="N904" s="1"/>
      <c r="Q904" s="1"/>
      <c r="T904" s="1"/>
      <c r="W904" s="3"/>
    </row>
    <row r="905" ht="15.75" customHeight="1">
      <c r="E905" s="1"/>
      <c r="H905" s="1"/>
      <c r="K905" s="1"/>
      <c r="N905" s="1"/>
      <c r="Q905" s="1"/>
      <c r="T905" s="1"/>
      <c r="W905" s="3"/>
    </row>
    <row r="906" ht="15.75" customHeight="1">
      <c r="E906" s="1"/>
      <c r="H906" s="1"/>
      <c r="K906" s="1"/>
      <c r="N906" s="1"/>
      <c r="Q906" s="1"/>
      <c r="T906" s="1"/>
      <c r="W906" s="3"/>
    </row>
    <row r="907" ht="15.75" customHeight="1">
      <c r="E907" s="1"/>
      <c r="H907" s="1"/>
      <c r="K907" s="1"/>
      <c r="N907" s="1"/>
      <c r="Q907" s="1"/>
      <c r="T907" s="1"/>
      <c r="W907" s="3"/>
    </row>
    <row r="908" ht="15.75" customHeight="1">
      <c r="E908" s="1"/>
      <c r="H908" s="1"/>
      <c r="K908" s="1"/>
      <c r="N908" s="1"/>
      <c r="Q908" s="1"/>
      <c r="T908" s="1"/>
      <c r="W908" s="3"/>
    </row>
    <row r="909" ht="15.75" customHeight="1">
      <c r="E909" s="1"/>
      <c r="H909" s="1"/>
      <c r="K909" s="1"/>
      <c r="N909" s="1"/>
      <c r="Q909" s="1"/>
      <c r="T909" s="1"/>
      <c r="W909" s="3"/>
    </row>
    <row r="910" ht="15.75" customHeight="1">
      <c r="E910" s="1"/>
      <c r="H910" s="1"/>
      <c r="K910" s="1"/>
      <c r="N910" s="1"/>
      <c r="Q910" s="1"/>
      <c r="T910" s="1"/>
      <c r="W910" s="3"/>
    </row>
    <row r="911" ht="15.75" customHeight="1">
      <c r="E911" s="1"/>
      <c r="H911" s="1"/>
      <c r="K911" s="1"/>
      <c r="N911" s="1"/>
      <c r="Q911" s="1"/>
      <c r="T911" s="1"/>
      <c r="W911" s="3"/>
    </row>
    <row r="912" ht="15.75" customHeight="1">
      <c r="E912" s="1"/>
      <c r="H912" s="1"/>
      <c r="K912" s="1"/>
      <c r="N912" s="1"/>
      <c r="Q912" s="1"/>
      <c r="T912" s="1"/>
      <c r="W912" s="3"/>
    </row>
    <row r="913" ht="15.75" customHeight="1">
      <c r="E913" s="1"/>
      <c r="H913" s="1"/>
      <c r="K913" s="1"/>
      <c r="N913" s="1"/>
      <c r="Q913" s="1"/>
      <c r="T913" s="1"/>
      <c r="W913" s="3"/>
    </row>
    <row r="914" ht="15.75" customHeight="1">
      <c r="E914" s="1"/>
      <c r="H914" s="1"/>
      <c r="K914" s="1"/>
      <c r="N914" s="1"/>
      <c r="Q914" s="1"/>
      <c r="T914" s="1"/>
      <c r="W914" s="3"/>
    </row>
    <row r="915" ht="15.75" customHeight="1">
      <c r="E915" s="1"/>
      <c r="H915" s="1"/>
      <c r="K915" s="1"/>
      <c r="N915" s="1"/>
      <c r="Q915" s="1"/>
      <c r="T915" s="1"/>
      <c r="W915" s="3"/>
    </row>
    <row r="916" ht="15.75" customHeight="1">
      <c r="E916" s="1"/>
      <c r="H916" s="1"/>
      <c r="K916" s="1"/>
      <c r="N916" s="1"/>
      <c r="Q916" s="1"/>
      <c r="T916" s="1"/>
      <c r="W916" s="3"/>
    </row>
    <row r="917" ht="15.75" customHeight="1">
      <c r="E917" s="1"/>
      <c r="H917" s="1"/>
      <c r="K917" s="1"/>
      <c r="N917" s="1"/>
      <c r="Q917" s="1"/>
      <c r="T917" s="1"/>
      <c r="W917" s="3"/>
    </row>
    <row r="918" ht="15.75" customHeight="1">
      <c r="E918" s="1"/>
      <c r="H918" s="1"/>
      <c r="K918" s="1"/>
      <c r="N918" s="1"/>
      <c r="Q918" s="1"/>
      <c r="T918" s="1"/>
      <c r="W918" s="3"/>
    </row>
    <row r="919" ht="15.75" customHeight="1">
      <c r="E919" s="1"/>
      <c r="H919" s="1"/>
      <c r="K919" s="1"/>
      <c r="N919" s="1"/>
      <c r="Q919" s="1"/>
      <c r="T919" s="1"/>
      <c r="W919" s="3"/>
    </row>
    <row r="920" ht="15.75" customHeight="1">
      <c r="E920" s="1"/>
      <c r="H920" s="1"/>
      <c r="K920" s="1"/>
      <c r="N920" s="1"/>
      <c r="Q920" s="1"/>
      <c r="T920" s="1"/>
      <c r="W920" s="3"/>
    </row>
    <row r="921" ht="15.75" customHeight="1">
      <c r="E921" s="1"/>
      <c r="H921" s="1"/>
      <c r="K921" s="1"/>
      <c r="N921" s="1"/>
      <c r="Q921" s="1"/>
      <c r="T921" s="1"/>
      <c r="W921" s="3"/>
    </row>
    <row r="922" ht="15.75" customHeight="1">
      <c r="E922" s="1"/>
      <c r="H922" s="1"/>
      <c r="K922" s="1"/>
      <c r="N922" s="1"/>
      <c r="Q922" s="1"/>
      <c r="T922" s="1"/>
      <c r="W922" s="3"/>
    </row>
    <row r="923" ht="15.75" customHeight="1">
      <c r="E923" s="1"/>
      <c r="H923" s="1"/>
      <c r="K923" s="1"/>
      <c r="N923" s="1"/>
      <c r="Q923" s="1"/>
      <c r="T923" s="1"/>
      <c r="W923" s="3"/>
    </row>
    <row r="924" ht="15.75" customHeight="1">
      <c r="E924" s="1"/>
      <c r="H924" s="1"/>
      <c r="K924" s="1"/>
      <c r="N924" s="1"/>
      <c r="Q924" s="1"/>
      <c r="T924" s="1"/>
      <c r="W924" s="3"/>
    </row>
    <row r="925" ht="15.75" customHeight="1">
      <c r="E925" s="1"/>
      <c r="H925" s="1"/>
      <c r="K925" s="1"/>
      <c r="N925" s="1"/>
      <c r="Q925" s="1"/>
      <c r="T925" s="1"/>
      <c r="W925" s="3"/>
    </row>
    <row r="926" ht="15.75" customHeight="1">
      <c r="E926" s="1"/>
      <c r="H926" s="1"/>
      <c r="K926" s="1"/>
      <c r="N926" s="1"/>
      <c r="Q926" s="1"/>
      <c r="T926" s="1"/>
      <c r="W926" s="3"/>
    </row>
    <row r="927" ht="15.75" customHeight="1">
      <c r="E927" s="1"/>
      <c r="H927" s="1"/>
      <c r="K927" s="1"/>
      <c r="N927" s="1"/>
      <c r="Q927" s="1"/>
      <c r="T927" s="1"/>
      <c r="W927" s="3"/>
    </row>
    <row r="928" ht="15.75" customHeight="1">
      <c r="E928" s="1"/>
      <c r="H928" s="1"/>
      <c r="K928" s="1"/>
      <c r="N928" s="1"/>
      <c r="Q928" s="1"/>
      <c r="T928" s="1"/>
      <c r="W928" s="3"/>
    </row>
    <row r="929" ht="15.75" customHeight="1">
      <c r="E929" s="1"/>
      <c r="H929" s="1"/>
      <c r="K929" s="1"/>
      <c r="N929" s="1"/>
      <c r="Q929" s="1"/>
      <c r="T929" s="1"/>
      <c r="W929" s="3"/>
    </row>
    <row r="930" ht="15.75" customHeight="1">
      <c r="E930" s="1"/>
      <c r="H930" s="1"/>
      <c r="K930" s="1"/>
      <c r="N930" s="1"/>
      <c r="Q930" s="1"/>
      <c r="T930" s="1"/>
      <c r="W930" s="3"/>
    </row>
    <row r="931" ht="15.75" customHeight="1">
      <c r="E931" s="1"/>
      <c r="H931" s="1"/>
      <c r="K931" s="1"/>
      <c r="N931" s="1"/>
      <c r="Q931" s="1"/>
      <c r="T931" s="1"/>
      <c r="W931" s="3"/>
    </row>
    <row r="932" ht="15.75" customHeight="1">
      <c r="E932" s="1"/>
      <c r="H932" s="1"/>
      <c r="K932" s="1"/>
      <c r="N932" s="1"/>
      <c r="Q932" s="1"/>
      <c r="T932" s="1"/>
      <c r="W932" s="3"/>
    </row>
    <row r="933" ht="15.75" customHeight="1">
      <c r="E933" s="1"/>
      <c r="H933" s="1"/>
      <c r="K933" s="1"/>
      <c r="N933" s="1"/>
      <c r="Q933" s="1"/>
      <c r="T933" s="1"/>
      <c r="W933" s="3"/>
    </row>
    <row r="934" ht="15.75" customHeight="1">
      <c r="E934" s="1"/>
      <c r="H934" s="1"/>
      <c r="K934" s="1"/>
      <c r="N934" s="1"/>
      <c r="Q934" s="1"/>
      <c r="T934" s="1"/>
      <c r="W934" s="3"/>
    </row>
    <row r="935" ht="15.75" customHeight="1">
      <c r="E935" s="1"/>
      <c r="H935" s="1"/>
      <c r="K935" s="1"/>
      <c r="N935" s="1"/>
      <c r="Q935" s="1"/>
      <c r="T935" s="1"/>
      <c r="W935" s="3"/>
    </row>
    <row r="936" ht="15.75" customHeight="1">
      <c r="E936" s="1"/>
      <c r="H936" s="1"/>
      <c r="K936" s="1"/>
      <c r="N936" s="1"/>
      <c r="Q936" s="1"/>
      <c r="T936" s="1"/>
      <c r="W936" s="3"/>
    </row>
    <row r="937" ht="15.75" customHeight="1">
      <c r="E937" s="1"/>
      <c r="H937" s="1"/>
      <c r="K937" s="1"/>
      <c r="N937" s="1"/>
      <c r="Q937" s="1"/>
      <c r="T937" s="1"/>
      <c r="W937" s="3"/>
    </row>
    <row r="938" ht="15.75" customHeight="1">
      <c r="E938" s="1"/>
      <c r="H938" s="1"/>
      <c r="K938" s="1"/>
      <c r="N938" s="1"/>
      <c r="Q938" s="1"/>
      <c r="T938" s="1"/>
      <c r="W938" s="3"/>
    </row>
    <row r="939" ht="15.75" customHeight="1">
      <c r="E939" s="1"/>
      <c r="H939" s="1"/>
      <c r="K939" s="1"/>
      <c r="N939" s="1"/>
      <c r="Q939" s="1"/>
      <c r="T939" s="1"/>
      <c r="W939" s="3"/>
    </row>
    <row r="940" ht="15.75" customHeight="1">
      <c r="E940" s="1"/>
      <c r="H940" s="1"/>
      <c r="K940" s="1"/>
      <c r="N940" s="1"/>
      <c r="Q940" s="1"/>
      <c r="T940" s="1"/>
      <c r="W940" s="3"/>
    </row>
    <row r="941" ht="15.75" customHeight="1">
      <c r="E941" s="1"/>
      <c r="H941" s="1"/>
      <c r="K941" s="1"/>
      <c r="N941" s="1"/>
      <c r="Q941" s="1"/>
      <c r="T941" s="1"/>
      <c r="W941" s="3"/>
    </row>
    <row r="942" ht="15.75" customHeight="1">
      <c r="E942" s="1"/>
      <c r="H942" s="1"/>
      <c r="K942" s="1"/>
      <c r="N942" s="1"/>
      <c r="Q942" s="1"/>
      <c r="T942" s="1"/>
      <c r="W942" s="3"/>
    </row>
    <row r="943" ht="15.75" customHeight="1">
      <c r="E943" s="1"/>
      <c r="H943" s="1"/>
      <c r="K943" s="1"/>
      <c r="N943" s="1"/>
      <c r="Q943" s="1"/>
      <c r="T943" s="1"/>
      <c r="W943" s="3"/>
    </row>
    <row r="944" ht="15.75" customHeight="1">
      <c r="E944" s="1"/>
      <c r="H944" s="1"/>
      <c r="K944" s="1"/>
      <c r="N944" s="1"/>
      <c r="Q944" s="1"/>
      <c r="T944" s="1"/>
      <c r="W944" s="3"/>
    </row>
    <row r="945" ht="15.75" customHeight="1">
      <c r="E945" s="1"/>
      <c r="H945" s="1"/>
      <c r="K945" s="1"/>
      <c r="N945" s="1"/>
      <c r="Q945" s="1"/>
      <c r="T945" s="1"/>
      <c r="W945" s="3"/>
    </row>
    <row r="946" ht="15.75" customHeight="1">
      <c r="E946" s="1"/>
      <c r="H946" s="1"/>
      <c r="K946" s="1"/>
      <c r="N946" s="1"/>
      <c r="Q946" s="1"/>
      <c r="T946" s="1"/>
      <c r="W946" s="3"/>
    </row>
    <row r="947" ht="15.75" customHeight="1">
      <c r="E947" s="1"/>
      <c r="H947" s="1"/>
      <c r="K947" s="1"/>
      <c r="N947" s="1"/>
      <c r="Q947" s="1"/>
      <c r="T947" s="1"/>
      <c r="W947" s="3"/>
    </row>
    <row r="948" ht="15.75" customHeight="1">
      <c r="E948" s="1"/>
      <c r="H948" s="1"/>
      <c r="K948" s="1"/>
      <c r="N948" s="1"/>
      <c r="Q948" s="1"/>
      <c r="T948" s="1"/>
      <c r="W948" s="3"/>
    </row>
    <row r="949" ht="15.75" customHeight="1">
      <c r="E949" s="1"/>
      <c r="H949" s="1"/>
      <c r="K949" s="1"/>
      <c r="N949" s="1"/>
      <c r="Q949" s="1"/>
      <c r="T949" s="1"/>
      <c r="W949" s="3"/>
    </row>
    <row r="950" ht="15.75" customHeight="1">
      <c r="E950" s="1"/>
      <c r="H950" s="1"/>
      <c r="K950" s="1"/>
      <c r="N950" s="1"/>
      <c r="Q950" s="1"/>
      <c r="T950" s="1"/>
      <c r="W950" s="3"/>
    </row>
    <row r="951" ht="15.75" customHeight="1">
      <c r="E951" s="1"/>
      <c r="H951" s="1"/>
      <c r="K951" s="1"/>
      <c r="N951" s="1"/>
      <c r="Q951" s="1"/>
      <c r="T951" s="1"/>
      <c r="W951" s="3"/>
    </row>
    <row r="952" ht="15.75" customHeight="1">
      <c r="E952" s="1"/>
      <c r="H952" s="1"/>
      <c r="K952" s="1"/>
      <c r="N952" s="1"/>
      <c r="Q952" s="1"/>
      <c r="T952" s="1"/>
      <c r="W952" s="3"/>
    </row>
    <row r="953" ht="15.75" customHeight="1">
      <c r="E953" s="1"/>
      <c r="H953" s="1"/>
      <c r="K953" s="1"/>
      <c r="N953" s="1"/>
      <c r="Q953" s="1"/>
      <c r="T953" s="1"/>
      <c r="W953" s="3"/>
    </row>
    <row r="954" ht="15.75" customHeight="1">
      <c r="E954" s="1"/>
      <c r="H954" s="1"/>
      <c r="K954" s="1"/>
      <c r="N954" s="1"/>
      <c r="Q954" s="1"/>
      <c r="T954" s="1"/>
      <c r="W954" s="3"/>
    </row>
    <row r="955" ht="15.75" customHeight="1">
      <c r="E955" s="1"/>
      <c r="H955" s="1"/>
      <c r="K955" s="1"/>
      <c r="N955" s="1"/>
      <c r="Q955" s="1"/>
      <c r="T955" s="1"/>
      <c r="W955" s="3"/>
    </row>
    <row r="956" ht="15.75" customHeight="1">
      <c r="E956" s="1"/>
      <c r="H956" s="1"/>
      <c r="K956" s="1"/>
      <c r="N956" s="1"/>
      <c r="Q956" s="1"/>
      <c r="T956" s="1"/>
      <c r="W956" s="3"/>
    </row>
    <row r="957" ht="15.75" customHeight="1">
      <c r="E957" s="1"/>
      <c r="H957" s="1"/>
      <c r="K957" s="1"/>
      <c r="N957" s="1"/>
      <c r="Q957" s="1"/>
      <c r="T957" s="1"/>
      <c r="W957" s="3"/>
    </row>
    <row r="958" ht="15.75" customHeight="1">
      <c r="E958" s="1"/>
      <c r="H958" s="1"/>
      <c r="K958" s="1"/>
      <c r="N958" s="1"/>
      <c r="Q958" s="1"/>
      <c r="T958" s="1"/>
      <c r="W958" s="3"/>
    </row>
    <row r="959" ht="15.75" customHeight="1">
      <c r="E959" s="1"/>
      <c r="H959" s="1"/>
      <c r="K959" s="1"/>
      <c r="N959" s="1"/>
      <c r="Q959" s="1"/>
      <c r="T959" s="1"/>
      <c r="W959" s="3"/>
    </row>
    <row r="960" ht="15.75" customHeight="1">
      <c r="E960" s="1"/>
      <c r="H960" s="1"/>
      <c r="K960" s="1"/>
      <c r="N960" s="1"/>
      <c r="Q960" s="1"/>
      <c r="T960" s="1"/>
      <c r="W960" s="3"/>
    </row>
    <row r="961" ht="15.75" customHeight="1">
      <c r="E961" s="1"/>
      <c r="H961" s="1"/>
      <c r="K961" s="1"/>
      <c r="N961" s="1"/>
      <c r="Q961" s="1"/>
      <c r="T961" s="1"/>
      <c r="W961" s="3"/>
    </row>
    <row r="962" ht="15.75" customHeight="1">
      <c r="E962" s="1"/>
      <c r="H962" s="1"/>
      <c r="K962" s="1"/>
      <c r="N962" s="1"/>
      <c r="Q962" s="1"/>
      <c r="T962" s="1"/>
      <c r="W962" s="3"/>
    </row>
    <row r="963" ht="15.75" customHeight="1">
      <c r="E963" s="1"/>
      <c r="H963" s="1"/>
      <c r="K963" s="1"/>
      <c r="N963" s="1"/>
      <c r="Q963" s="1"/>
      <c r="T963" s="1"/>
      <c r="W963" s="3"/>
    </row>
    <row r="964" ht="15.75" customHeight="1">
      <c r="E964" s="1"/>
      <c r="H964" s="1"/>
      <c r="K964" s="1"/>
      <c r="N964" s="1"/>
      <c r="Q964" s="1"/>
      <c r="T964" s="1"/>
      <c r="W964" s="3"/>
    </row>
    <row r="965" ht="15.75" customHeight="1">
      <c r="E965" s="1"/>
      <c r="H965" s="1"/>
      <c r="K965" s="1"/>
      <c r="N965" s="1"/>
      <c r="Q965" s="1"/>
      <c r="T965" s="1"/>
      <c r="W965" s="3"/>
    </row>
    <row r="966" ht="15.75" customHeight="1">
      <c r="E966" s="1"/>
      <c r="H966" s="1"/>
      <c r="K966" s="1"/>
      <c r="N966" s="1"/>
      <c r="Q966" s="1"/>
      <c r="T966" s="1"/>
      <c r="W966" s="3"/>
    </row>
    <row r="967" ht="15.75" customHeight="1">
      <c r="E967" s="1"/>
      <c r="H967" s="1"/>
      <c r="K967" s="1"/>
      <c r="N967" s="1"/>
      <c r="Q967" s="1"/>
      <c r="T967" s="1"/>
      <c r="W967" s="3"/>
    </row>
    <row r="968" ht="15.75" customHeight="1">
      <c r="E968" s="1"/>
      <c r="H968" s="1"/>
      <c r="K968" s="1"/>
      <c r="N968" s="1"/>
      <c r="Q968" s="1"/>
      <c r="T968" s="1"/>
      <c r="W968" s="3"/>
    </row>
    <row r="969" ht="15.75" customHeight="1">
      <c r="E969" s="1"/>
      <c r="H969" s="1"/>
      <c r="K969" s="1"/>
      <c r="N969" s="1"/>
      <c r="Q969" s="1"/>
      <c r="T969" s="1"/>
      <c r="W969" s="3"/>
    </row>
    <row r="970" ht="15.75" customHeight="1">
      <c r="E970" s="1"/>
      <c r="H970" s="1"/>
      <c r="K970" s="1"/>
      <c r="N970" s="1"/>
      <c r="Q970" s="1"/>
      <c r="T970" s="1"/>
      <c r="W970" s="3"/>
    </row>
    <row r="971" ht="15.75" customHeight="1">
      <c r="E971" s="1"/>
      <c r="H971" s="1"/>
      <c r="K971" s="1"/>
      <c r="N971" s="1"/>
      <c r="Q971" s="1"/>
      <c r="T971" s="1"/>
      <c r="W971" s="3"/>
    </row>
    <row r="972" ht="15.75" customHeight="1">
      <c r="E972" s="1"/>
      <c r="H972" s="1"/>
      <c r="K972" s="1"/>
      <c r="N972" s="1"/>
      <c r="Q972" s="1"/>
      <c r="T972" s="1"/>
      <c r="W972" s="3"/>
    </row>
    <row r="973" ht="15.75" customHeight="1">
      <c r="E973" s="1"/>
      <c r="H973" s="1"/>
      <c r="K973" s="1"/>
      <c r="N973" s="1"/>
      <c r="Q973" s="1"/>
      <c r="T973" s="1"/>
      <c r="W973" s="3"/>
    </row>
    <row r="974" ht="15.75" customHeight="1">
      <c r="E974" s="1"/>
      <c r="H974" s="1"/>
      <c r="K974" s="1"/>
      <c r="N974" s="1"/>
      <c r="Q974" s="1"/>
      <c r="T974" s="1"/>
      <c r="W974" s="3"/>
    </row>
    <row r="975" ht="15.75" customHeight="1">
      <c r="E975" s="1"/>
      <c r="H975" s="1"/>
      <c r="K975" s="1"/>
      <c r="N975" s="1"/>
      <c r="Q975" s="1"/>
      <c r="T975" s="1"/>
      <c r="W975" s="3"/>
    </row>
    <row r="976" ht="15.75" customHeight="1">
      <c r="E976" s="1"/>
      <c r="H976" s="1"/>
      <c r="K976" s="1"/>
      <c r="N976" s="1"/>
      <c r="Q976" s="1"/>
      <c r="T976" s="1"/>
      <c r="W976" s="3"/>
    </row>
    <row r="977" ht="15.75" customHeight="1">
      <c r="E977" s="1"/>
      <c r="H977" s="1"/>
      <c r="K977" s="1"/>
      <c r="N977" s="1"/>
      <c r="Q977" s="1"/>
      <c r="T977" s="1"/>
      <c r="W977" s="3"/>
    </row>
    <row r="978" ht="15.75" customHeight="1">
      <c r="E978" s="1"/>
      <c r="H978" s="1"/>
      <c r="K978" s="1"/>
      <c r="N978" s="1"/>
      <c r="Q978" s="1"/>
      <c r="T978" s="1"/>
      <c r="W978" s="3"/>
    </row>
    <row r="979" ht="15.75" customHeight="1">
      <c r="E979" s="1"/>
      <c r="H979" s="1"/>
      <c r="K979" s="1"/>
      <c r="N979" s="1"/>
      <c r="Q979" s="1"/>
      <c r="T979" s="1"/>
      <c r="W979" s="3"/>
    </row>
    <row r="980" ht="15.75" customHeight="1">
      <c r="E980" s="1"/>
      <c r="H980" s="1"/>
      <c r="K980" s="1"/>
      <c r="N980" s="1"/>
      <c r="Q980" s="1"/>
      <c r="T980" s="1"/>
      <c r="W980" s="3"/>
    </row>
    <row r="981" ht="15.75" customHeight="1">
      <c r="E981" s="1"/>
      <c r="H981" s="1"/>
      <c r="K981" s="1"/>
      <c r="N981" s="1"/>
      <c r="Q981" s="1"/>
      <c r="T981" s="1"/>
      <c r="W981" s="3"/>
    </row>
    <row r="982" ht="15.75" customHeight="1">
      <c r="E982" s="1"/>
      <c r="H982" s="1"/>
      <c r="K982" s="1"/>
      <c r="N982" s="1"/>
      <c r="Q982" s="1"/>
      <c r="T982" s="1"/>
      <c r="W982" s="3"/>
    </row>
    <row r="983" ht="15.75" customHeight="1">
      <c r="E983" s="1"/>
      <c r="H983" s="1"/>
      <c r="K983" s="1"/>
      <c r="N983" s="1"/>
      <c r="Q983" s="1"/>
      <c r="T983" s="1"/>
      <c r="W983" s="3"/>
    </row>
    <row r="984" ht="15.75" customHeight="1">
      <c r="E984" s="1"/>
      <c r="H984" s="1"/>
      <c r="K984" s="1"/>
      <c r="N984" s="1"/>
      <c r="Q984" s="1"/>
      <c r="T984" s="1"/>
      <c r="W984" s="3"/>
    </row>
    <row r="985" ht="15.75" customHeight="1">
      <c r="E985" s="1"/>
      <c r="H985" s="1"/>
      <c r="K985" s="1"/>
      <c r="N985" s="1"/>
      <c r="Q985" s="1"/>
      <c r="T985" s="1"/>
      <c r="W985" s="3"/>
    </row>
    <row r="986" ht="15.75" customHeight="1">
      <c r="E986" s="1"/>
      <c r="H986" s="1"/>
      <c r="K986" s="1"/>
      <c r="N986" s="1"/>
      <c r="Q986" s="1"/>
      <c r="T986" s="1"/>
      <c r="W986" s="3"/>
    </row>
    <row r="987" ht="15.75" customHeight="1">
      <c r="E987" s="1"/>
      <c r="H987" s="1"/>
      <c r="K987" s="1"/>
      <c r="N987" s="1"/>
      <c r="Q987" s="1"/>
      <c r="T987" s="1"/>
      <c r="W987" s="3"/>
    </row>
    <row r="988" ht="15.75" customHeight="1">
      <c r="E988" s="1"/>
      <c r="H988" s="1"/>
      <c r="K988" s="1"/>
      <c r="N988" s="1"/>
      <c r="Q988" s="1"/>
      <c r="T988" s="1"/>
      <c r="W988" s="3"/>
    </row>
    <row r="989" ht="15.75" customHeight="1">
      <c r="E989" s="1"/>
      <c r="H989" s="1"/>
      <c r="K989" s="1"/>
      <c r="N989" s="1"/>
      <c r="Q989" s="1"/>
      <c r="T989" s="1"/>
      <c r="W989" s="3"/>
    </row>
    <row r="990" ht="15.75" customHeight="1">
      <c r="E990" s="1"/>
      <c r="H990" s="1"/>
      <c r="K990" s="1"/>
      <c r="N990" s="1"/>
      <c r="Q990" s="1"/>
      <c r="T990" s="1"/>
      <c r="W990" s="3"/>
    </row>
    <row r="991" ht="15.75" customHeight="1">
      <c r="E991" s="1"/>
      <c r="H991" s="1"/>
      <c r="K991" s="1"/>
      <c r="N991" s="1"/>
      <c r="Q991" s="1"/>
      <c r="T991" s="1"/>
      <c r="W991" s="3"/>
    </row>
    <row r="992" ht="15.75" customHeight="1">
      <c r="E992" s="1"/>
      <c r="H992" s="1"/>
      <c r="K992" s="1"/>
      <c r="N992" s="1"/>
      <c r="Q992" s="1"/>
      <c r="T992" s="1"/>
      <c r="W992" s="3"/>
    </row>
    <row r="993" ht="15.75" customHeight="1">
      <c r="E993" s="1"/>
      <c r="H993" s="1"/>
      <c r="K993" s="1"/>
      <c r="N993" s="1"/>
      <c r="Q993" s="1"/>
      <c r="T993" s="1"/>
      <c r="W993" s="3"/>
    </row>
    <row r="994" ht="15.75" customHeight="1">
      <c r="E994" s="1"/>
      <c r="H994" s="1"/>
      <c r="K994" s="1"/>
      <c r="N994" s="1"/>
      <c r="Q994" s="1"/>
      <c r="T994" s="1"/>
      <c r="W994" s="3"/>
    </row>
    <row r="995" ht="15.75" customHeight="1">
      <c r="E995" s="1"/>
      <c r="H995" s="1"/>
      <c r="K995" s="1"/>
      <c r="N995" s="1"/>
      <c r="Q995" s="1"/>
      <c r="T995" s="1"/>
      <c r="W995" s="3"/>
    </row>
    <row r="996" ht="15.75" customHeight="1">
      <c r="E996" s="1"/>
      <c r="H996" s="1"/>
      <c r="K996" s="1"/>
      <c r="N996" s="1"/>
      <c r="Q996" s="1"/>
      <c r="T996" s="1"/>
      <c r="W996" s="3"/>
    </row>
    <row r="997" ht="15.75" customHeight="1">
      <c r="E997" s="1"/>
      <c r="H997" s="1"/>
      <c r="K997" s="1"/>
      <c r="N997" s="1"/>
      <c r="Q997" s="1"/>
      <c r="T997" s="1"/>
      <c r="W997" s="3"/>
    </row>
    <row r="998" ht="15.75" customHeight="1">
      <c r="E998" s="1"/>
      <c r="H998" s="1"/>
      <c r="K998" s="1"/>
      <c r="N998" s="1"/>
      <c r="Q998" s="1"/>
      <c r="T998" s="1"/>
      <c r="W998" s="3"/>
    </row>
    <row r="999" ht="15.75" customHeight="1">
      <c r="E999" s="1"/>
      <c r="H999" s="1"/>
      <c r="K999" s="1"/>
      <c r="N999" s="1"/>
      <c r="Q999" s="1"/>
      <c r="T999" s="1"/>
      <c r="W999" s="3"/>
    </row>
    <row r="1000" ht="15.75" customHeight="1">
      <c r="E1000" s="1"/>
      <c r="H1000" s="1"/>
      <c r="K1000" s="1"/>
      <c r="N1000" s="1"/>
      <c r="Q1000" s="1"/>
      <c r="T1000" s="1"/>
      <c r="W1000" s="3"/>
    </row>
    <row r="1001" ht="15.75" customHeight="1">
      <c r="E1001" s="1"/>
      <c r="H1001" s="1"/>
      <c r="K1001" s="1"/>
      <c r="N1001" s="1"/>
      <c r="Q1001" s="1"/>
      <c r="T1001" s="1"/>
      <c r="W1001" s="3"/>
    </row>
    <row r="1002" ht="15.75" customHeight="1">
      <c r="E1002" s="1"/>
      <c r="H1002" s="1"/>
      <c r="K1002" s="1"/>
      <c r="N1002" s="1"/>
      <c r="Q1002" s="1"/>
      <c r="T1002" s="1"/>
      <c r="W1002" s="3"/>
    </row>
    <row r="1003" ht="15.75" customHeight="1">
      <c r="E1003" s="1"/>
      <c r="H1003" s="1"/>
      <c r="K1003" s="1"/>
      <c r="N1003" s="1"/>
      <c r="Q1003" s="1"/>
      <c r="T1003" s="1"/>
      <c r="W1003" s="3"/>
    </row>
    <row r="1004" ht="15.75" customHeight="1">
      <c r="E1004" s="1"/>
      <c r="H1004" s="1"/>
      <c r="K1004" s="1"/>
      <c r="N1004" s="1"/>
      <c r="Q1004" s="1"/>
      <c r="T1004" s="1"/>
      <c r="W1004" s="3"/>
    </row>
    <row r="1005" ht="15.75" customHeight="1">
      <c r="E1005" s="1"/>
      <c r="H1005" s="1"/>
      <c r="K1005" s="1"/>
      <c r="N1005" s="1"/>
      <c r="Q1005" s="1"/>
      <c r="T1005" s="1"/>
      <c r="W1005" s="3"/>
    </row>
    <row r="1006" ht="15.75" customHeight="1">
      <c r="E1006" s="1"/>
      <c r="H1006" s="1"/>
      <c r="K1006" s="1"/>
      <c r="N1006" s="1"/>
      <c r="Q1006" s="1"/>
      <c r="T1006" s="1"/>
      <c r="W1006" s="3"/>
    </row>
    <row r="1007" ht="15.75" customHeight="1">
      <c r="E1007" s="1"/>
      <c r="H1007" s="1"/>
      <c r="K1007" s="1"/>
      <c r="N1007" s="1"/>
      <c r="Q1007" s="1"/>
      <c r="T1007" s="1"/>
      <c r="W1007" s="3"/>
    </row>
    <row r="1008" ht="15.75" customHeight="1">
      <c r="E1008" s="1"/>
      <c r="H1008" s="1"/>
      <c r="K1008" s="1"/>
      <c r="N1008" s="1"/>
      <c r="Q1008" s="1"/>
      <c r="T1008" s="1"/>
      <c r="W1008" s="3"/>
    </row>
    <row r="1009" ht="15.75" customHeight="1">
      <c r="E1009" s="1"/>
      <c r="H1009" s="1"/>
      <c r="K1009" s="1"/>
      <c r="N1009" s="1"/>
      <c r="Q1009" s="1"/>
      <c r="T1009" s="1"/>
      <c r="W1009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/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67</v>
      </c>
      <c r="B4" s="61" t="s">
        <v>68</v>
      </c>
      <c r="C4" s="71">
        <v>45352.0</v>
      </c>
      <c r="D4" s="71">
        <v>45369.0</v>
      </c>
      <c r="E4" s="16"/>
      <c r="F4" s="17">
        <f t="shared" ref="F4:F45" si="1">PRODUCT(E4)*214.22</f>
        <v>0</v>
      </c>
      <c r="G4" s="47"/>
      <c r="H4" s="16"/>
      <c r="I4" s="17">
        <f t="shared" ref="I4:I45" si="2">PRODUCT(H4)*316.77</f>
        <v>0</v>
      </c>
      <c r="J4" s="17"/>
      <c r="K4" s="16"/>
      <c r="L4" s="17">
        <f t="shared" ref="L4:L45" si="3">PRODUCT(K4)*188.57</f>
        <v>0</v>
      </c>
      <c r="M4" s="17"/>
      <c r="N4" s="16"/>
      <c r="O4" s="17">
        <f t="shared" ref="O4:O17" si="4">PRODUCT(N4)*58.85</f>
        <v>0</v>
      </c>
      <c r="P4" s="17"/>
      <c r="Q4" s="16"/>
      <c r="R4" s="17">
        <f t="shared" ref="R4:R45" si="5">PRODUCT(Q4)*30.16</f>
        <v>0</v>
      </c>
      <c r="S4" s="17"/>
      <c r="T4" s="16"/>
      <c r="U4" s="17">
        <f t="shared" ref="U4:U45" si="6">PRODUCT(T4)*5.07</f>
        <v>0</v>
      </c>
      <c r="V4" s="17"/>
      <c r="W4" s="57">
        <v>0.0</v>
      </c>
      <c r="X4" s="17">
        <f t="shared" ref="X4:X45" si="7">PRODUCT(W4)*18.22</f>
        <v>0</v>
      </c>
      <c r="Y4" s="17"/>
      <c r="Z4" s="63">
        <v>18.0</v>
      </c>
      <c r="AA4" s="17">
        <f t="shared" ref="AA4:AA45" si="8">PRODUCT(Z4)*33.37</f>
        <v>600.66</v>
      </c>
      <c r="AB4" s="17"/>
      <c r="AC4" s="21">
        <f>SUM(F4+I4+L4+O4+R4)</f>
        <v>0</v>
      </c>
      <c r="AD4" s="26"/>
      <c r="AE4" s="23"/>
    </row>
    <row r="5">
      <c r="A5" s="61" t="s">
        <v>57</v>
      </c>
      <c r="B5" s="61" t="s">
        <v>58</v>
      </c>
      <c r="C5" s="62">
        <v>45369.0</v>
      </c>
      <c r="D5" s="62">
        <v>45371.0</v>
      </c>
      <c r="E5" s="16"/>
      <c r="F5" s="17">
        <f t="shared" si="1"/>
        <v>0</v>
      </c>
      <c r="G5" s="17"/>
      <c r="H5" s="16"/>
      <c r="I5" s="17">
        <f t="shared" si="2"/>
        <v>0</v>
      </c>
      <c r="J5" s="47"/>
      <c r="K5" s="57">
        <v>3.0</v>
      </c>
      <c r="L5" s="17">
        <f t="shared" si="3"/>
        <v>565.71</v>
      </c>
      <c r="M5" s="47">
        <v>565.71</v>
      </c>
      <c r="N5" s="16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16"/>
      <c r="X5" s="17">
        <f t="shared" si="7"/>
        <v>0</v>
      </c>
      <c r="Y5" s="17"/>
      <c r="Z5" s="20"/>
      <c r="AA5" s="17">
        <f t="shared" si="8"/>
        <v>0</v>
      </c>
      <c r="AB5" s="17"/>
      <c r="AC5" s="48">
        <v>0.0</v>
      </c>
      <c r="AD5" s="50">
        <v>45375.0</v>
      </c>
      <c r="AE5" s="24"/>
    </row>
    <row r="6">
      <c r="A6" s="14" t="s">
        <v>82</v>
      </c>
      <c r="B6" s="14" t="s">
        <v>83</v>
      </c>
      <c r="C6" s="71">
        <v>45352.0</v>
      </c>
      <c r="D6" s="62">
        <v>45367.0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16"/>
      <c r="O6" s="17">
        <f t="shared" si="4"/>
        <v>0</v>
      </c>
      <c r="P6" s="17"/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16"/>
      <c r="X6" s="17">
        <f t="shared" si="7"/>
        <v>0</v>
      </c>
      <c r="Y6" s="17"/>
      <c r="Z6" s="63">
        <v>6.0</v>
      </c>
      <c r="AA6" s="17">
        <f t="shared" si="8"/>
        <v>200.22</v>
      </c>
      <c r="AB6" s="17"/>
      <c r="AC6" s="21">
        <f t="shared" ref="AC6:AC7" si="9">SUM(F6+I6+L6+O6+R6)</f>
        <v>0</v>
      </c>
      <c r="AD6" s="26"/>
      <c r="AE6" s="24"/>
    </row>
    <row r="7">
      <c r="A7" s="61" t="s">
        <v>167</v>
      </c>
      <c r="B7" s="61" t="s">
        <v>110</v>
      </c>
      <c r="C7" s="62"/>
      <c r="D7" s="62"/>
      <c r="E7" s="16"/>
      <c r="F7" s="17">
        <f t="shared" si="1"/>
        <v>0</v>
      </c>
      <c r="G7" s="17"/>
      <c r="H7" s="57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21">
        <f t="shared" si="9"/>
        <v>0</v>
      </c>
      <c r="AD7" s="26"/>
      <c r="AE7" s="24"/>
    </row>
    <row r="8">
      <c r="A8" s="14" t="s">
        <v>20</v>
      </c>
      <c r="B8" s="14" t="s">
        <v>21</v>
      </c>
      <c r="C8" s="71">
        <v>6689118.0</v>
      </c>
      <c r="D8" s="62">
        <v>45365.0</v>
      </c>
      <c r="E8" s="16"/>
      <c r="F8" s="17">
        <f t="shared" si="1"/>
        <v>0</v>
      </c>
      <c r="G8" s="17"/>
      <c r="H8" s="16"/>
      <c r="I8" s="17">
        <f t="shared" si="2"/>
        <v>0</v>
      </c>
      <c r="J8" s="17"/>
      <c r="K8" s="57">
        <v>4.0</v>
      </c>
      <c r="L8" s="17">
        <f t="shared" si="3"/>
        <v>754.28</v>
      </c>
      <c r="M8" s="47">
        <v>754.28</v>
      </c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>
        <v>1.0</v>
      </c>
      <c r="U8" s="17">
        <f t="shared" si="6"/>
        <v>5.07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48">
        <v>0.0</v>
      </c>
      <c r="AD8" s="49">
        <v>45375.0</v>
      </c>
      <c r="AE8" s="23"/>
    </row>
    <row r="9">
      <c r="A9" s="58" t="s">
        <v>130</v>
      </c>
      <c r="B9" s="58" t="s">
        <v>165</v>
      </c>
      <c r="C9" s="71">
        <v>45353.0</v>
      </c>
      <c r="D9" s="71">
        <v>45361.0</v>
      </c>
      <c r="E9" s="16"/>
      <c r="F9" s="17">
        <f t="shared" si="1"/>
        <v>0</v>
      </c>
      <c r="G9" s="17"/>
      <c r="H9" s="57">
        <v>8.0</v>
      </c>
      <c r="I9" s="17">
        <f t="shared" si="2"/>
        <v>2534.16</v>
      </c>
      <c r="J9" s="47">
        <v>2534.16</v>
      </c>
      <c r="K9" s="16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16"/>
      <c r="X9" s="17">
        <f t="shared" si="7"/>
        <v>0</v>
      </c>
      <c r="Y9" s="17"/>
      <c r="Z9" s="20"/>
      <c r="AA9" s="17">
        <f t="shared" si="8"/>
        <v>0</v>
      </c>
      <c r="AB9" s="17"/>
      <c r="AC9" s="48">
        <v>0.0</v>
      </c>
      <c r="AD9" s="76">
        <v>45375.0</v>
      </c>
      <c r="AE9" s="23"/>
    </row>
    <row r="10">
      <c r="A10" s="26" t="s">
        <v>39</v>
      </c>
      <c r="B10" s="26" t="s">
        <v>40</v>
      </c>
      <c r="C10" s="71">
        <v>45364.0</v>
      </c>
      <c r="D10" s="71">
        <v>45364.0</v>
      </c>
      <c r="E10" s="57">
        <v>1.0</v>
      </c>
      <c r="F10" s="17">
        <f t="shared" si="1"/>
        <v>214.22</v>
      </c>
      <c r="G10" s="47">
        <v>214.22</v>
      </c>
      <c r="H10" s="16"/>
      <c r="I10" s="17">
        <f t="shared" si="2"/>
        <v>0</v>
      </c>
      <c r="J10" s="17"/>
      <c r="K10" s="16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16"/>
      <c r="X10" s="17">
        <f t="shared" si="7"/>
        <v>0</v>
      </c>
      <c r="Y10" s="17"/>
      <c r="Z10" s="20"/>
      <c r="AA10" s="17">
        <f t="shared" si="8"/>
        <v>0</v>
      </c>
      <c r="AB10" s="50"/>
      <c r="AC10" s="48">
        <v>0.0</v>
      </c>
      <c r="AD10" s="50">
        <v>45375.0</v>
      </c>
      <c r="AE10" s="23"/>
    </row>
    <row r="11">
      <c r="A11" s="58" t="s">
        <v>145</v>
      </c>
      <c r="B11" s="58" t="s">
        <v>146</v>
      </c>
      <c r="C11" s="71">
        <v>45350.0</v>
      </c>
      <c r="D11" s="62">
        <v>45351.0</v>
      </c>
      <c r="E11" s="16"/>
      <c r="F11" s="17">
        <f t="shared" si="1"/>
        <v>0</v>
      </c>
      <c r="G11" s="17"/>
      <c r="H11" s="57">
        <v>2.0</v>
      </c>
      <c r="I11" s="17">
        <f t="shared" si="2"/>
        <v>633.54</v>
      </c>
      <c r="J11" s="47">
        <v>633.54</v>
      </c>
      <c r="K11" s="16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16"/>
      <c r="X11" s="17">
        <f t="shared" si="7"/>
        <v>0</v>
      </c>
      <c r="Y11" s="17"/>
      <c r="Z11" s="20"/>
      <c r="AA11" s="17">
        <f t="shared" si="8"/>
        <v>0</v>
      </c>
      <c r="AB11" s="17"/>
      <c r="AC11" s="48">
        <v>0.0</v>
      </c>
      <c r="AD11" s="49">
        <v>45375.0</v>
      </c>
      <c r="AE11" s="23"/>
    </row>
    <row r="12">
      <c r="A12" s="26" t="s">
        <v>155</v>
      </c>
      <c r="B12" s="26" t="s">
        <v>66</v>
      </c>
      <c r="C12" s="30"/>
      <c r="D12" s="15"/>
      <c r="E12" s="16"/>
      <c r="F12" s="17">
        <f t="shared" si="1"/>
        <v>0</v>
      </c>
      <c r="G12" s="17"/>
      <c r="H12" s="16"/>
      <c r="I12" s="17">
        <f t="shared" si="2"/>
        <v>0</v>
      </c>
      <c r="J12" s="47"/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16"/>
      <c r="U12" s="17">
        <f t="shared" si="6"/>
        <v>0</v>
      </c>
      <c r="V12" s="17"/>
      <c r="W12" s="16"/>
      <c r="X12" s="17">
        <f t="shared" si="7"/>
        <v>0</v>
      </c>
      <c r="Y12" s="17"/>
      <c r="Z12" s="63"/>
      <c r="AA12" s="17">
        <f t="shared" si="8"/>
        <v>0</v>
      </c>
      <c r="AB12" s="17"/>
      <c r="AC12" s="21">
        <f>SUM(F12+I12+L12+O12+R12)</f>
        <v>0</v>
      </c>
      <c r="AD12" s="22"/>
      <c r="AE12" s="89"/>
    </row>
    <row r="13">
      <c r="A13" s="26" t="s">
        <v>71</v>
      </c>
      <c r="B13" s="26" t="s">
        <v>96</v>
      </c>
      <c r="C13" s="62">
        <v>45367.0</v>
      </c>
      <c r="D13" s="62">
        <v>45371.0</v>
      </c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>
        <v>3.0</v>
      </c>
      <c r="L13" s="17">
        <f t="shared" si="3"/>
        <v>565.71</v>
      </c>
      <c r="M13" s="47">
        <v>565.71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16"/>
      <c r="U13" s="17">
        <f t="shared" si="6"/>
        <v>0</v>
      </c>
      <c r="V13" s="17"/>
      <c r="W13" s="16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>
        <v>45375.0</v>
      </c>
      <c r="AE13" s="23"/>
    </row>
    <row r="14">
      <c r="A14" s="26" t="s">
        <v>156</v>
      </c>
      <c r="B14" s="26" t="s">
        <v>157</v>
      </c>
      <c r="C14" s="62">
        <v>45352.0</v>
      </c>
      <c r="D14" s="62">
        <v>45372.0</v>
      </c>
      <c r="E14" s="16"/>
      <c r="F14" s="17">
        <f t="shared" si="1"/>
        <v>0</v>
      </c>
      <c r="G14" s="47"/>
      <c r="H14" s="57">
        <v>21.0</v>
      </c>
      <c r="I14" s="17">
        <f t="shared" si="2"/>
        <v>6652.17</v>
      </c>
      <c r="J14" s="47">
        <v>6652.17</v>
      </c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17"/>
      <c r="Z14" s="20"/>
      <c r="AA14" s="17">
        <f t="shared" si="8"/>
        <v>0</v>
      </c>
      <c r="AB14" s="17"/>
      <c r="AC14" s="48">
        <v>0.0</v>
      </c>
      <c r="AD14" s="50">
        <v>45375.0</v>
      </c>
      <c r="AE14" s="23"/>
    </row>
    <row r="15">
      <c r="A15" s="90" t="s">
        <v>65</v>
      </c>
      <c r="B15" s="90" t="s">
        <v>21</v>
      </c>
      <c r="C15" s="77">
        <v>45369.0</v>
      </c>
      <c r="D15" s="77">
        <v>45736.0</v>
      </c>
      <c r="E15" s="65"/>
      <c r="F15" s="66">
        <f t="shared" si="1"/>
        <v>0</v>
      </c>
      <c r="G15" s="66"/>
      <c r="H15" s="65"/>
      <c r="I15" s="66">
        <f t="shared" si="2"/>
        <v>0</v>
      </c>
      <c r="J15" s="68"/>
      <c r="K15" s="67">
        <v>4.0</v>
      </c>
      <c r="L15" s="66">
        <f t="shared" si="3"/>
        <v>754.28</v>
      </c>
      <c r="M15" s="47">
        <v>754.28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57">
        <v>4.0</v>
      </c>
      <c r="U15" s="17">
        <f t="shared" si="6"/>
        <v>20.28</v>
      </c>
      <c r="V15" s="47">
        <v>20.28</v>
      </c>
      <c r="W15" s="16"/>
      <c r="X15" s="17">
        <f t="shared" si="7"/>
        <v>0</v>
      </c>
      <c r="Y15" s="17"/>
      <c r="Z15" s="63">
        <v>18.0</v>
      </c>
      <c r="AA15" s="17">
        <f t="shared" si="8"/>
        <v>600.66</v>
      </c>
      <c r="AB15" s="17"/>
      <c r="AC15" s="21">
        <f>SUM(F15+I15+L15+O15+R15)</f>
        <v>754.28</v>
      </c>
      <c r="AD15" s="50">
        <v>45389.0</v>
      </c>
      <c r="AE15" s="23"/>
    </row>
    <row r="16">
      <c r="A16" s="26" t="s">
        <v>99</v>
      </c>
      <c r="B16" s="26" t="s">
        <v>100</v>
      </c>
      <c r="C16" s="62">
        <v>45370.0</v>
      </c>
      <c r="D16" s="62">
        <v>45371.0</v>
      </c>
      <c r="E16" s="16"/>
      <c r="F16" s="17">
        <f t="shared" si="1"/>
        <v>0</v>
      </c>
      <c r="G16" s="17"/>
      <c r="H16" s="16"/>
      <c r="I16" s="17">
        <f t="shared" si="2"/>
        <v>0</v>
      </c>
      <c r="J16" s="17"/>
      <c r="K16" s="57">
        <v>2.0</v>
      </c>
      <c r="L16" s="17">
        <f t="shared" si="3"/>
        <v>377.14</v>
      </c>
      <c r="M16" s="47">
        <v>377.14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>
        <v>8.0</v>
      </c>
      <c r="U16" s="17">
        <f t="shared" si="6"/>
        <v>40.56</v>
      </c>
      <c r="V16" s="17"/>
      <c r="W16" s="16"/>
      <c r="X16" s="17">
        <f t="shared" si="7"/>
        <v>0</v>
      </c>
      <c r="Y16" s="17"/>
      <c r="Z16" s="63">
        <v>12.0</v>
      </c>
      <c r="AA16" s="17">
        <f t="shared" si="8"/>
        <v>400.44</v>
      </c>
      <c r="AB16" s="17"/>
      <c r="AC16" s="48">
        <v>0.0</v>
      </c>
      <c r="AD16" s="50">
        <v>45375.0</v>
      </c>
      <c r="AE16" s="23"/>
    </row>
    <row r="17">
      <c r="A17" s="26" t="s">
        <v>158</v>
      </c>
      <c r="B17" s="26" t="s">
        <v>159</v>
      </c>
      <c r="C17" s="62"/>
      <c r="D17" s="62"/>
      <c r="E17" s="16"/>
      <c r="F17" s="17">
        <f t="shared" si="1"/>
        <v>0</v>
      </c>
      <c r="G17" s="17"/>
      <c r="H17" s="16"/>
      <c r="I17" s="17">
        <f t="shared" si="2"/>
        <v>0</v>
      </c>
      <c r="J17" s="17"/>
      <c r="K17" s="57"/>
      <c r="L17" s="17">
        <f t="shared" si="3"/>
        <v>0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16"/>
      <c r="U17" s="17">
        <f t="shared" si="6"/>
        <v>0</v>
      </c>
      <c r="V17" s="17"/>
      <c r="W17" s="16"/>
      <c r="X17" s="17">
        <f t="shared" si="7"/>
        <v>0</v>
      </c>
      <c r="Y17" s="17"/>
      <c r="Z17" s="20"/>
      <c r="AA17" s="17">
        <f t="shared" si="8"/>
        <v>0</v>
      </c>
      <c r="AB17" s="17"/>
      <c r="AC17" s="21">
        <f>SUM(F17+I17+L17+O17+R17)</f>
        <v>0</v>
      </c>
      <c r="AD17" s="22"/>
      <c r="AE17" s="23"/>
    </row>
    <row r="18">
      <c r="A18" s="26" t="s">
        <v>47</v>
      </c>
      <c r="B18" s="26" t="s">
        <v>48</v>
      </c>
      <c r="C18" s="62">
        <v>45367.0</v>
      </c>
      <c r="D18" s="62">
        <v>45371.0</v>
      </c>
      <c r="E18" s="16"/>
      <c r="F18" s="17">
        <f t="shared" si="1"/>
        <v>0</v>
      </c>
      <c r="G18" s="17"/>
      <c r="H18" s="16"/>
      <c r="I18" s="17">
        <f t="shared" si="2"/>
        <v>0</v>
      </c>
      <c r="J18" s="17"/>
      <c r="K18" s="57">
        <v>4.0</v>
      </c>
      <c r="L18" s="17">
        <f t="shared" si="3"/>
        <v>754.28</v>
      </c>
      <c r="M18" s="47">
        <v>754.28</v>
      </c>
      <c r="N18" s="16"/>
      <c r="O18" s="17">
        <f t="shared" ref="O18:O21" si="10">PRODUCT(N18)*188.57</f>
        <v>0</v>
      </c>
      <c r="P18" s="17"/>
      <c r="Q18" s="16"/>
      <c r="R18" s="17">
        <f t="shared" si="5"/>
        <v>0</v>
      </c>
      <c r="S18" s="17"/>
      <c r="T18" s="57">
        <v>12.0</v>
      </c>
      <c r="U18" s="17">
        <f t="shared" si="6"/>
        <v>60.84</v>
      </c>
      <c r="V18" s="17"/>
      <c r="W18" s="16"/>
      <c r="X18" s="17">
        <f t="shared" si="7"/>
        <v>0</v>
      </c>
      <c r="Y18" s="17"/>
      <c r="Z18" s="20"/>
      <c r="AA18" s="17">
        <f t="shared" si="8"/>
        <v>0</v>
      </c>
      <c r="AB18" s="17"/>
      <c r="AC18" s="48">
        <v>0.0</v>
      </c>
      <c r="AD18" s="50">
        <v>45375.0</v>
      </c>
      <c r="AE18" s="23"/>
    </row>
    <row r="19">
      <c r="A19" s="26" t="s">
        <v>105</v>
      </c>
      <c r="B19" s="26" t="s">
        <v>106</v>
      </c>
      <c r="C19" s="71"/>
      <c r="D19" s="62"/>
      <c r="E19" s="57"/>
      <c r="F19" s="17">
        <f t="shared" si="1"/>
        <v>0</v>
      </c>
      <c r="G19" s="17"/>
      <c r="H19" s="16"/>
      <c r="I19" s="17">
        <f t="shared" si="2"/>
        <v>0</v>
      </c>
      <c r="J19" s="17"/>
      <c r="K19" s="57"/>
      <c r="L19" s="17">
        <f t="shared" si="3"/>
        <v>0</v>
      </c>
      <c r="M19" s="47"/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/>
      <c r="AE19" s="23"/>
    </row>
    <row r="20">
      <c r="A20" s="26" t="s">
        <v>65</v>
      </c>
      <c r="B20" s="26" t="s">
        <v>160</v>
      </c>
      <c r="C20" s="62">
        <v>45369.0</v>
      </c>
      <c r="D20" s="62">
        <v>45371.0</v>
      </c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57">
        <v>3.0</v>
      </c>
      <c r="L20" s="17">
        <f t="shared" si="3"/>
        <v>565.71</v>
      </c>
      <c r="M20" s="47">
        <v>565.71</v>
      </c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>
        <v>45375.0</v>
      </c>
      <c r="AE20" s="23"/>
    </row>
    <row r="21">
      <c r="A21" s="58" t="s">
        <v>73</v>
      </c>
      <c r="B21" s="58" t="s">
        <v>74</v>
      </c>
      <c r="C21" s="62"/>
      <c r="D21" s="62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10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16"/>
      <c r="X21" s="17">
        <f t="shared" si="7"/>
        <v>0</v>
      </c>
      <c r="Y21" s="17"/>
      <c r="Z21" s="63"/>
      <c r="AA21" s="17">
        <f t="shared" si="8"/>
        <v>0</v>
      </c>
      <c r="AB21" s="17"/>
      <c r="AC21" s="21">
        <f>SUM(F21+I21+L21+O21+R21)</f>
        <v>0</v>
      </c>
      <c r="AD21" s="22"/>
      <c r="AE21" s="23"/>
    </row>
    <row r="22">
      <c r="A22" s="26" t="s">
        <v>41</v>
      </c>
      <c r="B22" s="26" t="s">
        <v>42</v>
      </c>
      <c r="C22" s="62">
        <v>45369.0</v>
      </c>
      <c r="D22" s="62">
        <v>45371.0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3.0</v>
      </c>
      <c r="L22" s="17">
        <f t="shared" si="3"/>
        <v>565.71</v>
      </c>
      <c r="M22" s="47">
        <v>55.71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16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>
        <v>45375.0</v>
      </c>
      <c r="AE22" s="23"/>
    </row>
    <row r="23">
      <c r="A23" s="26" t="s">
        <v>43</v>
      </c>
      <c r="B23" s="26" t="s">
        <v>44</v>
      </c>
      <c r="C23" s="71">
        <v>45369.0</v>
      </c>
      <c r="D23" s="71">
        <v>45371.0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/>
      <c r="L23" s="17">
        <f t="shared" si="3"/>
        <v>0</v>
      </c>
      <c r="M23" s="17"/>
      <c r="N23" s="57">
        <v>3.0</v>
      </c>
      <c r="O23" s="17">
        <f t="shared" ref="O23:O45" si="11">PRODUCT(N23)*58.85</f>
        <v>176.55</v>
      </c>
      <c r="P23" s="47">
        <v>176.55</v>
      </c>
      <c r="Q23" s="16"/>
      <c r="R23" s="17">
        <f t="shared" si="5"/>
        <v>0</v>
      </c>
      <c r="S23" s="17"/>
      <c r="T23" s="57"/>
      <c r="U23" s="17">
        <f t="shared" si="6"/>
        <v>0</v>
      </c>
      <c r="V23" s="17"/>
      <c r="W23" s="16"/>
      <c r="X23" s="17">
        <f t="shared" si="7"/>
        <v>0</v>
      </c>
      <c r="Y23" s="17"/>
      <c r="Z23" s="20"/>
      <c r="AA23" s="17">
        <f t="shared" si="8"/>
        <v>0</v>
      </c>
      <c r="AB23" s="17"/>
      <c r="AC23" s="48">
        <v>0.0</v>
      </c>
      <c r="AD23" s="49">
        <v>45375.0</v>
      </c>
      <c r="AE23" s="23"/>
    </row>
    <row r="24">
      <c r="A24" s="26" t="s">
        <v>85</v>
      </c>
      <c r="B24" s="26" t="s">
        <v>86</v>
      </c>
      <c r="C24" s="71">
        <v>45336.0</v>
      </c>
      <c r="D24" s="62">
        <v>45353.0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16"/>
      <c r="L24" s="17">
        <f t="shared" si="3"/>
        <v>0</v>
      </c>
      <c r="M24" s="47"/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>
        <v>8.0</v>
      </c>
      <c r="U24" s="17">
        <f t="shared" si="6"/>
        <v>40.56</v>
      </c>
      <c r="V24" s="17"/>
      <c r="W24" s="16"/>
      <c r="X24" s="17">
        <f t="shared" si="7"/>
        <v>0</v>
      </c>
      <c r="Y24" s="17"/>
      <c r="Z24" s="63">
        <v>18.0</v>
      </c>
      <c r="AA24" s="17">
        <f t="shared" si="8"/>
        <v>600.66</v>
      </c>
      <c r="AB24" s="17"/>
      <c r="AC24" s="21">
        <f t="shared" ref="AC24:AC25" si="12">SUM(F24+I24+L24+O24+R24)</f>
        <v>0</v>
      </c>
      <c r="AD24" s="50"/>
      <c r="AE24" s="23"/>
    </row>
    <row r="25">
      <c r="A25" s="52" t="s">
        <v>49</v>
      </c>
      <c r="B25" s="53" t="s">
        <v>50</v>
      </c>
      <c r="C25" s="62">
        <v>45369.0</v>
      </c>
      <c r="D25" s="62">
        <v>45371.0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57">
        <v>3.0</v>
      </c>
      <c r="L25" s="17">
        <f t="shared" si="3"/>
        <v>565.71</v>
      </c>
      <c r="M25" s="47">
        <v>565.71</v>
      </c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>
        <v>12.0</v>
      </c>
      <c r="U25" s="17">
        <f t="shared" si="6"/>
        <v>60.84</v>
      </c>
      <c r="V25" s="17"/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21">
        <f t="shared" si="12"/>
        <v>565.71</v>
      </c>
      <c r="AD25" s="50">
        <v>45375.0</v>
      </c>
      <c r="AE25" s="23"/>
    </row>
    <row r="26">
      <c r="A26" s="26" t="s">
        <v>161</v>
      </c>
      <c r="B26" s="26" t="s">
        <v>26</v>
      </c>
      <c r="C26" s="62">
        <v>45351.0</v>
      </c>
      <c r="D26" s="62">
        <v>45353.0</v>
      </c>
      <c r="E26" s="16"/>
      <c r="F26" s="17">
        <f t="shared" si="1"/>
        <v>0</v>
      </c>
      <c r="G26" s="47"/>
      <c r="H26" s="57">
        <v>3.0</v>
      </c>
      <c r="I26" s="17">
        <f t="shared" si="2"/>
        <v>950.31</v>
      </c>
      <c r="J26" s="47">
        <v>950.31</v>
      </c>
      <c r="K26" s="16"/>
      <c r="L26" s="17">
        <f t="shared" si="3"/>
        <v>0</v>
      </c>
      <c r="M26" s="17"/>
      <c r="N26" s="16"/>
      <c r="O26" s="17">
        <f t="shared" si="11"/>
        <v>0</v>
      </c>
      <c r="P26" s="17"/>
      <c r="Q26" s="16"/>
      <c r="R26" s="17">
        <f t="shared" si="5"/>
        <v>0</v>
      </c>
      <c r="S26" s="17"/>
      <c r="T26" s="16"/>
      <c r="U26" s="17">
        <f t="shared" si="6"/>
        <v>0</v>
      </c>
      <c r="V26" s="17"/>
      <c r="W26" s="16"/>
      <c r="X26" s="17">
        <f t="shared" si="7"/>
        <v>0</v>
      </c>
      <c r="Y26" s="17"/>
      <c r="Z26" s="20"/>
      <c r="AA26" s="17">
        <f t="shared" si="8"/>
        <v>0</v>
      </c>
      <c r="AB26" s="17"/>
      <c r="AC26" s="48">
        <v>0.0</v>
      </c>
      <c r="AD26" s="50">
        <v>45375.0</v>
      </c>
      <c r="AE26" s="23"/>
    </row>
    <row r="27" ht="15.75" customHeight="1">
      <c r="A27" s="26" t="s">
        <v>53</v>
      </c>
      <c r="B27" s="26" t="s">
        <v>54</v>
      </c>
      <c r="C27" s="62"/>
      <c r="D27" s="62"/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16"/>
      <c r="L27" s="17">
        <f t="shared" si="3"/>
        <v>0</v>
      </c>
      <c r="M27" s="17"/>
      <c r="N27" s="16"/>
      <c r="O27" s="17">
        <f t="shared" si="11"/>
        <v>0</v>
      </c>
      <c r="P27" s="17"/>
      <c r="Q27" s="16"/>
      <c r="R27" s="17">
        <f t="shared" si="5"/>
        <v>0</v>
      </c>
      <c r="S27" s="17"/>
      <c r="T27" s="16"/>
      <c r="U27" s="17">
        <f t="shared" si="6"/>
        <v>0</v>
      </c>
      <c r="V27" s="17"/>
      <c r="W27" s="16"/>
      <c r="X27" s="17">
        <f t="shared" si="7"/>
        <v>0</v>
      </c>
      <c r="Y27" s="17"/>
      <c r="Z27" s="20"/>
      <c r="AA27" s="17">
        <f t="shared" si="8"/>
        <v>0</v>
      </c>
      <c r="AB27" s="17"/>
      <c r="AC27" s="21">
        <f>SUM(F27+I27+L27+O27+R27)</f>
        <v>0</v>
      </c>
      <c r="AD27" s="26"/>
      <c r="AE27" s="23"/>
    </row>
    <row r="28" ht="15.75" customHeight="1">
      <c r="A28" s="51" t="s">
        <v>115</v>
      </c>
      <c r="B28" s="51" t="s">
        <v>116</v>
      </c>
      <c r="C28" s="77">
        <v>45369.0</v>
      </c>
      <c r="D28" s="77">
        <v>45371.0</v>
      </c>
      <c r="E28" s="65"/>
      <c r="F28" s="66">
        <f t="shared" si="1"/>
        <v>0</v>
      </c>
      <c r="G28" s="66"/>
      <c r="H28" s="65"/>
      <c r="I28" s="66">
        <f t="shared" si="2"/>
        <v>0</v>
      </c>
      <c r="J28" s="68"/>
      <c r="K28" s="67">
        <v>3.0</v>
      </c>
      <c r="L28" s="66">
        <f t="shared" si="3"/>
        <v>565.71</v>
      </c>
      <c r="M28" s="47"/>
      <c r="N28" s="16"/>
      <c r="O28" s="17">
        <f t="shared" si="11"/>
        <v>0</v>
      </c>
      <c r="P28" s="17"/>
      <c r="Q28" s="16"/>
      <c r="R28" s="17">
        <f t="shared" si="5"/>
        <v>0</v>
      </c>
      <c r="S28" s="17"/>
      <c r="T28" s="57">
        <v>8.0</v>
      </c>
      <c r="U28" s="17">
        <f t="shared" si="6"/>
        <v>40.56</v>
      </c>
      <c r="V28" s="17"/>
      <c r="W28" s="16"/>
      <c r="X28" s="17">
        <f t="shared" si="7"/>
        <v>0</v>
      </c>
      <c r="Y28" s="17"/>
      <c r="Z28" s="63">
        <v>18.0</v>
      </c>
      <c r="AA28" s="17">
        <f t="shared" si="8"/>
        <v>600.66</v>
      </c>
      <c r="AB28" s="17"/>
      <c r="AC28" s="48">
        <v>0.0</v>
      </c>
      <c r="AD28" s="50"/>
      <c r="AE28" s="23"/>
    </row>
    <row r="29" ht="15.75" customHeight="1">
      <c r="A29" s="26" t="s">
        <v>148</v>
      </c>
      <c r="B29" s="26" t="s">
        <v>149</v>
      </c>
      <c r="C29" s="62">
        <v>45355.0</v>
      </c>
      <c r="D29" s="62">
        <v>45372.0</v>
      </c>
      <c r="E29" s="16"/>
      <c r="F29" s="17">
        <f t="shared" si="1"/>
        <v>0</v>
      </c>
      <c r="G29" s="17"/>
      <c r="H29" s="57">
        <v>18.0</v>
      </c>
      <c r="I29" s="17">
        <f t="shared" si="2"/>
        <v>5701.86</v>
      </c>
      <c r="J29" s="47">
        <v>5385.09</v>
      </c>
      <c r="K29" s="16"/>
      <c r="L29" s="17">
        <f t="shared" si="3"/>
        <v>0</v>
      </c>
      <c r="M29" s="17"/>
      <c r="N29" s="16"/>
      <c r="O29" s="17">
        <f t="shared" si="11"/>
        <v>0</v>
      </c>
      <c r="P29" s="17"/>
      <c r="Q29" s="16"/>
      <c r="R29" s="17">
        <f t="shared" si="5"/>
        <v>0</v>
      </c>
      <c r="S29" s="17"/>
      <c r="T29" s="16"/>
      <c r="U29" s="17">
        <f t="shared" si="6"/>
        <v>0</v>
      </c>
      <c r="V29" s="17"/>
      <c r="W29" s="16"/>
      <c r="X29" s="17">
        <f t="shared" si="7"/>
        <v>0</v>
      </c>
      <c r="Y29" s="17"/>
      <c r="Z29" s="20"/>
      <c r="AA29" s="17">
        <f t="shared" si="8"/>
        <v>0</v>
      </c>
      <c r="AB29" s="17"/>
      <c r="AC29" s="48">
        <v>0.0</v>
      </c>
      <c r="AD29" s="49">
        <v>45375.0</v>
      </c>
      <c r="AE29" s="23"/>
    </row>
    <row r="30" ht="15.75" customHeight="1">
      <c r="A30" s="26" t="s">
        <v>127</v>
      </c>
      <c r="B30" s="26" t="s">
        <v>128</v>
      </c>
      <c r="C30" s="62">
        <v>45367.0</v>
      </c>
      <c r="D30" s="62">
        <v>45371.0</v>
      </c>
      <c r="E30" s="28"/>
      <c r="F30" s="80">
        <f t="shared" si="1"/>
        <v>0</v>
      </c>
      <c r="G30" s="80"/>
      <c r="H30" s="28"/>
      <c r="I30" s="17">
        <f t="shared" si="2"/>
        <v>0</v>
      </c>
      <c r="J30" s="17"/>
      <c r="K30" s="57">
        <v>4.0</v>
      </c>
      <c r="L30" s="17">
        <f t="shared" si="3"/>
        <v>754.28</v>
      </c>
      <c r="M30" s="47">
        <v>754.28</v>
      </c>
      <c r="N30" s="28"/>
      <c r="O30" s="17">
        <f t="shared" si="11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28"/>
      <c r="X30" s="17">
        <f t="shared" si="7"/>
        <v>0</v>
      </c>
      <c r="Y30" s="17"/>
      <c r="Z30" s="63">
        <v>18.0</v>
      </c>
      <c r="AA30" s="17">
        <f t="shared" si="8"/>
        <v>600.66</v>
      </c>
      <c r="AB30" s="17"/>
      <c r="AC30" s="48">
        <v>0.0</v>
      </c>
      <c r="AD30" s="49">
        <v>45375.0</v>
      </c>
      <c r="AE30" s="23"/>
    </row>
    <row r="31" ht="15.75" customHeight="1">
      <c r="A31" s="14" t="s">
        <v>69</v>
      </c>
      <c r="B31" s="14" t="s">
        <v>129</v>
      </c>
      <c r="C31" s="78">
        <v>45369.0</v>
      </c>
      <c r="D31" s="78">
        <v>45371.0</v>
      </c>
      <c r="E31" s="91"/>
      <c r="F31" s="80">
        <f t="shared" si="1"/>
        <v>0</v>
      </c>
      <c r="G31" s="80"/>
      <c r="H31" s="91"/>
      <c r="I31" s="92">
        <f t="shared" si="2"/>
        <v>0</v>
      </c>
      <c r="J31" s="92"/>
      <c r="K31" s="82">
        <v>3.0</v>
      </c>
      <c r="L31" s="80">
        <f t="shared" si="3"/>
        <v>565.71</v>
      </c>
      <c r="M31" s="47">
        <v>565.7</v>
      </c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28"/>
      <c r="U31" s="17">
        <f t="shared" si="6"/>
        <v>0</v>
      </c>
      <c r="V31" s="17"/>
      <c r="W31" s="28"/>
      <c r="X31" s="17">
        <f t="shared" si="7"/>
        <v>0</v>
      </c>
      <c r="Y31" s="17"/>
      <c r="Z31" s="20"/>
      <c r="AA31" s="17">
        <f t="shared" si="8"/>
        <v>0</v>
      </c>
      <c r="AB31" s="50"/>
      <c r="AC31" s="48">
        <v>0.0</v>
      </c>
      <c r="AD31" s="50">
        <v>45375.0</v>
      </c>
      <c r="AE31" s="23"/>
    </row>
    <row r="32" ht="15.75" customHeight="1">
      <c r="A32" s="58" t="s">
        <v>174</v>
      </c>
      <c r="B32" s="58" t="s">
        <v>175</v>
      </c>
      <c r="C32" s="71">
        <v>45369.0</v>
      </c>
      <c r="D32" s="62">
        <v>45371.0</v>
      </c>
      <c r="E32" s="60">
        <v>1.0</v>
      </c>
      <c r="F32" s="17">
        <f t="shared" si="1"/>
        <v>214.22</v>
      </c>
      <c r="G32" s="47">
        <v>214.22</v>
      </c>
      <c r="H32" s="28"/>
      <c r="I32" s="17">
        <f t="shared" si="2"/>
        <v>0</v>
      </c>
      <c r="J32" s="17"/>
      <c r="K32" s="57">
        <v>1.0</v>
      </c>
      <c r="L32" s="17">
        <f t="shared" si="3"/>
        <v>188.57</v>
      </c>
      <c r="M32" s="47">
        <v>188.57</v>
      </c>
      <c r="N32" s="28"/>
      <c r="O32" s="17">
        <f t="shared" si="11"/>
        <v>0</v>
      </c>
      <c r="P32" s="17"/>
      <c r="Q32" s="28"/>
      <c r="R32" s="17">
        <f t="shared" si="5"/>
        <v>0</v>
      </c>
      <c r="S32" s="17"/>
      <c r="T32" s="28"/>
      <c r="U32" s="17">
        <f t="shared" si="6"/>
        <v>0</v>
      </c>
      <c r="V32" s="17"/>
      <c r="W32" s="28"/>
      <c r="X32" s="17">
        <f t="shared" si="7"/>
        <v>0</v>
      </c>
      <c r="Y32" s="17"/>
      <c r="Z32" s="20"/>
      <c r="AA32" s="17">
        <f t="shared" si="8"/>
        <v>0</v>
      </c>
      <c r="AB32" s="17"/>
      <c r="AC32" s="48">
        <v>0.0</v>
      </c>
      <c r="AD32" s="49">
        <v>45375.0</v>
      </c>
      <c r="AE32" s="23"/>
    </row>
    <row r="33" ht="15.75" customHeight="1">
      <c r="A33" s="58" t="s">
        <v>161</v>
      </c>
      <c r="B33" s="58" t="s">
        <v>77</v>
      </c>
      <c r="C33" s="71">
        <v>45369.0</v>
      </c>
      <c r="D33" s="62">
        <v>45371.0</v>
      </c>
      <c r="E33" s="60">
        <v>1.0</v>
      </c>
      <c r="F33" s="17">
        <f t="shared" si="1"/>
        <v>214.22</v>
      </c>
      <c r="G33" s="47">
        <v>214.22</v>
      </c>
      <c r="H33" s="28"/>
      <c r="I33" s="17">
        <f t="shared" si="2"/>
        <v>0</v>
      </c>
      <c r="J33" s="17"/>
      <c r="K33" s="57">
        <v>2.0</v>
      </c>
      <c r="L33" s="17">
        <f t="shared" si="3"/>
        <v>377.14</v>
      </c>
      <c r="M33" s="47">
        <v>377.14</v>
      </c>
      <c r="N33" s="28"/>
      <c r="O33" s="17">
        <f t="shared" si="11"/>
        <v>0</v>
      </c>
      <c r="P33" s="17"/>
      <c r="Q33" s="28"/>
      <c r="R33" s="17">
        <f t="shared" si="5"/>
        <v>0</v>
      </c>
      <c r="S33" s="17"/>
      <c r="T33" s="28"/>
      <c r="U33" s="17">
        <f t="shared" si="6"/>
        <v>0</v>
      </c>
      <c r="V33" s="17"/>
      <c r="W33" s="28"/>
      <c r="X33" s="17">
        <f t="shared" si="7"/>
        <v>0</v>
      </c>
      <c r="Y33" s="17"/>
      <c r="Z33" s="63"/>
      <c r="AA33" s="17">
        <f t="shared" si="8"/>
        <v>0</v>
      </c>
      <c r="AB33" s="17"/>
      <c r="AC33" s="48">
        <v>0.0</v>
      </c>
      <c r="AD33" s="49">
        <v>45375.0</v>
      </c>
      <c r="AE33" s="23"/>
    </row>
    <row r="34" ht="15.75" customHeight="1">
      <c r="A34" s="61" t="s">
        <v>161</v>
      </c>
      <c r="B34" s="61" t="s">
        <v>176</v>
      </c>
      <c r="C34" s="83">
        <v>45365.0</v>
      </c>
      <c r="D34" s="78">
        <v>45372.0</v>
      </c>
      <c r="E34" s="93">
        <v>1.0</v>
      </c>
      <c r="F34" s="80">
        <f t="shared" si="1"/>
        <v>214.22</v>
      </c>
      <c r="G34" s="85">
        <v>214.22</v>
      </c>
      <c r="H34" s="84"/>
      <c r="I34" s="80">
        <f t="shared" si="2"/>
        <v>0</v>
      </c>
      <c r="J34" s="80"/>
      <c r="K34" s="82">
        <v>6.0</v>
      </c>
      <c r="L34" s="80">
        <f t="shared" si="3"/>
        <v>1131.42</v>
      </c>
      <c r="M34" s="47">
        <v>1131.42</v>
      </c>
      <c r="N34" s="28"/>
      <c r="O34" s="17">
        <f t="shared" si="11"/>
        <v>0</v>
      </c>
      <c r="P34" s="17"/>
      <c r="Q34" s="28"/>
      <c r="R34" s="17">
        <f t="shared" si="5"/>
        <v>0</v>
      </c>
      <c r="S34" s="17"/>
      <c r="T34" s="28"/>
      <c r="U34" s="17">
        <f t="shared" si="6"/>
        <v>0</v>
      </c>
      <c r="V34" s="17"/>
      <c r="W34" s="28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45389.0</v>
      </c>
      <c r="AE34" s="23"/>
    </row>
    <row r="35" ht="15.75" customHeight="1">
      <c r="A35" s="26" t="s">
        <v>163</v>
      </c>
      <c r="B35" s="26" t="s">
        <v>164</v>
      </c>
      <c r="C35" s="62">
        <v>45369.0</v>
      </c>
      <c r="D35" s="62">
        <v>45369.0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>
        <v>1.0</v>
      </c>
      <c r="L35" s="17">
        <f t="shared" si="3"/>
        <v>188.57</v>
      </c>
      <c r="M35" s="47">
        <v>188.57</v>
      </c>
      <c r="N35" s="28"/>
      <c r="O35" s="17">
        <f t="shared" si="11"/>
        <v>0</v>
      </c>
      <c r="P35" s="17"/>
      <c r="Q35" s="28"/>
      <c r="R35" s="17">
        <f t="shared" si="5"/>
        <v>0</v>
      </c>
      <c r="S35" s="17"/>
      <c r="T35" s="28"/>
      <c r="U35" s="17">
        <f t="shared" si="6"/>
        <v>0</v>
      </c>
      <c r="V35" s="17"/>
      <c r="W35" s="28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>
        <v>45389.0</v>
      </c>
      <c r="AE35" s="23"/>
    </row>
    <row r="36" ht="15.75" customHeight="1">
      <c r="A36" s="26" t="s">
        <v>115</v>
      </c>
      <c r="B36" s="26" t="s">
        <v>150</v>
      </c>
      <c r="C36" s="71">
        <v>45369.0</v>
      </c>
      <c r="D36" s="62">
        <v>45371.0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3.0</v>
      </c>
      <c r="L36" s="17">
        <f t="shared" si="3"/>
        <v>565.71</v>
      </c>
      <c r="M36" s="47">
        <v>565.71</v>
      </c>
      <c r="N36" s="60"/>
      <c r="O36" s="17">
        <f t="shared" si="11"/>
        <v>0</v>
      </c>
      <c r="P36" s="17"/>
      <c r="Q36" s="28"/>
      <c r="R36" s="17">
        <f t="shared" si="5"/>
        <v>0</v>
      </c>
      <c r="S36" s="17"/>
      <c r="T36" s="60">
        <v>4.0</v>
      </c>
      <c r="U36" s="17">
        <f t="shared" si="6"/>
        <v>20.28</v>
      </c>
      <c r="V36" s="47">
        <v>20.28</v>
      </c>
      <c r="W36" s="28"/>
      <c r="X36" s="17">
        <f t="shared" si="7"/>
        <v>0</v>
      </c>
      <c r="Y36" s="17"/>
      <c r="Z36" s="63">
        <v>12.0</v>
      </c>
      <c r="AA36" s="17">
        <f t="shared" si="8"/>
        <v>400.44</v>
      </c>
      <c r="AB36" s="17"/>
      <c r="AC36" s="48">
        <v>0.0</v>
      </c>
      <c r="AD36" s="49">
        <v>45375.0</v>
      </c>
      <c r="AE36" s="23"/>
    </row>
    <row r="37" ht="15.75" customHeight="1">
      <c r="A37" s="26" t="s">
        <v>121</v>
      </c>
      <c r="B37" s="26" t="s">
        <v>134</v>
      </c>
      <c r="C37" s="62">
        <v>45369.0</v>
      </c>
      <c r="D37" s="62">
        <v>45371.0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3.0</v>
      </c>
      <c r="L37" s="17">
        <f t="shared" si="3"/>
        <v>565.71</v>
      </c>
      <c r="M37" s="47">
        <v>565.71</v>
      </c>
      <c r="N37" s="28"/>
      <c r="O37" s="17">
        <f t="shared" si="11"/>
        <v>0</v>
      </c>
      <c r="P37" s="17"/>
      <c r="Q37" s="28"/>
      <c r="R37" s="17">
        <f t="shared" si="5"/>
        <v>0</v>
      </c>
      <c r="S37" s="17"/>
      <c r="T37" s="28"/>
      <c r="U37" s="17">
        <f t="shared" si="6"/>
        <v>0</v>
      </c>
      <c r="V37" s="17"/>
      <c r="W37" s="28"/>
      <c r="X37" s="17">
        <f t="shared" si="7"/>
        <v>0</v>
      </c>
      <c r="Y37" s="17"/>
      <c r="Z37" s="63">
        <v>18.0</v>
      </c>
      <c r="AA37" s="17">
        <f t="shared" si="8"/>
        <v>600.66</v>
      </c>
      <c r="AB37" s="17"/>
      <c r="AC37" s="48">
        <v>0.0</v>
      </c>
      <c r="AD37" s="50">
        <v>45375.0</v>
      </c>
      <c r="AE37" s="23"/>
    </row>
    <row r="38" ht="15.75" customHeight="1">
      <c r="A38" s="58" t="s">
        <v>136</v>
      </c>
      <c r="B38" s="58" t="s">
        <v>162</v>
      </c>
      <c r="C38" s="62">
        <v>45369.0</v>
      </c>
      <c r="D38" s="62">
        <v>45371.0</v>
      </c>
      <c r="E38" s="60">
        <v>1.0</v>
      </c>
      <c r="F38" s="17">
        <f t="shared" si="1"/>
        <v>214.22</v>
      </c>
      <c r="G38" s="47">
        <v>214.22</v>
      </c>
      <c r="H38" s="28"/>
      <c r="I38" s="17">
        <f t="shared" si="2"/>
        <v>0</v>
      </c>
      <c r="J38" s="17"/>
      <c r="K38" s="57">
        <v>2.0</v>
      </c>
      <c r="L38" s="17">
        <f t="shared" si="3"/>
        <v>377.14</v>
      </c>
      <c r="M38" s="47">
        <v>377.14</v>
      </c>
      <c r="N38" s="28"/>
      <c r="O38" s="17">
        <f t="shared" si="11"/>
        <v>0</v>
      </c>
      <c r="P38" s="17"/>
      <c r="Q38" s="28"/>
      <c r="R38" s="17">
        <f t="shared" si="5"/>
        <v>0</v>
      </c>
      <c r="S38" s="17"/>
      <c r="T38" s="28"/>
      <c r="U38" s="17">
        <f t="shared" si="6"/>
        <v>0</v>
      </c>
      <c r="V38" s="17"/>
      <c r="W38" s="28"/>
      <c r="X38" s="17">
        <f t="shared" si="7"/>
        <v>0</v>
      </c>
      <c r="Y38" s="17"/>
      <c r="Z38" s="20"/>
      <c r="AA38" s="17">
        <f t="shared" si="8"/>
        <v>0</v>
      </c>
      <c r="AB38" s="17"/>
      <c r="AC38" s="48">
        <v>0.0</v>
      </c>
      <c r="AD38" s="50">
        <v>45375.0</v>
      </c>
      <c r="AE38" s="23"/>
    </row>
    <row r="39" ht="15.75" customHeight="1">
      <c r="A39" s="26" t="s">
        <v>79</v>
      </c>
      <c r="B39" s="26" t="s">
        <v>80</v>
      </c>
      <c r="C39" s="62">
        <v>45370.0</v>
      </c>
      <c r="D39" s="62">
        <v>45371.0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2.0</v>
      </c>
      <c r="L39" s="17">
        <f t="shared" si="3"/>
        <v>377.14</v>
      </c>
      <c r="M39" s="47">
        <v>377.14</v>
      </c>
      <c r="N39" s="28"/>
      <c r="O39" s="17">
        <f t="shared" si="11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28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45375.0</v>
      </c>
      <c r="AE39" s="23"/>
    </row>
    <row r="40" ht="15.75" customHeight="1">
      <c r="A40" s="26" t="s">
        <v>135</v>
      </c>
      <c r="B40" s="26" t="s">
        <v>62</v>
      </c>
      <c r="C40" s="71">
        <v>45367.0</v>
      </c>
      <c r="D40" s="71">
        <v>45369.0</v>
      </c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3"/>
        <v>0</v>
      </c>
      <c r="M40" s="17"/>
      <c r="N40" s="60">
        <v>2.0</v>
      </c>
      <c r="O40" s="17">
        <f t="shared" si="11"/>
        <v>117.7</v>
      </c>
      <c r="P40" s="47">
        <v>117.7</v>
      </c>
      <c r="Q40" s="28"/>
      <c r="R40" s="17">
        <f t="shared" si="5"/>
        <v>0</v>
      </c>
      <c r="S40" s="17"/>
      <c r="T40" s="60"/>
      <c r="U40" s="17">
        <f t="shared" si="6"/>
        <v>0</v>
      </c>
      <c r="V40" s="47"/>
      <c r="W40" s="28"/>
      <c r="X40" s="17">
        <f t="shared" si="7"/>
        <v>0</v>
      </c>
      <c r="Y40" s="17"/>
      <c r="Z40" s="20"/>
      <c r="AA40" s="17">
        <f t="shared" si="8"/>
        <v>0</v>
      </c>
      <c r="AB40" s="50"/>
      <c r="AC40" s="48">
        <v>0.0</v>
      </c>
      <c r="AD40" s="50">
        <v>45375.0</v>
      </c>
      <c r="AE40" s="23"/>
      <c r="AF40" s="31"/>
    </row>
    <row r="41" ht="15.75" customHeight="1">
      <c r="A41" s="58" t="s">
        <v>177</v>
      </c>
      <c r="B41" s="58" t="s">
        <v>178</v>
      </c>
      <c r="C41" s="71">
        <v>45370.0</v>
      </c>
      <c r="D41" s="62">
        <v>45371.0</v>
      </c>
      <c r="E41" s="60">
        <v>1.0</v>
      </c>
      <c r="F41" s="17">
        <f t="shared" si="1"/>
        <v>214.22</v>
      </c>
      <c r="G41" s="47">
        <v>214.22</v>
      </c>
      <c r="H41" s="28"/>
      <c r="I41" s="17">
        <f t="shared" si="2"/>
        <v>0</v>
      </c>
      <c r="J41" s="17"/>
      <c r="K41" s="57">
        <v>1.0</v>
      </c>
      <c r="L41" s="17">
        <f t="shared" si="3"/>
        <v>188.57</v>
      </c>
      <c r="M41" s="47">
        <v>188.57</v>
      </c>
      <c r="N41" s="28"/>
      <c r="O41" s="17">
        <f t="shared" si="11"/>
        <v>0</v>
      </c>
      <c r="P41" s="17"/>
      <c r="Q41" s="28"/>
      <c r="R41" s="17">
        <f t="shared" si="5"/>
        <v>0</v>
      </c>
      <c r="S41" s="17"/>
      <c r="T41" s="28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45375.0</v>
      </c>
      <c r="AE41" s="23"/>
    </row>
    <row r="42" ht="15.75" customHeight="1">
      <c r="A42" s="26" t="s">
        <v>113</v>
      </c>
      <c r="B42" s="26" t="s">
        <v>114</v>
      </c>
      <c r="C42" s="62"/>
      <c r="D42" s="62"/>
      <c r="E42" s="28"/>
      <c r="F42" s="17">
        <f t="shared" si="1"/>
        <v>0</v>
      </c>
      <c r="G42" s="47"/>
      <c r="H42" s="28"/>
      <c r="I42" s="17">
        <f t="shared" si="2"/>
        <v>0</v>
      </c>
      <c r="J42" s="17"/>
      <c r="K42" s="57"/>
      <c r="L42" s="17">
        <f t="shared" si="3"/>
        <v>0</v>
      </c>
      <c r="M42" s="17"/>
      <c r="N42" s="28"/>
      <c r="O42" s="17">
        <f t="shared" si="11"/>
        <v>0</v>
      </c>
      <c r="P42" s="17"/>
      <c r="Q42" s="28"/>
      <c r="R42" s="17">
        <f t="shared" si="5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20"/>
      <c r="AA42" s="17">
        <f t="shared" si="8"/>
        <v>0</v>
      </c>
      <c r="AB42" s="17"/>
      <c r="AC42" s="21"/>
      <c r="AD42" s="49"/>
      <c r="AE42" s="23"/>
    </row>
    <row r="43" ht="15.75" customHeight="1">
      <c r="A43" s="58" t="s">
        <v>115</v>
      </c>
      <c r="B43" s="58" t="s">
        <v>172</v>
      </c>
      <c r="C43" s="71"/>
      <c r="D43" s="71"/>
      <c r="E43" s="60"/>
      <c r="F43" s="17">
        <f t="shared" si="1"/>
        <v>0</v>
      </c>
      <c r="G43" s="17"/>
      <c r="H43" s="28"/>
      <c r="I43" s="17">
        <f t="shared" si="2"/>
        <v>0</v>
      </c>
      <c r="J43" s="47"/>
      <c r="K43" s="16"/>
      <c r="L43" s="17">
        <f t="shared" si="3"/>
        <v>0</v>
      </c>
      <c r="M43" s="17"/>
      <c r="N43" s="28"/>
      <c r="O43" s="17">
        <f t="shared" si="11"/>
        <v>0</v>
      </c>
      <c r="P43" s="17"/>
      <c r="Q43" s="28"/>
      <c r="R43" s="17">
        <f t="shared" si="5"/>
        <v>0</v>
      </c>
      <c r="S43" s="17"/>
      <c r="T43" s="28"/>
      <c r="U43" s="17">
        <f t="shared" si="6"/>
        <v>0</v>
      </c>
      <c r="V43" s="17"/>
      <c r="W43" s="28"/>
      <c r="X43" s="17">
        <f t="shared" si="7"/>
        <v>0</v>
      </c>
      <c r="Y43" s="17"/>
      <c r="Z43" s="20"/>
      <c r="AA43" s="17">
        <f t="shared" si="8"/>
        <v>0</v>
      </c>
      <c r="AB43" s="17"/>
      <c r="AC43" s="48">
        <v>0.0</v>
      </c>
      <c r="AD43" s="49"/>
      <c r="AE43" s="23"/>
    </row>
    <row r="44" ht="15.75" customHeight="1">
      <c r="A44" s="51" t="s">
        <v>141</v>
      </c>
      <c r="B44" s="26" t="s">
        <v>142</v>
      </c>
      <c r="C44" s="62">
        <v>45367.0</v>
      </c>
      <c r="D44" s="62">
        <v>45371.0</v>
      </c>
      <c r="E44" s="28"/>
      <c r="F44" s="17">
        <f t="shared" si="1"/>
        <v>0</v>
      </c>
      <c r="G44" s="17"/>
      <c r="H44" s="28"/>
      <c r="I44" s="17">
        <f t="shared" si="2"/>
        <v>0</v>
      </c>
      <c r="J44" s="17"/>
      <c r="K44" s="57">
        <v>4.0</v>
      </c>
      <c r="L44" s="17">
        <f t="shared" si="3"/>
        <v>754.28</v>
      </c>
      <c r="M44" s="47">
        <v>754.28</v>
      </c>
      <c r="N44" s="28"/>
      <c r="O44" s="17">
        <f t="shared" si="11"/>
        <v>0</v>
      </c>
      <c r="P44" s="17"/>
      <c r="Q44" s="28"/>
      <c r="R44" s="17">
        <f t="shared" si="5"/>
        <v>0</v>
      </c>
      <c r="S44" s="17"/>
      <c r="T44" s="28"/>
      <c r="U44" s="17">
        <f t="shared" si="6"/>
        <v>0</v>
      </c>
      <c r="V44" s="17"/>
      <c r="W44" s="28"/>
      <c r="X44" s="17">
        <f t="shared" si="7"/>
        <v>0</v>
      </c>
      <c r="Y44" s="17"/>
      <c r="Z44" s="63">
        <v>18.0</v>
      </c>
      <c r="AA44" s="17">
        <f t="shared" si="8"/>
        <v>600.66</v>
      </c>
      <c r="AB44" s="17"/>
      <c r="AC44" s="48">
        <v>0.0</v>
      </c>
      <c r="AD44" s="49">
        <v>45375.0</v>
      </c>
      <c r="AE44" s="23"/>
    </row>
    <row r="45" ht="15.75" customHeight="1">
      <c r="A45" s="58" t="s">
        <v>179</v>
      </c>
      <c r="B45" s="58" t="s">
        <v>112</v>
      </c>
      <c r="C45" s="62">
        <v>45347.0</v>
      </c>
      <c r="D45" s="62">
        <v>45362.0</v>
      </c>
      <c r="E45" s="60"/>
      <c r="F45" s="17">
        <f t="shared" si="1"/>
        <v>0</v>
      </c>
      <c r="G45" s="17"/>
      <c r="H45" s="60"/>
      <c r="I45" s="17">
        <f t="shared" si="2"/>
        <v>0</v>
      </c>
      <c r="J45" s="17"/>
      <c r="K45" s="57"/>
      <c r="L45" s="17">
        <f t="shared" si="3"/>
        <v>0</v>
      </c>
      <c r="M45" s="17"/>
      <c r="N45" s="28"/>
      <c r="O45" s="17">
        <f t="shared" si="11"/>
        <v>0</v>
      </c>
      <c r="P45" s="17"/>
      <c r="Q45" s="28"/>
      <c r="R45" s="17">
        <f t="shared" si="5"/>
        <v>0</v>
      </c>
      <c r="S45" s="17"/>
      <c r="T45" s="28"/>
      <c r="U45" s="17">
        <f t="shared" si="6"/>
        <v>0</v>
      </c>
      <c r="V45" s="17"/>
      <c r="W45" s="28"/>
      <c r="X45" s="17">
        <f t="shared" si="7"/>
        <v>0</v>
      </c>
      <c r="Y45" s="17"/>
      <c r="Z45" s="63">
        <v>16.0</v>
      </c>
      <c r="AA45" s="17">
        <f t="shared" si="8"/>
        <v>533.92</v>
      </c>
      <c r="AB45" s="17"/>
      <c r="AC45" s="21">
        <f>SUM(F45+I45+L45+O45+R45)</f>
        <v>0</v>
      </c>
      <c r="AD45" s="26"/>
      <c r="AE45" s="23"/>
    </row>
    <row r="46" ht="15.75" customHeight="1">
      <c r="A46" s="40" t="s">
        <v>81</v>
      </c>
      <c r="B46" s="41"/>
      <c r="C46" s="41"/>
      <c r="D46" s="41"/>
      <c r="E46" s="42"/>
      <c r="F46" s="43">
        <f>SUM(F32:F45)</f>
        <v>1071.1</v>
      </c>
      <c r="G46" s="43">
        <f>SUM(G4:G41)</f>
        <v>1285.32</v>
      </c>
      <c r="H46" s="42"/>
      <c r="I46" s="43">
        <f>SUM(I4:I45)</f>
        <v>16472.04</v>
      </c>
      <c r="J46" s="43">
        <f>SUM(J4:J41)</f>
        <v>16155.27</v>
      </c>
      <c r="K46" s="42"/>
      <c r="L46" s="43">
        <f t="shared" ref="L46:M46" si="13">SUM(L4:L41)</f>
        <v>11314.2</v>
      </c>
      <c r="M46" s="43">
        <f t="shared" si="13"/>
        <v>10238.48</v>
      </c>
      <c r="N46" s="42"/>
      <c r="O46" s="43">
        <f t="shared" ref="O46:P46" si="14">SUM(O4:O41)</f>
        <v>294.25</v>
      </c>
      <c r="P46" s="43">
        <f t="shared" si="14"/>
        <v>294.25</v>
      </c>
      <c r="Q46" s="42"/>
      <c r="R46" s="43">
        <f t="shared" ref="R46:S46" si="15">SUM(R4:R41)</f>
        <v>0</v>
      </c>
      <c r="S46" s="43">
        <f t="shared" si="15"/>
        <v>0</v>
      </c>
      <c r="T46" s="42"/>
      <c r="U46" s="43">
        <f t="shared" ref="U46:V46" si="16">SUM(U4:U41)</f>
        <v>288.99</v>
      </c>
      <c r="V46" s="43">
        <f t="shared" si="16"/>
        <v>40.56</v>
      </c>
      <c r="W46" s="42"/>
      <c r="X46" s="43">
        <f t="shared" ref="X46:Y46" si="17">SUM(X4:X41)</f>
        <v>0</v>
      </c>
      <c r="Y46" s="43">
        <f t="shared" si="17"/>
        <v>0</v>
      </c>
      <c r="Z46" s="42"/>
      <c r="AA46" s="43">
        <f t="shared" ref="AA46:AC46" si="18">SUM(AA4:AA41)</f>
        <v>4605.06</v>
      </c>
      <c r="AB46" s="43">
        <f t="shared" si="18"/>
        <v>0</v>
      </c>
      <c r="AC46" s="43">
        <f t="shared" si="18"/>
        <v>1319.99</v>
      </c>
      <c r="AD46" s="41"/>
      <c r="AE46" s="44"/>
    </row>
    <row r="47" ht="15.75" customHeight="1">
      <c r="E47" s="1"/>
      <c r="H47" s="1"/>
      <c r="K47" s="1"/>
      <c r="N47" s="1"/>
      <c r="Q47" s="1"/>
      <c r="T47" s="1"/>
      <c r="W47" s="1"/>
      <c r="Z47" s="1"/>
      <c r="AC47" s="3"/>
    </row>
    <row r="48" ht="15.75" customHeight="1">
      <c r="E48" s="1"/>
      <c r="H48" s="1"/>
      <c r="K48" s="1"/>
      <c r="M48" s="75" t="s">
        <v>166</v>
      </c>
      <c r="N48" s="1"/>
      <c r="Q48" s="1"/>
      <c r="T48" s="1"/>
      <c r="W48" s="1"/>
      <c r="Z48" s="1"/>
      <c r="AC48" s="3"/>
    </row>
    <row r="49" ht="15.75" customHeight="1">
      <c r="E49" s="1"/>
      <c r="H49" s="1"/>
      <c r="K49" s="1"/>
      <c r="N49" s="1"/>
      <c r="Q49" s="1"/>
      <c r="T49" s="1"/>
      <c r="W49" s="1"/>
      <c r="Z49" s="1"/>
      <c r="AC49" s="3"/>
    </row>
    <row r="50" ht="15.75" customHeight="1">
      <c r="E50" s="1"/>
      <c r="H50" s="1"/>
      <c r="K50" s="1"/>
      <c r="N50" s="1"/>
      <c r="Q50" s="1"/>
      <c r="T50" s="1"/>
      <c r="W50" s="1"/>
      <c r="Z50" s="1"/>
      <c r="AC50" s="3"/>
    </row>
    <row r="51" ht="15.75" customHeight="1">
      <c r="E51" s="1"/>
      <c r="H51" s="1"/>
      <c r="K51" s="1"/>
      <c r="N51" s="1"/>
      <c r="Q51" s="1"/>
      <c r="T51" s="1"/>
      <c r="W51" s="1"/>
      <c r="Z51" s="1"/>
      <c r="AC51" s="3"/>
    </row>
    <row r="52" ht="15.75" customHeight="1">
      <c r="E52" s="1"/>
      <c r="H52" s="1"/>
      <c r="K52" s="1"/>
      <c r="N52" s="1"/>
      <c r="Q52" s="1"/>
      <c r="T52" s="1"/>
      <c r="W52" s="1"/>
      <c r="Z52" s="1"/>
      <c r="AC52" s="3"/>
    </row>
    <row r="53" ht="15.75" customHeight="1">
      <c r="E53" s="1"/>
      <c r="H53" s="1"/>
      <c r="K53" s="1"/>
      <c r="N53" s="1"/>
      <c r="Q53" s="1"/>
      <c r="T53" s="1"/>
      <c r="W53" s="1"/>
      <c r="Z53" s="1"/>
      <c r="AC53" s="3"/>
    </row>
    <row r="54" ht="15.75" customHeight="1">
      <c r="E54" s="1"/>
      <c r="H54" s="1"/>
      <c r="K54" s="1"/>
      <c r="N54" s="1"/>
      <c r="Q54" s="1"/>
      <c r="T54" s="1"/>
      <c r="W54" s="1"/>
      <c r="Z54" s="1"/>
      <c r="AC54" s="3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30</v>
      </c>
      <c r="B4" s="61" t="s">
        <v>31</v>
      </c>
      <c r="C4" s="71">
        <v>45369.0</v>
      </c>
      <c r="D4" s="71">
        <v>45376.0</v>
      </c>
      <c r="E4" s="16"/>
      <c r="F4" s="17">
        <f t="shared" ref="F4:F53" si="1">PRODUCT(E4)*214.22</f>
        <v>0</v>
      </c>
      <c r="G4" s="47"/>
      <c r="H4" s="16"/>
      <c r="I4" s="17">
        <f t="shared" ref="I4:I40" si="2">PRODUCT(H4)*316.77</f>
        <v>0</v>
      </c>
      <c r="J4" s="17"/>
      <c r="K4" s="16"/>
      <c r="L4" s="17">
        <f t="shared" ref="L4:L53" si="3">PRODUCT(K4)*188.57</f>
        <v>0</v>
      </c>
      <c r="M4" s="17"/>
      <c r="N4" s="57">
        <v>3.0</v>
      </c>
      <c r="O4" s="17">
        <f t="shared" ref="O4:O17" si="4">PRODUCT(N4)*58.85</f>
        <v>176.55</v>
      </c>
      <c r="P4" s="47">
        <v>176.55</v>
      </c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48">
        <v>0.0</v>
      </c>
      <c r="AD4" s="50">
        <v>45382.0</v>
      </c>
      <c r="AE4" s="23"/>
    </row>
    <row r="5">
      <c r="A5" s="61" t="s">
        <v>43</v>
      </c>
      <c r="B5" s="61" t="s">
        <v>44</v>
      </c>
      <c r="C5" s="62">
        <v>45376.0</v>
      </c>
      <c r="D5" s="62">
        <v>45378.0</v>
      </c>
      <c r="E5" s="16"/>
      <c r="F5" s="17">
        <f t="shared" si="1"/>
        <v>0</v>
      </c>
      <c r="G5" s="17"/>
      <c r="H5" s="16"/>
      <c r="I5" s="17">
        <f t="shared" si="2"/>
        <v>0</v>
      </c>
      <c r="J5" s="47"/>
      <c r="K5" s="57"/>
      <c r="L5" s="17">
        <f t="shared" si="3"/>
        <v>0</v>
      </c>
      <c r="M5" s="17"/>
      <c r="N5" s="57">
        <v>3.0</v>
      </c>
      <c r="O5" s="17">
        <f t="shared" si="4"/>
        <v>176.55</v>
      </c>
      <c r="P5" s="47">
        <v>176.55</v>
      </c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16"/>
      <c r="X5" s="17">
        <f t="shared" si="7"/>
        <v>0</v>
      </c>
      <c r="Y5" s="17"/>
      <c r="Z5" s="20"/>
      <c r="AA5" s="17">
        <f t="shared" si="8"/>
        <v>0</v>
      </c>
      <c r="AB5" s="17"/>
      <c r="AC5" s="48">
        <v>0.0</v>
      </c>
      <c r="AD5" s="50">
        <v>45382.0</v>
      </c>
      <c r="AE5" s="24"/>
    </row>
    <row r="6">
      <c r="A6" s="61" t="s">
        <v>61</v>
      </c>
      <c r="B6" s="61" t="s">
        <v>62</v>
      </c>
      <c r="C6" s="71">
        <v>45371.0</v>
      </c>
      <c r="D6" s="62">
        <v>45378.0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6.0</v>
      </c>
      <c r="O6" s="17">
        <f t="shared" si="4"/>
        <v>353.1</v>
      </c>
      <c r="P6" s="47">
        <v>353.1</v>
      </c>
      <c r="Q6" s="57">
        <v>4.0</v>
      </c>
      <c r="R6" s="17">
        <f t="shared" si="5"/>
        <v>120.64</v>
      </c>
      <c r="S6" s="47">
        <v>120.64</v>
      </c>
      <c r="T6" s="16"/>
      <c r="U6" s="17">
        <f t="shared" si="6"/>
        <v>0</v>
      </c>
      <c r="V6" s="17"/>
      <c r="W6" s="57">
        <v>4.0</v>
      </c>
      <c r="X6" s="17">
        <f t="shared" si="7"/>
        <v>72.88</v>
      </c>
      <c r="Y6" s="47">
        <v>72.88</v>
      </c>
      <c r="Z6" s="63"/>
      <c r="AA6" s="17">
        <f t="shared" si="8"/>
        <v>0</v>
      </c>
      <c r="AB6" s="17"/>
      <c r="AC6" s="48">
        <v>0.0</v>
      </c>
      <c r="AD6" s="50">
        <v>45382.0</v>
      </c>
      <c r="AE6" s="24"/>
    </row>
    <row r="7">
      <c r="A7" s="61" t="s">
        <v>180</v>
      </c>
      <c r="B7" s="61" t="s">
        <v>40</v>
      </c>
      <c r="C7" s="62">
        <v>45369.0</v>
      </c>
      <c r="D7" s="62">
        <v>45369.0</v>
      </c>
      <c r="E7" s="57">
        <v>1.0</v>
      </c>
      <c r="F7" s="17">
        <f t="shared" si="1"/>
        <v>214.22</v>
      </c>
      <c r="G7" s="47">
        <v>214.22</v>
      </c>
      <c r="H7" s="57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48">
        <v>0.0</v>
      </c>
      <c r="AD7" s="50">
        <v>45382.0</v>
      </c>
      <c r="AE7" s="24"/>
    </row>
    <row r="8">
      <c r="A8" s="61" t="s">
        <v>181</v>
      </c>
      <c r="B8" s="61" t="s">
        <v>182</v>
      </c>
      <c r="C8" s="71">
        <v>45363.0</v>
      </c>
      <c r="D8" s="62">
        <v>45363.0</v>
      </c>
      <c r="E8" s="57">
        <v>1.0</v>
      </c>
      <c r="F8" s="17">
        <f t="shared" si="1"/>
        <v>214.22</v>
      </c>
      <c r="G8" s="47">
        <v>214.22</v>
      </c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48">
        <v>0.0</v>
      </c>
      <c r="AD8" s="49">
        <v>45382.0</v>
      </c>
      <c r="AE8" s="23"/>
    </row>
    <row r="9">
      <c r="A9" s="58" t="s">
        <v>39</v>
      </c>
      <c r="B9" s="58" t="s">
        <v>40</v>
      </c>
      <c r="C9" s="71"/>
      <c r="D9" s="71"/>
      <c r="E9" s="16"/>
      <c r="F9" s="17">
        <f t="shared" si="1"/>
        <v>0</v>
      </c>
      <c r="G9" s="17"/>
      <c r="H9" s="57"/>
      <c r="I9" s="17">
        <f t="shared" si="2"/>
        <v>0</v>
      </c>
      <c r="J9" s="17"/>
      <c r="K9" s="16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16"/>
      <c r="X9" s="17">
        <f t="shared" si="7"/>
        <v>0</v>
      </c>
      <c r="Y9" s="17"/>
      <c r="Z9" s="20"/>
      <c r="AA9" s="17">
        <f t="shared" si="8"/>
        <v>0</v>
      </c>
      <c r="AB9" s="17"/>
      <c r="AC9" s="21">
        <f>SUM(F9+I9+L9+O9+R9)</f>
        <v>0</v>
      </c>
      <c r="AD9" s="45"/>
      <c r="AE9" s="23"/>
    </row>
    <row r="10">
      <c r="A10" s="58" t="s">
        <v>183</v>
      </c>
      <c r="B10" s="58" t="s">
        <v>184</v>
      </c>
      <c r="C10" s="71"/>
      <c r="D10" s="71"/>
      <c r="E10" s="57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16"/>
      <c r="X10" s="17">
        <f t="shared" si="7"/>
        <v>0</v>
      </c>
      <c r="Y10" s="17"/>
      <c r="Z10" s="20"/>
      <c r="AA10" s="17">
        <f t="shared" si="8"/>
        <v>0</v>
      </c>
      <c r="AB10" s="50"/>
      <c r="AC10" s="48">
        <v>0.0</v>
      </c>
      <c r="AD10" s="50"/>
      <c r="AE10" s="23"/>
    </row>
    <row r="11">
      <c r="A11" s="58" t="s">
        <v>65</v>
      </c>
      <c r="B11" s="58" t="s">
        <v>168</v>
      </c>
      <c r="C11" s="71">
        <v>45356.0</v>
      </c>
      <c r="D11" s="62">
        <v>45379.0</v>
      </c>
      <c r="E11" s="16"/>
      <c r="F11" s="17">
        <f t="shared" si="1"/>
        <v>0</v>
      </c>
      <c r="G11" s="17"/>
      <c r="H11" s="57">
        <v>24.0</v>
      </c>
      <c r="I11" s="17">
        <f t="shared" si="2"/>
        <v>7602.48</v>
      </c>
      <c r="J11" s="47">
        <v>7285.71</v>
      </c>
      <c r="K11" s="16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>
        <v>18.0</v>
      </c>
      <c r="X11" s="17">
        <f t="shared" si="7"/>
        <v>327.96</v>
      </c>
      <c r="Y11" s="47">
        <v>327.96</v>
      </c>
      <c r="Z11" s="20"/>
      <c r="AA11" s="17">
        <f t="shared" si="8"/>
        <v>0</v>
      </c>
      <c r="AB11" s="17"/>
      <c r="AC11" s="48">
        <v>316.77</v>
      </c>
      <c r="AD11" s="49">
        <v>45382.0</v>
      </c>
      <c r="AE11" s="23"/>
    </row>
    <row r="12">
      <c r="A12" s="90" t="s">
        <v>153</v>
      </c>
      <c r="B12" s="58" t="s">
        <v>154</v>
      </c>
      <c r="C12" s="71">
        <v>45356.0</v>
      </c>
      <c r="D12" s="62">
        <v>45372.0</v>
      </c>
      <c r="E12" s="16"/>
      <c r="F12" s="17">
        <f t="shared" si="1"/>
        <v>0</v>
      </c>
      <c r="G12" s="17"/>
      <c r="H12" s="57">
        <v>17.0</v>
      </c>
      <c r="I12" s="17">
        <f t="shared" si="2"/>
        <v>5385.09</v>
      </c>
      <c r="J12" s="47">
        <v>5385.09</v>
      </c>
      <c r="K12" s="16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16"/>
      <c r="U12" s="17">
        <f t="shared" si="6"/>
        <v>0</v>
      </c>
      <c r="V12" s="17"/>
      <c r="W12" s="57">
        <v>18.0</v>
      </c>
      <c r="X12" s="17">
        <f t="shared" si="7"/>
        <v>327.96</v>
      </c>
      <c r="Y12" s="17"/>
      <c r="Z12" s="63"/>
      <c r="AA12" s="17">
        <f t="shared" si="8"/>
        <v>0</v>
      </c>
      <c r="AB12" s="17"/>
      <c r="AC12" s="48">
        <v>327.96</v>
      </c>
      <c r="AD12" s="49">
        <v>45382.0</v>
      </c>
      <c r="AE12" s="89"/>
    </row>
    <row r="13">
      <c r="A13" s="58" t="s">
        <v>156</v>
      </c>
      <c r="B13" s="58" t="s">
        <v>157</v>
      </c>
      <c r="C13" s="62">
        <v>45373.0</v>
      </c>
      <c r="D13" s="62">
        <v>45378.0</v>
      </c>
      <c r="E13" s="16"/>
      <c r="F13" s="17">
        <f t="shared" si="1"/>
        <v>0</v>
      </c>
      <c r="G13" s="17"/>
      <c r="H13" s="57">
        <v>6.0</v>
      </c>
      <c r="I13" s="17">
        <f t="shared" si="2"/>
        <v>1900.62</v>
      </c>
      <c r="J13" s="47">
        <v>1900.62</v>
      </c>
      <c r="K13" s="57"/>
      <c r="L13" s="17">
        <f t="shared" si="3"/>
        <v>0</v>
      </c>
      <c r="M13" s="4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16"/>
      <c r="U13" s="17">
        <f t="shared" si="6"/>
        <v>0</v>
      </c>
      <c r="V13" s="17"/>
      <c r="W13" s="57">
        <v>19.0</v>
      </c>
      <c r="X13" s="17">
        <f t="shared" si="7"/>
        <v>346.18</v>
      </c>
      <c r="Y13" s="47">
        <v>127.54</v>
      </c>
      <c r="Z13" s="20"/>
      <c r="AA13" s="17">
        <f t="shared" si="8"/>
        <v>0</v>
      </c>
      <c r="AB13" s="17"/>
      <c r="AC13" s="48">
        <v>0.0</v>
      </c>
      <c r="AD13" s="50">
        <v>45382.0</v>
      </c>
      <c r="AE13" s="23"/>
    </row>
    <row r="14">
      <c r="A14" s="58" t="s">
        <v>161</v>
      </c>
      <c r="B14" s="58" t="s">
        <v>162</v>
      </c>
      <c r="C14" s="62"/>
      <c r="D14" s="62"/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17"/>
      <c r="Z14" s="20"/>
      <c r="AA14" s="17">
        <f t="shared" si="8"/>
        <v>0</v>
      </c>
      <c r="AB14" s="17"/>
      <c r="AC14" s="21">
        <f>SUM(F14+I14+L14+O14+R14)</f>
        <v>0</v>
      </c>
      <c r="AD14" s="26"/>
      <c r="AE14" s="23"/>
    </row>
    <row r="15">
      <c r="A15" s="58" t="s">
        <v>148</v>
      </c>
      <c r="B15" s="58" t="s">
        <v>149</v>
      </c>
      <c r="C15" s="62">
        <v>45373.0</v>
      </c>
      <c r="D15" s="62">
        <v>45375.0</v>
      </c>
      <c r="E15" s="16"/>
      <c r="F15" s="17">
        <f t="shared" si="1"/>
        <v>0</v>
      </c>
      <c r="G15" s="17"/>
      <c r="H15" s="57">
        <v>3.0</v>
      </c>
      <c r="I15" s="17">
        <f t="shared" si="2"/>
        <v>950.31</v>
      </c>
      <c r="J15" s="47">
        <v>950.31</v>
      </c>
      <c r="K15" s="57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48">
        <v>0.0</v>
      </c>
      <c r="AD15" s="58" t="s">
        <v>185</v>
      </c>
      <c r="AE15" s="23"/>
    </row>
    <row r="16">
      <c r="A16" s="58" t="s">
        <v>155</v>
      </c>
      <c r="B16" s="58" t="s">
        <v>66</v>
      </c>
      <c r="C16" s="62">
        <v>45363.0</v>
      </c>
      <c r="D16" s="62">
        <v>45364.0</v>
      </c>
      <c r="E16" s="16"/>
      <c r="F16" s="17">
        <f t="shared" si="1"/>
        <v>0</v>
      </c>
      <c r="G16" s="17"/>
      <c r="H16" s="57">
        <v>2.0</v>
      </c>
      <c r="I16" s="17">
        <f t="shared" si="2"/>
        <v>633.54</v>
      </c>
      <c r="J16" s="47">
        <v>633.54</v>
      </c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>
        <v>45382.0</v>
      </c>
      <c r="AE16" s="23"/>
    </row>
    <row r="17">
      <c r="A17" s="58" t="s">
        <v>115</v>
      </c>
      <c r="B17" s="58" t="s">
        <v>150</v>
      </c>
      <c r="C17" s="62">
        <v>45355.0</v>
      </c>
      <c r="D17" s="62">
        <v>45365.0</v>
      </c>
      <c r="E17" s="16"/>
      <c r="F17" s="17">
        <f t="shared" si="1"/>
        <v>0</v>
      </c>
      <c r="G17" s="17"/>
      <c r="H17" s="57">
        <v>11.0</v>
      </c>
      <c r="I17" s="17">
        <f t="shared" si="2"/>
        <v>3484.47</v>
      </c>
      <c r="J17" s="47">
        <v>3167.7</v>
      </c>
      <c r="K17" s="57">
        <v>4.0</v>
      </c>
      <c r="L17" s="17">
        <f t="shared" si="3"/>
        <v>754.28</v>
      </c>
      <c r="M17" s="17"/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57">
        <v>4.0</v>
      </c>
      <c r="U17" s="17">
        <f t="shared" si="6"/>
        <v>20.28</v>
      </c>
      <c r="V17" s="17"/>
      <c r="W17" s="16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45382.0</v>
      </c>
      <c r="AE17" s="94" t="s">
        <v>186</v>
      </c>
    </row>
    <row r="18">
      <c r="A18" s="58" t="s">
        <v>97</v>
      </c>
      <c r="B18" s="58" t="s">
        <v>98</v>
      </c>
      <c r="C18" s="62">
        <v>45355.0</v>
      </c>
      <c r="D18" s="62">
        <v>45362.0</v>
      </c>
      <c r="E18" s="16"/>
      <c r="F18" s="17">
        <f t="shared" si="1"/>
        <v>0</v>
      </c>
      <c r="G18" s="17"/>
      <c r="H18" s="57">
        <v>3.0</v>
      </c>
      <c r="I18" s="17">
        <f t="shared" si="2"/>
        <v>950.31</v>
      </c>
      <c r="J18" s="47">
        <v>950.31</v>
      </c>
      <c r="K18" s="57"/>
      <c r="L18" s="17">
        <f t="shared" si="3"/>
        <v>0</v>
      </c>
      <c r="M18" s="47"/>
      <c r="N18" s="16"/>
      <c r="O18" s="17">
        <f t="shared" ref="O18:O21" si="9">PRODUCT(N18)*188.57</f>
        <v>0</v>
      </c>
      <c r="P18" s="17"/>
      <c r="Q18" s="16"/>
      <c r="R18" s="17">
        <f t="shared" si="5"/>
        <v>0</v>
      </c>
      <c r="S18" s="17"/>
      <c r="T18" s="57"/>
      <c r="U18" s="17">
        <f t="shared" si="6"/>
        <v>0</v>
      </c>
      <c r="V18" s="17"/>
      <c r="W18" s="16"/>
      <c r="X18" s="17">
        <f t="shared" si="7"/>
        <v>0</v>
      </c>
      <c r="Y18" s="17"/>
      <c r="Z18" s="20"/>
      <c r="AA18" s="17">
        <f t="shared" si="8"/>
        <v>0</v>
      </c>
      <c r="AB18" s="17"/>
      <c r="AC18" s="48">
        <v>0.0</v>
      </c>
      <c r="AD18" s="50">
        <v>45382.0</v>
      </c>
      <c r="AE18" s="23"/>
    </row>
    <row r="19">
      <c r="A19" s="58" t="s">
        <v>105</v>
      </c>
      <c r="B19" s="58" t="s">
        <v>106</v>
      </c>
      <c r="C19" s="71">
        <v>45358.0</v>
      </c>
      <c r="D19" s="62">
        <v>45362.0</v>
      </c>
      <c r="E19" s="57"/>
      <c r="F19" s="17">
        <f t="shared" si="1"/>
        <v>0</v>
      </c>
      <c r="G19" s="17"/>
      <c r="H19" s="57">
        <v>3.0</v>
      </c>
      <c r="I19" s="17">
        <f t="shared" si="2"/>
        <v>950.31</v>
      </c>
      <c r="J19" s="47">
        <v>633.54</v>
      </c>
      <c r="K19" s="57"/>
      <c r="L19" s="17">
        <f t="shared" si="3"/>
        <v>0</v>
      </c>
      <c r="M19" s="47"/>
      <c r="N19" s="16"/>
      <c r="O19" s="17">
        <f t="shared" si="9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/>
      <c r="AE19" s="23"/>
    </row>
    <row r="20">
      <c r="A20" s="58" t="s">
        <v>109</v>
      </c>
      <c r="B20" s="58" t="s">
        <v>110</v>
      </c>
      <c r="C20" s="62"/>
      <c r="D20" s="62"/>
      <c r="E20" s="16"/>
      <c r="F20" s="17">
        <f t="shared" si="1"/>
        <v>0</v>
      </c>
      <c r="G20" s="17"/>
      <c r="H20" s="16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9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53</v>
      </c>
      <c r="B21" s="58" t="s">
        <v>187</v>
      </c>
      <c r="C21" s="62"/>
      <c r="D21" s="62"/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16"/>
      <c r="L21" s="17">
        <f t="shared" si="3"/>
        <v>0</v>
      </c>
      <c r="M21" s="17"/>
      <c r="N21" s="16"/>
      <c r="O21" s="17">
        <f t="shared" si="9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16"/>
      <c r="X21" s="17">
        <f t="shared" si="7"/>
        <v>0</v>
      </c>
      <c r="Y21" s="17"/>
      <c r="Z21" s="63"/>
      <c r="AA21" s="17">
        <f t="shared" si="8"/>
        <v>0</v>
      </c>
      <c r="AB21" s="17"/>
      <c r="AC21" s="21">
        <f>SUM(F21+I21+L21+O21+R21)</f>
        <v>0</v>
      </c>
      <c r="AD21" s="22"/>
      <c r="AE21" s="23"/>
    </row>
    <row r="22">
      <c r="A22" s="58" t="s">
        <v>119</v>
      </c>
      <c r="B22" s="58" t="s">
        <v>128</v>
      </c>
      <c r="C22" s="62">
        <v>45374.0</v>
      </c>
      <c r="D22" s="62">
        <v>45378.0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4.0</v>
      </c>
      <c r="L22" s="17">
        <f t="shared" si="3"/>
        <v>754.28</v>
      </c>
      <c r="M22" s="47">
        <v>754.28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16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>
        <v>45382.0</v>
      </c>
      <c r="AE22" s="23"/>
    </row>
    <row r="23">
      <c r="A23" s="58" t="s">
        <v>141</v>
      </c>
      <c r="B23" s="58" t="s">
        <v>188</v>
      </c>
      <c r="C23" s="71">
        <v>45372.0</v>
      </c>
      <c r="D23" s="71">
        <v>45378.0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>
        <v>3.0</v>
      </c>
      <c r="L23" s="17">
        <f t="shared" si="3"/>
        <v>565.71</v>
      </c>
      <c r="M23" s="47">
        <v>565.71</v>
      </c>
      <c r="N23" s="57"/>
      <c r="O23" s="17">
        <f t="shared" ref="O23:O53" si="10">PRODUCT(N23)*58.85</f>
        <v>0</v>
      </c>
      <c r="P23" s="17"/>
      <c r="Q23" s="16"/>
      <c r="R23" s="17">
        <f t="shared" si="5"/>
        <v>0</v>
      </c>
      <c r="S23" s="17"/>
      <c r="T23" s="57"/>
      <c r="U23" s="17">
        <f t="shared" si="6"/>
        <v>0</v>
      </c>
      <c r="V23" s="17"/>
      <c r="W23" s="16"/>
      <c r="X23" s="17">
        <f t="shared" si="7"/>
        <v>0</v>
      </c>
      <c r="Y23" s="17"/>
      <c r="Z23" s="20"/>
      <c r="AA23" s="17">
        <f t="shared" si="8"/>
        <v>0</v>
      </c>
      <c r="AB23" s="17"/>
      <c r="AC23" s="48">
        <v>0.0</v>
      </c>
      <c r="AD23" s="49">
        <v>45382.0</v>
      </c>
      <c r="AE23" s="23"/>
    </row>
    <row r="24">
      <c r="A24" s="58" t="s">
        <v>47</v>
      </c>
      <c r="B24" s="58" t="s">
        <v>48</v>
      </c>
      <c r="C24" s="71">
        <v>45372.0</v>
      </c>
      <c r="D24" s="62">
        <v>45378.0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3.0</v>
      </c>
      <c r="L24" s="17">
        <f t="shared" si="3"/>
        <v>565.71</v>
      </c>
      <c r="M24" s="47">
        <v>565.71</v>
      </c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57">
        <v>4.0</v>
      </c>
      <c r="U24" s="17">
        <f t="shared" si="6"/>
        <v>20.28</v>
      </c>
      <c r="V24" s="47">
        <v>20.28</v>
      </c>
      <c r="W24" s="16"/>
      <c r="X24" s="17">
        <f t="shared" si="7"/>
        <v>0</v>
      </c>
      <c r="Y24" s="17"/>
      <c r="Z24" s="63"/>
      <c r="AA24" s="17">
        <f t="shared" si="8"/>
        <v>0</v>
      </c>
      <c r="AB24" s="17"/>
      <c r="AC24" s="48">
        <v>0.0</v>
      </c>
      <c r="AD24" s="50">
        <v>45382.0</v>
      </c>
      <c r="AE24" s="23"/>
    </row>
    <row r="25">
      <c r="A25" s="95" t="s">
        <v>49</v>
      </c>
      <c r="B25" s="96" t="s">
        <v>50</v>
      </c>
      <c r="C25" s="62">
        <v>45372.0</v>
      </c>
      <c r="D25" s="62">
        <v>45379.0</v>
      </c>
      <c r="E25" s="16"/>
      <c r="F25" s="17">
        <f t="shared" si="1"/>
        <v>0</v>
      </c>
      <c r="G25" s="17"/>
      <c r="H25" s="16"/>
      <c r="I25" s="17">
        <f t="shared" si="2"/>
        <v>0</v>
      </c>
      <c r="J25" s="17"/>
      <c r="K25" s="57">
        <v>5.0</v>
      </c>
      <c r="L25" s="17">
        <f t="shared" si="3"/>
        <v>942.85</v>
      </c>
      <c r="M25" s="47">
        <v>942.85</v>
      </c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57">
        <v>8.0</v>
      </c>
      <c r="U25" s="17">
        <f t="shared" si="6"/>
        <v>40.56</v>
      </c>
      <c r="V25" s="47">
        <v>40.56</v>
      </c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48">
        <v>0.0</v>
      </c>
      <c r="AD25" s="50">
        <v>45382.0</v>
      </c>
      <c r="AE25" s="23"/>
    </row>
    <row r="26">
      <c r="A26" s="58" t="s">
        <v>69</v>
      </c>
      <c r="B26" s="58" t="s">
        <v>129</v>
      </c>
      <c r="C26" s="62">
        <v>45377.0</v>
      </c>
      <c r="D26" s="62">
        <v>45379.0</v>
      </c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>
        <v>3.0</v>
      </c>
      <c r="L26" s="17">
        <f t="shared" si="3"/>
        <v>565.71</v>
      </c>
      <c r="M26" s="47">
        <v>565.71</v>
      </c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16"/>
      <c r="U26" s="17">
        <f t="shared" si="6"/>
        <v>0</v>
      </c>
      <c r="W26" s="57">
        <v>4.0</v>
      </c>
      <c r="X26" s="17">
        <f t="shared" si="7"/>
        <v>72.88</v>
      </c>
      <c r="Y26" s="47">
        <v>72.88</v>
      </c>
      <c r="Z26" s="20"/>
      <c r="AA26" s="17">
        <f t="shared" si="8"/>
        <v>0</v>
      </c>
      <c r="AB26" s="17"/>
      <c r="AC26" s="48">
        <v>0.0</v>
      </c>
      <c r="AD26" s="50">
        <v>45382.0</v>
      </c>
      <c r="AE26" s="23"/>
    </row>
    <row r="27" ht="15.75" customHeight="1">
      <c r="A27" s="58" t="s">
        <v>79</v>
      </c>
      <c r="B27" s="58" t="s">
        <v>80</v>
      </c>
      <c r="C27" s="62">
        <v>45377.0</v>
      </c>
      <c r="D27" s="62">
        <v>45378.0</v>
      </c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>
        <v>2.0</v>
      </c>
      <c r="L27" s="17">
        <f t="shared" si="3"/>
        <v>377.14</v>
      </c>
      <c r="M27" s="47">
        <v>377.14</v>
      </c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16"/>
      <c r="U27" s="17">
        <f t="shared" si="6"/>
        <v>0</v>
      </c>
      <c r="V27" s="17"/>
      <c r="W27" s="16"/>
      <c r="X27" s="17">
        <f t="shared" si="7"/>
        <v>0</v>
      </c>
      <c r="Y27" s="17"/>
      <c r="Z27" s="20"/>
      <c r="AA27" s="17">
        <f t="shared" si="8"/>
        <v>0</v>
      </c>
      <c r="AB27" s="17"/>
      <c r="AC27" s="48">
        <v>0.0</v>
      </c>
      <c r="AD27" s="50">
        <v>45382.0</v>
      </c>
      <c r="AE27" s="23"/>
    </row>
    <row r="28" ht="15.75" customHeight="1">
      <c r="A28" s="58" t="s">
        <v>71</v>
      </c>
      <c r="B28" s="58" t="s">
        <v>96</v>
      </c>
      <c r="C28" s="62">
        <v>45374.0</v>
      </c>
      <c r="D28" s="62">
        <v>45378.0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3.0</v>
      </c>
      <c r="L28" s="17">
        <f t="shared" si="3"/>
        <v>565.71</v>
      </c>
      <c r="M28" s="47">
        <v>565.71</v>
      </c>
      <c r="N28" s="16"/>
      <c r="O28" s="17">
        <f t="shared" si="10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/>
      <c r="AA28" s="17">
        <f t="shared" si="8"/>
        <v>0</v>
      </c>
      <c r="AB28" s="17"/>
      <c r="AC28" s="48">
        <v>0.0</v>
      </c>
      <c r="AD28" s="50">
        <v>45382.0</v>
      </c>
      <c r="AE28" s="23"/>
    </row>
    <row r="29" ht="15.75" customHeight="1">
      <c r="A29" s="90" t="s">
        <v>99</v>
      </c>
      <c r="B29" s="58" t="s">
        <v>100</v>
      </c>
      <c r="C29" s="62">
        <v>45372.0</v>
      </c>
      <c r="D29" s="62">
        <v>45378.0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>
        <v>4.0</v>
      </c>
      <c r="L29" s="17">
        <f t="shared" si="3"/>
        <v>754.28</v>
      </c>
      <c r="M29" s="17"/>
      <c r="N29" s="16"/>
      <c r="O29" s="17">
        <f t="shared" si="10"/>
        <v>0</v>
      </c>
      <c r="P29" s="17"/>
      <c r="Q29" s="16"/>
      <c r="R29" s="17">
        <f t="shared" si="5"/>
        <v>0</v>
      </c>
      <c r="S29" s="17"/>
      <c r="T29" s="57">
        <v>20.0</v>
      </c>
      <c r="U29" s="17">
        <f t="shared" si="6"/>
        <v>101.4</v>
      </c>
      <c r="V29" s="17"/>
      <c r="W29" s="57">
        <v>9.0</v>
      </c>
      <c r="X29" s="17">
        <f t="shared" si="7"/>
        <v>163.98</v>
      </c>
      <c r="Y29" s="17"/>
      <c r="Z29" s="20"/>
      <c r="AA29" s="17">
        <f t="shared" si="8"/>
        <v>0</v>
      </c>
      <c r="AB29" s="17"/>
      <c r="AC29" s="21">
        <f t="shared" ref="AC29:AC30" si="11">SUM(F29+I29+L29+O29+R29)</f>
        <v>754.28</v>
      </c>
      <c r="AD29" s="22"/>
      <c r="AE29" s="23"/>
    </row>
    <row r="30" ht="15.75" customHeight="1">
      <c r="A30" s="58" t="s">
        <v>113</v>
      </c>
      <c r="B30" s="58" t="s">
        <v>114</v>
      </c>
      <c r="C30" s="62"/>
      <c r="D30" s="62"/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/>
      <c r="L30" s="17">
        <f t="shared" si="3"/>
        <v>0</v>
      </c>
      <c r="M30" s="47"/>
      <c r="N30" s="28"/>
      <c r="O30" s="17">
        <f t="shared" si="10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28"/>
      <c r="X30" s="17">
        <f t="shared" si="7"/>
        <v>0</v>
      </c>
      <c r="Y30" s="17"/>
      <c r="Z30" s="63"/>
      <c r="AA30" s="17">
        <f t="shared" si="8"/>
        <v>0</v>
      </c>
      <c r="AB30" s="17"/>
      <c r="AC30" s="21">
        <f t="shared" si="11"/>
        <v>0</v>
      </c>
      <c r="AD30" s="22"/>
      <c r="AE30" s="23"/>
    </row>
    <row r="31" ht="15.75" customHeight="1">
      <c r="A31" s="58" t="s">
        <v>65</v>
      </c>
      <c r="B31" s="58" t="s">
        <v>160</v>
      </c>
      <c r="C31" s="62">
        <v>45372.0</v>
      </c>
      <c r="D31" s="62">
        <v>45378.0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4.0</v>
      </c>
      <c r="L31" s="17">
        <f t="shared" si="3"/>
        <v>754.28</v>
      </c>
      <c r="M31" s="47">
        <v>754.28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28"/>
      <c r="U31" s="17">
        <f t="shared" si="6"/>
        <v>0</v>
      </c>
      <c r="V31" s="17"/>
      <c r="W31" s="28"/>
      <c r="X31" s="17">
        <f t="shared" si="7"/>
        <v>0</v>
      </c>
      <c r="Y31" s="17"/>
      <c r="Z31" s="20"/>
      <c r="AA31" s="17">
        <f t="shared" si="8"/>
        <v>0</v>
      </c>
      <c r="AB31" s="50"/>
      <c r="AC31" s="48">
        <v>0.0</v>
      </c>
      <c r="AD31" s="50">
        <v>45382.0</v>
      </c>
      <c r="AE31" s="23"/>
    </row>
    <row r="32" ht="15.75" customHeight="1">
      <c r="A32" s="58" t="s">
        <v>57</v>
      </c>
      <c r="B32" s="58" t="s">
        <v>58</v>
      </c>
      <c r="C32" s="71">
        <v>45372.0</v>
      </c>
      <c r="D32" s="62">
        <v>45379.0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5.0</v>
      </c>
      <c r="L32" s="17">
        <f t="shared" si="3"/>
        <v>942.85</v>
      </c>
      <c r="M32" s="47">
        <v>942.85</v>
      </c>
      <c r="N32" s="28"/>
      <c r="O32" s="17">
        <f t="shared" si="10"/>
        <v>0</v>
      </c>
      <c r="P32" s="17"/>
      <c r="Q32" s="28"/>
      <c r="R32" s="17">
        <f t="shared" si="5"/>
        <v>0</v>
      </c>
      <c r="S32" s="17"/>
      <c r="T32" s="28"/>
      <c r="U32" s="17">
        <f t="shared" si="6"/>
        <v>0</v>
      </c>
      <c r="V32" s="17"/>
      <c r="W32" s="28"/>
      <c r="X32" s="17">
        <f t="shared" si="7"/>
        <v>0</v>
      </c>
      <c r="Y32" s="17"/>
      <c r="Z32" s="20"/>
      <c r="AA32" s="17">
        <f t="shared" si="8"/>
        <v>0</v>
      </c>
      <c r="AB32" s="17"/>
      <c r="AC32" s="48">
        <v>0.0</v>
      </c>
      <c r="AD32" s="49">
        <v>45382.0</v>
      </c>
      <c r="AE32" s="23"/>
    </row>
    <row r="33" ht="15.75" customHeight="1">
      <c r="A33" s="58" t="s">
        <v>121</v>
      </c>
      <c r="B33" s="58" t="s">
        <v>100</v>
      </c>
      <c r="C33" s="71">
        <v>45372.0</v>
      </c>
      <c r="D33" s="62">
        <v>45378.0</v>
      </c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>
        <v>4.0</v>
      </c>
      <c r="L33" s="17">
        <f t="shared" si="3"/>
        <v>754.28</v>
      </c>
      <c r="M33" s="47">
        <v>754.28</v>
      </c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28"/>
      <c r="U33" s="17">
        <f t="shared" si="6"/>
        <v>0</v>
      </c>
      <c r="V33" s="17"/>
      <c r="W33" s="28"/>
      <c r="X33" s="17">
        <f t="shared" si="7"/>
        <v>0</v>
      </c>
      <c r="Y33" s="17"/>
      <c r="Z33" s="63"/>
      <c r="AA33" s="17">
        <f t="shared" si="8"/>
        <v>0</v>
      </c>
      <c r="AB33" s="17"/>
      <c r="AC33" s="48">
        <v>0.0</v>
      </c>
      <c r="AD33" s="49">
        <v>45382.0</v>
      </c>
      <c r="AE33" s="23"/>
    </row>
    <row r="34" ht="15.75" customHeight="1">
      <c r="A34" s="58" t="s">
        <v>115</v>
      </c>
      <c r="B34" s="58" t="s">
        <v>116</v>
      </c>
      <c r="C34" s="71">
        <v>45372.0</v>
      </c>
      <c r="D34" s="62">
        <v>45379.0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5.0</v>
      </c>
      <c r="L34" s="17">
        <f t="shared" si="3"/>
        <v>942.85</v>
      </c>
      <c r="M34" s="47">
        <v>942.85</v>
      </c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60">
        <v>8.0</v>
      </c>
      <c r="U34" s="17">
        <f t="shared" si="6"/>
        <v>40.56</v>
      </c>
      <c r="V34" s="47">
        <v>40.56</v>
      </c>
      <c r="W34" s="28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45382.0</v>
      </c>
      <c r="AE34" s="23"/>
    </row>
    <row r="35" ht="15.75" customHeight="1">
      <c r="A35" s="58" t="s">
        <v>170</v>
      </c>
      <c r="B35" s="58" t="s">
        <v>171</v>
      </c>
      <c r="C35" s="62">
        <v>45372.0</v>
      </c>
      <c r="D35" s="62">
        <v>45376.0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>
        <v>2.0</v>
      </c>
      <c r="L35" s="17">
        <f t="shared" si="3"/>
        <v>377.14</v>
      </c>
      <c r="M35" s="47">
        <v>377.14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8"/>
      <c r="U35" s="17">
        <f t="shared" si="6"/>
        <v>0</v>
      </c>
      <c r="V35" s="17"/>
      <c r="W35" s="28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>
        <v>45382.0</v>
      </c>
      <c r="AE35" s="23"/>
    </row>
    <row r="36" ht="15.75" customHeight="1">
      <c r="A36" s="58" t="s">
        <v>67</v>
      </c>
      <c r="B36" s="58" t="s">
        <v>68</v>
      </c>
      <c r="C36" s="71">
        <v>45355.0</v>
      </c>
      <c r="D36" s="62">
        <v>45378.0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15.0</v>
      </c>
      <c r="L36" s="17">
        <f t="shared" si="3"/>
        <v>2828.55</v>
      </c>
      <c r="M36" s="47">
        <v>2828.55</v>
      </c>
      <c r="N36" s="60"/>
      <c r="O36" s="17">
        <f t="shared" si="10"/>
        <v>0</v>
      </c>
      <c r="P36" s="17"/>
      <c r="Q36" s="28"/>
      <c r="R36" s="17">
        <f t="shared" si="5"/>
        <v>0</v>
      </c>
      <c r="S36" s="17"/>
      <c r="T36" s="60"/>
      <c r="U36" s="17">
        <f t="shared" si="6"/>
        <v>0</v>
      </c>
      <c r="V36" s="17"/>
      <c r="W36" s="60">
        <v>4.0</v>
      </c>
      <c r="X36" s="17">
        <f t="shared" si="7"/>
        <v>72.88</v>
      </c>
      <c r="Y36" s="47">
        <v>72.88</v>
      </c>
      <c r="Z36" s="63"/>
      <c r="AA36" s="17">
        <f t="shared" si="8"/>
        <v>0</v>
      </c>
      <c r="AB36" s="17"/>
      <c r="AC36" s="48">
        <v>0.0</v>
      </c>
      <c r="AD36" s="49">
        <v>45382.0</v>
      </c>
      <c r="AE36" s="23"/>
    </row>
    <row r="37" ht="15.75" customHeight="1">
      <c r="A37" s="58" t="s">
        <v>82</v>
      </c>
      <c r="B37" s="58" t="s">
        <v>83</v>
      </c>
      <c r="C37" s="62">
        <v>45355.0</v>
      </c>
      <c r="D37" s="62">
        <v>45378.0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15.0</v>
      </c>
      <c r="L37" s="17">
        <f t="shared" si="3"/>
        <v>2828.55</v>
      </c>
      <c r="M37" s="47">
        <v>2828.55</v>
      </c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28"/>
      <c r="U37" s="17">
        <f t="shared" si="6"/>
        <v>0</v>
      </c>
      <c r="V37" s="17"/>
      <c r="W37" s="28"/>
      <c r="X37" s="17">
        <f t="shared" si="7"/>
        <v>0</v>
      </c>
      <c r="Y37" s="17"/>
      <c r="Z37" s="63"/>
      <c r="AA37" s="17">
        <f t="shared" si="8"/>
        <v>0</v>
      </c>
      <c r="AB37" s="17"/>
      <c r="AC37" s="48">
        <v>0.0</v>
      </c>
      <c r="AD37" s="50">
        <v>45382.0</v>
      </c>
      <c r="AE37" s="23"/>
    </row>
    <row r="38" ht="15.75" customHeight="1">
      <c r="A38" s="58" t="s">
        <v>47</v>
      </c>
      <c r="B38" s="58" t="s">
        <v>84</v>
      </c>
      <c r="C38" s="62">
        <v>45355.0</v>
      </c>
      <c r="D38" s="62">
        <v>45378.0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15.0</v>
      </c>
      <c r="L38" s="17">
        <f t="shared" si="3"/>
        <v>2828.55</v>
      </c>
      <c r="M38" s="47">
        <v>2828.55</v>
      </c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8"/>
      <c r="U38" s="17">
        <f t="shared" si="6"/>
        <v>0</v>
      </c>
      <c r="V38" s="17"/>
      <c r="W38" s="60">
        <v>4.0</v>
      </c>
      <c r="X38" s="17">
        <f t="shared" si="7"/>
        <v>72.88</v>
      </c>
      <c r="Y38" s="17"/>
      <c r="Z38" s="20"/>
      <c r="AA38" s="17">
        <f t="shared" si="8"/>
        <v>0</v>
      </c>
      <c r="AB38" s="17"/>
      <c r="AC38" s="21">
        <f>SUM(F38+I38+L38+O38+R38)</f>
        <v>2828.55</v>
      </c>
      <c r="AD38" s="50"/>
      <c r="AE38" s="23"/>
    </row>
    <row r="39" ht="15.75" customHeight="1">
      <c r="A39" s="58" t="s">
        <v>69</v>
      </c>
      <c r="B39" s="58" t="s">
        <v>70</v>
      </c>
      <c r="C39" s="62">
        <v>45355.0</v>
      </c>
      <c r="D39" s="62">
        <v>45378.0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15.0</v>
      </c>
      <c r="L39" s="17">
        <f t="shared" si="3"/>
        <v>2828.55</v>
      </c>
      <c r="M39" s="47">
        <v>2828.55</v>
      </c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>
        <v>4.0</v>
      </c>
      <c r="X39" s="17">
        <f t="shared" si="7"/>
        <v>72.88</v>
      </c>
      <c r="Y39" s="17"/>
      <c r="Z39" s="20"/>
      <c r="AA39" s="17">
        <f t="shared" si="8"/>
        <v>0</v>
      </c>
      <c r="AB39" s="17"/>
      <c r="AC39" s="48">
        <v>72.88</v>
      </c>
      <c r="AD39" s="50">
        <v>45382.0</v>
      </c>
      <c r="AE39" s="23"/>
    </row>
    <row r="40" ht="15.75" customHeight="1">
      <c r="A40" s="58" t="s">
        <v>158</v>
      </c>
      <c r="B40" s="58" t="s">
        <v>159</v>
      </c>
      <c r="C40" s="71"/>
      <c r="D40" s="71"/>
      <c r="E40" s="28"/>
      <c r="F40" s="17">
        <f t="shared" si="1"/>
        <v>0</v>
      </c>
      <c r="G40" s="17"/>
      <c r="H40" s="28"/>
      <c r="I40" s="17">
        <f t="shared" si="2"/>
        <v>0</v>
      </c>
      <c r="J40" s="17"/>
      <c r="K40" s="16"/>
      <c r="L40" s="17">
        <f t="shared" si="3"/>
        <v>0</v>
      </c>
      <c r="M40" s="17"/>
      <c r="N40" s="60"/>
      <c r="O40" s="17">
        <f t="shared" si="10"/>
        <v>0</v>
      </c>
      <c r="P40" s="47"/>
      <c r="Q40" s="28"/>
      <c r="R40" s="17">
        <f t="shared" si="5"/>
        <v>0</v>
      </c>
      <c r="S40" s="17"/>
      <c r="T40" s="60"/>
      <c r="U40" s="17">
        <f t="shared" si="6"/>
        <v>0</v>
      </c>
      <c r="V40" s="47"/>
      <c r="W40" s="28"/>
      <c r="X40" s="17">
        <f t="shared" si="7"/>
        <v>0</v>
      </c>
      <c r="Y40" s="17"/>
      <c r="Z40" s="20"/>
      <c r="AA40" s="17">
        <f t="shared" si="8"/>
        <v>0</v>
      </c>
      <c r="AB40" s="50"/>
      <c r="AC40" s="21">
        <f>SUM(F40+I41+L40+O40+R40)</f>
        <v>0</v>
      </c>
      <c r="AD40" s="50"/>
      <c r="AE40" s="23"/>
      <c r="AF40" s="31"/>
    </row>
    <row r="41" ht="15.75" customHeight="1">
      <c r="A41" s="58" t="s">
        <v>95</v>
      </c>
      <c r="B41" s="58" t="s">
        <v>58</v>
      </c>
      <c r="C41" s="71">
        <v>45355.0</v>
      </c>
      <c r="D41" s="62">
        <v>45379.0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16.0</v>
      </c>
      <c r="L41" s="17">
        <f t="shared" si="3"/>
        <v>3017.12</v>
      </c>
      <c r="M41" s="47">
        <v>2828.55</v>
      </c>
      <c r="N41" s="28"/>
      <c r="O41" s="17">
        <f t="shared" si="10"/>
        <v>0</v>
      </c>
      <c r="P41" s="17"/>
      <c r="Q41" s="28"/>
      <c r="R41" s="97">
        <f t="shared" si="5"/>
        <v>0</v>
      </c>
      <c r="S41" s="17"/>
      <c r="T41" s="28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188.57</v>
      </c>
      <c r="AD41" s="49">
        <v>45382.0</v>
      </c>
      <c r="AE41" s="23"/>
    </row>
    <row r="42" ht="15.75" customHeight="1">
      <c r="A42" s="58" t="s">
        <v>161</v>
      </c>
      <c r="B42" s="58" t="s">
        <v>176</v>
      </c>
      <c r="C42" s="71">
        <v>45376.0</v>
      </c>
      <c r="D42" s="62">
        <v>45379.0</v>
      </c>
      <c r="E42" s="60"/>
      <c r="F42" s="17">
        <f t="shared" si="1"/>
        <v>0</v>
      </c>
      <c r="G42" s="17"/>
      <c r="H42" s="28"/>
      <c r="I42" s="17">
        <f t="shared" ref="I42:I53" si="12">PRODUCT(H42)*316.77</f>
        <v>0</v>
      </c>
      <c r="J42" s="17"/>
      <c r="K42" s="57">
        <v>4.0</v>
      </c>
      <c r="L42" s="17">
        <f t="shared" si="3"/>
        <v>754.28</v>
      </c>
      <c r="M42" s="47">
        <v>754.28</v>
      </c>
      <c r="N42" s="28"/>
      <c r="O42" s="17">
        <f t="shared" si="10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20"/>
      <c r="AA42" s="17">
        <f t="shared" si="8"/>
        <v>0</v>
      </c>
      <c r="AB42" s="17"/>
      <c r="AC42" s="48">
        <v>0.0</v>
      </c>
      <c r="AD42" s="49">
        <v>45382.0</v>
      </c>
      <c r="AE42" s="23"/>
    </row>
    <row r="43" ht="15.75" customHeight="1">
      <c r="A43" s="58" t="s">
        <v>174</v>
      </c>
      <c r="B43" s="58" t="s">
        <v>189</v>
      </c>
      <c r="C43" s="71">
        <v>45376.0</v>
      </c>
      <c r="D43" s="62">
        <v>45378.0</v>
      </c>
      <c r="E43" s="60"/>
      <c r="F43" s="17">
        <f t="shared" si="1"/>
        <v>0</v>
      </c>
      <c r="G43" s="17"/>
      <c r="H43" s="28"/>
      <c r="I43" s="17">
        <f t="shared" si="12"/>
        <v>0</v>
      </c>
      <c r="J43" s="17"/>
      <c r="K43" s="57">
        <v>2.0</v>
      </c>
      <c r="L43" s="17">
        <f t="shared" si="3"/>
        <v>377.14</v>
      </c>
      <c r="M43" s="47">
        <v>377.14</v>
      </c>
      <c r="N43" s="28"/>
      <c r="O43" s="17">
        <f t="shared" si="10"/>
        <v>0</v>
      </c>
      <c r="P43" s="17"/>
      <c r="Q43" s="28"/>
      <c r="R43" s="97">
        <f t="shared" si="5"/>
        <v>0</v>
      </c>
      <c r="S43" s="17"/>
      <c r="T43" s="28"/>
      <c r="U43" s="17">
        <f t="shared" si="6"/>
        <v>0</v>
      </c>
      <c r="V43" s="17"/>
      <c r="W43" s="28"/>
      <c r="X43" s="17">
        <f t="shared" si="7"/>
        <v>0</v>
      </c>
      <c r="Y43" s="17"/>
      <c r="Z43" s="20"/>
      <c r="AA43" s="17">
        <f t="shared" si="8"/>
        <v>0</v>
      </c>
      <c r="AB43" s="17"/>
      <c r="AC43" s="48">
        <v>0.0</v>
      </c>
      <c r="AD43" s="49">
        <v>45382.0</v>
      </c>
      <c r="AE43" s="23"/>
    </row>
    <row r="44" ht="15.75" customHeight="1">
      <c r="A44" s="58" t="s">
        <v>136</v>
      </c>
      <c r="B44" s="58" t="s">
        <v>162</v>
      </c>
      <c r="C44" s="71">
        <v>45372.0</v>
      </c>
      <c r="D44" s="62">
        <v>45378.0</v>
      </c>
      <c r="E44" s="60"/>
      <c r="F44" s="17">
        <f t="shared" si="1"/>
        <v>0</v>
      </c>
      <c r="G44" s="17"/>
      <c r="H44" s="28"/>
      <c r="I44" s="17">
        <f t="shared" si="12"/>
        <v>0</v>
      </c>
      <c r="J44" s="17"/>
      <c r="K44" s="57">
        <v>4.0</v>
      </c>
      <c r="L44" s="17">
        <f t="shared" si="3"/>
        <v>754.28</v>
      </c>
      <c r="M44" s="47">
        <v>754.28</v>
      </c>
      <c r="N44" s="28"/>
      <c r="O44" s="17">
        <f t="shared" si="10"/>
        <v>0</v>
      </c>
      <c r="P44" s="17"/>
      <c r="Q44" s="28"/>
      <c r="R44" s="97">
        <f t="shared" si="5"/>
        <v>0</v>
      </c>
      <c r="S44" s="17"/>
      <c r="T44" s="28"/>
      <c r="U44" s="17">
        <f t="shared" si="6"/>
        <v>0</v>
      </c>
      <c r="V44" s="17"/>
      <c r="W44" s="28"/>
      <c r="X44" s="17">
        <f t="shared" si="7"/>
        <v>0</v>
      </c>
      <c r="Y44" s="17"/>
      <c r="Z44" s="20"/>
      <c r="AA44" s="17">
        <f t="shared" si="8"/>
        <v>0</v>
      </c>
      <c r="AB44" s="17"/>
      <c r="AC44" s="48">
        <v>0.0</v>
      </c>
      <c r="AD44" s="49">
        <v>45382.0</v>
      </c>
      <c r="AE44" s="23"/>
    </row>
    <row r="45" ht="15.75" customHeight="1">
      <c r="A45" s="58" t="s">
        <v>177</v>
      </c>
      <c r="B45" s="58" t="s">
        <v>178</v>
      </c>
      <c r="C45" s="62">
        <v>45372.0</v>
      </c>
      <c r="D45" s="62">
        <v>45378.0</v>
      </c>
      <c r="E45" s="28"/>
      <c r="F45" s="17">
        <f t="shared" si="1"/>
        <v>0</v>
      </c>
      <c r="G45" s="47"/>
      <c r="H45" s="28"/>
      <c r="I45" s="17">
        <f t="shared" si="12"/>
        <v>0</v>
      </c>
      <c r="J45" s="17"/>
      <c r="K45" s="57">
        <v>3.0</v>
      </c>
      <c r="L45" s="17">
        <f t="shared" si="3"/>
        <v>565.71</v>
      </c>
      <c r="M45" s="47">
        <v>565.71</v>
      </c>
      <c r="N45" s="28"/>
      <c r="O45" s="17">
        <f t="shared" si="10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28"/>
      <c r="X45" s="17">
        <f t="shared" si="7"/>
        <v>0</v>
      </c>
      <c r="Y45" s="17"/>
      <c r="Z45" s="20"/>
      <c r="AA45" s="17">
        <f t="shared" si="8"/>
        <v>0</v>
      </c>
      <c r="AB45" s="17"/>
      <c r="AC45" s="48">
        <v>0.0</v>
      </c>
      <c r="AD45" s="49">
        <v>45382.0</v>
      </c>
      <c r="AE45" s="23"/>
    </row>
    <row r="46" ht="15.75" customHeight="1">
      <c r="A46" s="58" t="s">
        <v>71</v>
      </c>
      <c r="B46" s="58" t="s">
        <v>190</v>
      </c>
      <c r="C46" s="71">
        <v>45372.0</v>
      </c>
      <c r="D46" s="71">
        <v>45379.0</v>
      </c>
      <c r="E46" s="60"/>
      <c r="F46" s="17">
        <f t="shared" si="1"/>
        <v>0</v>
      </c>
      <c r="G46" s="17"/>
      <c r="H46" s="28"/>
      <c r="I46" s="17">
        <f t="shared" si="12"/>
        <v>0</v>
      </c>
      <c r="J46" s="47"/>
      <c r="K46" s="57">
        <v>8.0</v>
      </c>
      <c r="L46" s="17">
        <f t="shared" si="3"/>
        <v>1508.56</v>
      </c>
      <c r="M46" s="47">
        <v>1319.99</v>
      </c>
      <c r="N46" s="28"/>
      <c r="O46" s="17">
        <f t="shared" si="10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28"/>
      <c r="X46" s="17">
        <f t="shared" si="7"/>
        <v>0</v>
      </c>
      <c r="Y46" s="17"/>
      <c r="Z46" s="20"/>
      <c r="AA46" s="17">
        <f t="shared" si="8"/>
        <v>0</v>
      </c>
      <c r="AB46" s="17"/>
      <c r="AC46" s="48">
        <v>0.0</v>
      </c>
      <c r="AD46" s="49">
        <v>45382.0</v>
      </c>
      <c r="AE46" s="23"/>
    </row>
    <row r="47" ht="15.75" customHeight="1">
      <c r="A47" s="58" t="s">
        <v>191</v>
      </c>
      <c r="B47" s="58" t="s">
        <v>192</v>
      </c>
      <c r="C47" s="62">
        <v>45376.0</v>
      </c>
      <c r="D47" s="62">
        <v>45379.0</v>
      </c>
      <c r="E47" s="28"/>
      <c r="F47" s="17">
        <f t="shared" si="1"/>
        <v>0</v>
      </c>
      <c r="G47" s="17"/>
      <c r="H47" s="28"/>
      <c r="I47" s="17">
        <f t="shared" si="12"/>
        <v>0</v>
      </c>
      <c r="J47" s="17"/>
      <c r="K47" s="57">
        <v>3.0</v>
      </c>
      <c r="L47" s="17">
        <f t="shared" si="3"/>
        <v>565.71</v>
      </c>
      <c r="M47" s="47">
        <v>565.71</v>
      </c>
      <c r="N47" s="28"/>
      <c r="O47" s="17">
        <f t="shared" si="10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28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>
        <v>45382.0</v>
      </c>
      <c r="AE47" s="23"/>
    </row>
    <row r="48" ht="15.75" customHeight="1">
      <c r="A48" s="58" t="s">
        <v>193</v>
      </c>
      <c r="B48" s="58" t="s">
        <v>194</v>
      </c>
      <c r="C48" s="62">
        <v>45373.0</v>
      </c>
      <c r="D48" s="62">
        <v>45379.0</v>
      </c>
      <c r="E48" s="28"/>
      <c r="F48" s="17">
        <f t="shared" si="1"/>
        <v>0</v>
      </c>
      <c r="G48" s="17"/>
      <c r="H48" s="28"/>
      <c r="I48" s="17">
        <f t="shared" si="12"/>
        <v>0</v>
      </c>
      <c r="J48" s="17"/>
      <c r="K48" s="57">
        <v>7.0</v>
      </c>
      <c r="L48" s="17">
        <f t="shared" si="3"/>
        <v>1319.99</v>
      </c>
      <c r="M48" s="47">
        <v>1319.99</v>
      </c>
      <c r="N48" s="28"/>
      <c r="O48" s="17">
        <f t="shared" si="10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>
        <v>18.0</v>
      </c>
      <c r="X48" s="17">
        <f t="shared" si="7"/>
        <v>327.96</v>
      </c>
      <c r="Y48" s="47">
        <v>327.96</v>
      </c>
      <c r="Z48" s="63"/>
      <c r="AA48" s="17">
        <f t="shared" si="8"/>
        <v>0</v>
      </c>
      <c r="AB48" s="17"/>
      <c r="AC48" s="48">
        <v>0.0</v>
      </c>
      <c r="AD48" s="49">
        <v>45382.0</v>
      </c>
      <c r="AE48" s="23"/>
    </row>
    <row r="49" ht="15.75" customHeight="1">
      <c r="A49" s="90" t="s">
        <v>195</v>
      </c>
      <c r="B49" s="58" t="s">
        <v>196</v>
      </c>
      <c r="C49" s="62" t="s">
        <v>197</v>
      </c>
      <c r="D49" s="62">
        <v>45378.0</v>
      </c>
      <c r="E49" s="60">
        <v>1.0</v>
      </c>
      <c r="F49" s="17">
        <f t="shared" si="1"/>
        <v>214.22</v>
      </c>
      <c r="G49" s="17"/>
      <c r="H49" s="28"/>
      <c r="I49" s="17">
        <f t="shared" si="12"/>
        <v>0</v>
      </c>
      <c r="J49" s="17"/>
      <c r="K49" s="57">
        <v>3.0</v>
      </c>
      <c r="L49" s="17">
        <f t="shared" si="3"/>
        <v>565.71</v>
      </c>
      <c r="M49" s="47"/>
      <c r="N49" s="28"/>
      <c r="O49" s="17">
        <f t="shared" si="10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/>
      <c r="AE49" s="23"/>
    </row>
    <row r="50" ht="15.75" customHeight="1">
      <c r="A50" s="58" t="s">
        <v>198</v>
      </c>
      <c r="B50" s="58" t="s">
        <v>199</v>
      </c>
      <c r="C50" s="62">
        <v>45374.0</v>
      </c>
      <c r="D50" s="62">
        <v>45379.0</v>
      </c>
      <c r="E50" s="60">
        <v>1.0</v>
      </c>
      <c r="F50" s="17">
        <f t="shared" si="1"/>
        <v>214.22</v>
      </c>
      <c r="G50" s="47">
        <v>214.22</v>
      </c>
      <c r="H50" s="60"/>
      <c r="I50" s="17">
        <f t="shared" si="12"/>
        <v>0</v>
      </c>
      <c r="J50" s="17"/>
      <c r="K50" s="57"/>
      <c r="L50" s="17">
        <f t="shared" si="3"/>
        <v>0</v>
      </c>
      <c r="M50" s="17"/>
      <c r="N50" s="28"/>
      <c r="O50" s="17">
        <f t="shared" si="10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28"/>
      <c r="X50" s="17">
        <f t="shared" si="7"/>
        <v>0</v>
      </c>
      <c r="Y50" s="17"/>
      <c r="Z50" s="63"/>
      <c r="AA50" s="17">
        <f t="shared" si="8"/>
        <v>0</v>
      </c>
      <c r="AB50" s="17"/>
      <c r="AC50" s="48">
        <v>0.0</v>
      </c>
      <c r="AD50" s="50">
        <v>45382.0</v>
      </c>
      <c r="AE50" s="23"/>
    </row>
    <row r="51" ht="15.75" customHeight="1">
      <c r="A51" s="58" t="s">
        <v>109</v>
      </c>
      <c r="B51" s="58" t="s">
        <v>200</v>
      </c>
      <c r="C51" s="62">
        <v>45376.0</v>
      </c>
      <c r="D51" s="62">
        <v>45379.0</v>
      </c>
      <c r="E51" s="60">
        <v>1.0</v>
      </c>
      <c r="F51" s="17">
        <f t="shared" si="1"/>
        <v>214.22</v>
      </c>
      <c r="G51" s="47">
        <v>214.22</v>
      </c>
      <c r="H51" s="60"/>
      <c r="I51" s="17">
        <f t="shared" si="12"/>
        <v>0</v>
      </c>
      <c r="J51" s="17"/>
      <c r="K51" s="57">
        <v>3.0</v>
      </c>
      <c r="L51" s="17">
        <f t="shared" si="3"/>
        <v>565.71</v>
      </c>
      <c r="M51" s="47">
        <v>565.71</v>
      </c>
      <c r="N51" s="28"/>
      <c r="O51" s="17">
        <f t="shared" si="10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28"/>
      <c r="X51" s="17">
        <f t="shared" si="7"/>
        <v>0</v>
      </c>
      <c r="Y51" s="17"/>
      <c r="Z51" s="63"/>
      <c r="AA51" s="17">
        <f t="shared" si="8"/>
        <v>0</v>
      </c>
      <c r="AB51" s="17"/>
      <c r="AC51" s="48">
        <v>0.0</v>
      </c>
      <c r="AD51" s="50">
        <v>45382.0</v>
      </c>
      <c r="AE51" s="23"/>
    </row>
    <row r="52" ht="15.75" customHeight="1">
      <c r="A52" s="58" t="s">
        <v>201</v>
      </c>
      <c r="B52" s="58" t="s">
        <v>202</v>
      </c>
      <c r="C52" s="62">
        <v>45377.0</v>
      </c>
      <c r="D52" s="62">
        <v>45379.0</v>
      </c>
      <c r="E52" s="60">
        <v>1.0</v>
      </c>
      <c r="F52" s="17">
        <f t="shared" si="1"/>
        <v>214.22</v>
      </c>
      <c r="G52" s="47">
        <v>214.22</v>
      </c>
      <c r="H52" s="60"/>
      <c r="I52" s="17">
        <f t="shared" si="12"/>
        <v>0</v>
      </c>
      <c r="J52" s="17"/>
      <c r="K52" s="57">
        <v>2.0</v>
      </c>
      <c r="L52" s="17">
        <f t="shared" si="3"/>
        <v>377.14</v>
      </c>
      <c r="M52" s="47">
        <v>377.14</v>
      </c>
      <c r="N52" s="28"/>
      <c r="O52" s="17">
        <f t="shared" si="10"/>
        <v>0</v>
      </c>
      <c r="P52" s="17"/>
      <c r="Q52" s="28"/>
      <c r="R52" s="97">
        <f t="shared" si="5"/>
        <v>0</v>
      </c>
      <c r="S52" s="17"/>
      <c r="T52" s="28"/>
      <c r="U52" s="17">
        <f t="shared" si="6"/>
        <v>0</v>
      </c>
      <c r="V52" s="17"/>
      <c r="W52" s="28"/>
      <c r="X52" s="17">
        <f t="shared" si="7"/>
        <v>0</v>
      </c>
      <c r="Y52" s="17"/>
      <c r="Z52" s="63"/>
      <c r="AA52" s="17">
        <f t="shared" si="8"/>
        <v>0</v>
      </c>
      <c r="AB52" s="17"/>
      <c r="AC52" s="48">
        <v>0.0</v>
      </c>
      <c r="AD52" s="50">
        <v>45382.0</v>
      </c>
      <c r="AE52" s="23"/>
    </row>
    <row r="53" ht="15.75" customHeight="1">
      <c r="A53" s="58" t="s">
        <v>203</v>
      </c>
      <c r="B53" s="58" t="s">
        <v>204</v>
      </c>
      <c r="C53" s="62">
        <v>45377.0</v>
      </c>
      <c r="D53" s="62">
        <v>45378.0</v>
      </c>
      <c r="E53" s="60">
        <v>1.0</v>
      </c>
      <c r="F53" s="17">
        <f t="shared" si="1"/>
        <v>214.22</v>
      </c>
      <c r="G53" s="47">
        <v>214.22</v>
      </c>
      <c r="H53" s="60"/>
      <c r="I53" s="17">
        <f t="shared" si="12"/>
        <v>0</v>
      </c>
      <c r="J53" s="17"/>
      <c r="K53" s="57">
        <v>1.0</v>
      </c>
      <c r="L53" s="17">
        <f t="shared" si="3"/>
        <v>188.57</v>
      </c>
      <c r="M53" s="47">
        <v>188.57</v>
      </c>
      <c r="N53" s="28"/>
      <c r="O53" s="17">
        <f t="shared" si="10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28"/>
      <c r="X53" s="17">
        <f t="shared" si="7"/>
        <v>0</v>
      </c>
      <c r="Y53" s="17"/>
      <c r="Z53" s="63"/>
      <c r="AA53" s="17">
        <f t="shared" si="8"/>
        <v>0</v>
      </c>
      <c r="AB53" s="17"/>
      <c r="AC53" s="48">
        <v>0.0</v>
      </c>
      <c r="AD53" s="50">
        <v>45382.0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1071.1</v>
      </c>
      <c r="G54" s="43">
        <f>SUM(G4:G44)</f>
        <v>428.44</v>
      </c>
      <c r="H54" s="42"/>
      <c r="I54" s="43">
        <f>SUM(I4:I53)</f>
        <v>21857.13</v>
      </c>
      <c r="J54" s="43">
        <f>SUM(J4:J44)</f>
        <v>20906.82</v>
      </c>
      <c r="K54" s="42"/>
      <c r="L54" s="43">
        <f t="shared" ref="L54:M54" si="13">SUM(L4:L44)</f>
        <v>25834.09</v>
      </c>
      <c r="M54" s="43">
        <f t="shared" si="13"/>
        <v>24136.96</v>
      </c>
      <c r="N54" s="42"/>
      <c r="O54" s="43">
        <f t="shared" ref="O54:P54" si="14">SUM(O4:O44)</f>
        <v>706.2</v>
      </c>
      <c r="P54" s="43">
        <f t="shared" si="14"/>
        <v>706.2</v>
      </c>
      <c r="Q54" s="42"/>
      <c r="R54" s="43">
        <f t="shared" ref="R54:S54" si="15">SUM(R4:R44)</f>
        <v>120.64</v>
      </c>
      <c r="S54" s="43">
        <f t="shared" si="15"/>
        <v>120.64</v>
      </c>
      <c r="T54" s="42"/>
      <c r="U54" s="43">
        <f t="shared" ref="U54:V54" si="16">SUM(U4:U44)</f>
        <v>223.08</v>
      </c>
      <c r="V54" s="43">
        <f t="shared" si="16"/>
        <v>101.4</v>
      </c>
      <c r="W54" s="42"/>
      <c r="X54" s="43">
        <f t="shared" ref="X54:Y54" si="17">SUM(X4:X44)</f>
        <v>1530.48</v>
      </c>
      <c r="Y54" s="43">
        <f t="shared" si="17"/>
        <v>674.14</v>
      </c>
      <c r="Z54" s="42"/>
      <c r="AA54" s="43">
        <f t="shared" ref="AA54:AC54" si="18">SUM(AA4:AA44)</f>
        <v>0</v>
      </c>
      <c r="AB54" s="43">
        <f t="shared" si="18"/>
        <v>0</v>
      </c>
      <c r="AC54" s="43">
        <f t="shared" si="18"/>
        <v>4489.01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30</v>
      </c>
      <c r="B4" s="61" t="s">
        <v>31</v>
      </c>
      <c r="C4" s="71"/>
      <c r="D4" s="71"/>
      <c r="E4" s="16"/>
      <c r="F4" s="17">
        <f t="shared" ref="F4:F53" si="1">PRODUCT(E4)*214.22</f>
        <v>0</v>
      </c>
      <c r="G4" s="47"/>
      <c r="H4" s="16"/>
      <c r="I4" s="17">
        <f t="shared" ref="I4:I40" si="2">PRODUCT(H4)*316.77</f>
        <v>0</v>
      </c>
      <c r="J4" s="17"/>
      <c r="K4" s="16"/>
      <c r="L4" s="17">
        <f t="shared" ref="L4:L34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29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21">
        <f t="shared" ref="AC4:AC5" si="9">SUM(F4+I4+L4+O4+R4)</f>
        <v>0</v>
      </c>
      <c r="AD4" s="26"/>
      <c r="AE4" s="23"/>
    </row>
    <row r="5">
      <c r="A5" s="61" t="s">
        <v>43</v>
      </c>
      <c r="B5" s="61" t="s">
        <v>44</v>
      </c>
      <c r="C5" s="62"/>
      <c r="D5" s="62"/>
      <c r="E5" s="16"/>
      <c r="F5" s="17">
        <f t="shared" si="1"/>
        <v>0</v>
      </c>
      <c r="G5" s="17"/>
      <c r="H5" s="16"/>
      <c r="I5" s="17">
        <f t="shared" si="2"/>
        <v>0</v>
      </c>
      <c r="J5" s="47"/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16"/>
      <c r="X5" s="17">
        <f t="shared" si="7"/>
        <v>0</v>
      </c>
      <c r="Y5" s="17"/>
      <c r="Z5" s="20"/>
      <c r="AA5" s="17">
        <f t="shared" si="8"/>
        <v>0</v>
      </c>
      <c r="AB5" s="17"/>
      <c r="AC5" s="21">
        <f t="shared" si="9"/>
        <v>0</v>
      </c>
      <c r="AD5" s="26"/>
      <c r="AE5" s="24"/>
    </row>
    <row r="6">
      <c r="A6" s="61" t="s">
        <v>61</v>
      </c>
      <c r="B6" s="61" t="s">
        <v>62</v>
      </c>
      <c r="C6" s="71">
        <v>45383.0</v>
      </c>
      <c r="D6" s="62">
        <v>45385.0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3.0</v>
      </c>
      <c r="O6" s="17">
        <f t="shared" si="4"/>
        <v>176.55</v>
      </c>
      <c r="P6" s="47">
        <v>176.55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50">
        <v>45389.0</v>
      </c>
      <c r="AE6" s="24"/>
    </row>
    <row r="7">
      <c r="A7" s="61" t="s">
        <v>180</v>
      </c>
      <c r="B7" s="61" t="s">
        <v>40</v>
      </c>
      <c r="C7" s="62"/>
      <c r="D7" s="62"/>
      <c r="E7" s="57"/>
      <c r="F7" s="17">
        <f t="shared" si="1"/>
        <v>0</v>
      </c>
      <c r="G7" s="17"/>
      <c r="H7" s="57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21">
        <f t="shared" ref="AC7:AC9" si="10">SUM(F7+I7+L7+O7+R7)</f>
        <v>0</v>
      </c>
      <c r="AD7" s="26"/>
      <c r="AE7" s="24"/>
    </row>
    <row r="8">
      <c r="A8" s="61" t="s">
        <v>181</v>
      </c>
      <c r="B8" s="61" t="s">
        <v>182</v>
      </c>
      <c r="C8" s="71"/>
      <c r="D8" s="62"/>
      <c r="E8" s="57"/>
      <c r="F8" s="17">
        <f t="shared" si="1"/>
        <v>0</v>
      </c>
      <c r="G8" s="17"/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21">
        <f t="shared" si="10"/>
        <v>0</v>
      </c>
      <c r="AD8" s="22"/>
      <c r="AE8" s="23"/>
    </row>
    <row r="9">
      <c r="A9" s="58" t="s">
        <v>39</v>
      </c>
      <c r="B9" s="58" t="s">
        <v>40</v>
      </c>
      <c r="C9" s="71"/>
      <c r="D9" s="71"/>
      <c r="E9" s="16"/>
      <c r="F9" s="17">
        <f t="shared" si="1"/>
        <v>0</v>
      </c>
      <c r="G9" s="17"/>
      <c r="H9" s="57"/>
      <c r="I9" s="17">
        <f t="shared" si="2"/>
        <v>0</v>
      </c>
      <c r="J9" s="17"/>
      <c r="K9" s="16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16"/>
      <c r="X9" s="17">
        <f t="shared" si="7"/>
        <v>0</v>
      </c>
      <c r="Y9" s="17"/>
      <c r="Z9" s="20"/>
      <c r="AA9" s="17">
        <f t="shared" si="8"/>
        <v>0</v>
      </c>
      <c r="AB9" s="17"/>
      <c r="AC9" s="21">
        <f t="shared" si="10"/>
        <v>0</v>
      </c>
      <c r="AD9" s="45"/>
      <c r="AE9" s="23"/>
    </row>
    <row r="10">
      <c r="A10" s="58" t="s">
        <v>183</v>
      </c>
      <c r="B10" s="58" t="s">
        <v>184</v>
      </c>
      <c r="C10" s="71"/>
      <c r="D10" s="71"/>
      <c r="E10" s="57"/>
      <c r="F10" s="17">
        <f t="shared" si="1"/>
        <v>0</v>
      </c>
      <c r="G10" s="17"/>
      <c r="H10" s="16"/>
      <c r="I10" s="17">
        <f t="shared" si="2"/>
        <v>0</v>
      </c>
      <c r="J10" s="17"/>
      <c r="K10" s="16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16"/>
      <c r="X10" s="17">
        <f t="shared" si="7"/>
        <v>0</v>
      </c>
      <c r="Y10" s="17"/>
      <c r="Z10" s="20"/>
      <c r="AA10" s="17">
        <f t="shared" si="8"/>
        <v>0</v>
      </c>
      <c r="AB10" s="50"/>
      <c r="AC10" s="48">
        <v>0.0</v>
      </c>
      <c r="AD10" s="50"/>
      <c r="AE10" s="23"/>
    </row>
    <row r="11">
      <c r="A11" s="58" t="s">
        <v>65</v>
      </c>
      <c r="B11" s="58" t="s">
        <v>168</v>
      </c>
      <c r="C11" s="71">
        <v>45380.0</v>
      </c>
      <c r="D11" s="62">
        <v>45382.0</v>
      </c>
      <c r="E11" s="16"/>
      <c r="F11" s="17">
        <f t="shared" si="1"/>
        <v>0</v>
      </c>
      <c r="G11" s="17"/>
      <c r="H11" s="57">
        <v>3.0</v>
      </c>
      <c r="I11" s="17">
        <f t="shared" si="2"/>
        <v>950.31</v>
      </c>
      <c r="J11" s="47">
        <v>950.31</v>
      </c>
      <c r="K11" s="57">
        <v>4.0</v>
      </c>
      <c r="L11" s="17">
        <f t="shared" si="3"/>
        <v>754.28</v>
      </c>
      <c r="M11" s="4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>
        <v>18.0</v>
      </c>
      <c r="X11" s="66">
        <f t="shared" si="7"/>
        <v>327.96</v>
      </c>
      <c r="Y11" s="47" t="s">
        <v>205</v>
      </c>
      <c r="Z11" s="20"/>
      <c r="AA11" s="17">
        <f t="shared" si="8"/>
        <v>0</v>
      </c>
      <c r="AB11" s="17"/>
      <c r="AC11" s="21">
        <f>SUM(F11+I11+L11+O11+R11)</f>
        <v>1704.59</v>
      </c>
      <c r="AD11" s="22"/>
      <c r="AE11" s="23"/>
    </row>
    <row r="12">
      <c r="A12" s="58" t="s">
        <v>153</v>
      </c>
      <c r="B12" s="58" t="s">
        <v>154</v>
      </c>
      <c r="C12" s="71">
        <v>45383.0</v>
      </c>
      <c r="D12" s="62">
        <v>45386.0</v>
      </c>
      <c r="E12" s="16"/>
      <c r="F12" s="17">
        <f t="shared" si="1"/>
        <v>0</v>
      </c>
      <c r="G12" s="17"/>
      <c r="H12" s="57"/>
      <c r="I12" s="17">
        <f t="shared" si="2"/>
        <v>0</v>
      </c>
      <c r="J12" s="47"/>
      <c r="K12" s="57">
        <v>4.0</v>
      </c>
      <c r="L12" s="17">
        <f t="shared" si="3"/>
        <v>754.28</v>
      </c>
      <c r="M12" s="47">
        <v>754.28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16"/>
      <c r="U12" s="17">
        <f t="shared" si="6"/>
        <v>0</v>
      </c>
      <c r="V12" s="17"/>
      <c r="W12" s="57">
        <v>9.0</v>
      </c>
      <c r="X12" s="17">
        <f t="shared" si="7"/>
        <v>163.98</v>
      </c>
      <c r="Y12" s="47">
        <v>163.98</v>
      </c>
      <c r="Z12" s="63"/>
      <c r="AA12" s="17">
        <f t="shared" si="8"/>
        <v>0</v>
      </c>
      <c r="AB12" s="17"/>
      <c r="AC12" s="48">
        <v>0.0</v>
      </c>
      <c r="AD12" s="49">
        <v>45389.0</v>
      </c>
      <c r="AE12" s="89"/>
    </row>
    <row r="13">
      <c r="A13" s="58" t="s">
        <v>156</v>
      </c>
      <c r="B13" s="58" t="s">
        <v>157</v>
      </c>
      <c r="C13" s="62">
        <v>45379.0</v>
      </c>
      <c r="D13" s="62">
        <v>45386.0</v>
      </c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>
        <v>7.0</v>
      </c>
      <c r="L13" s="17">
        <f t="shared" si="3"/>
        <v>1319.99</v>
      </c>
      <c r="M13" s="47">
        <v>1131.42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16"/>
      <c r="U13" s="17">
        <f t="shared" si="6"/>
        <v>0</v>
      </c>
      <c r="V13" s="17"/>
      <c r="W13" s="57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>
        <v>45389.0</v>
      </c>
      <c r="AE13" s="23"/>
    </row>
    <row r="14">
      <c r="A14" s="58" t="s">
        <v>161</v>
      </c>
      <c r="B14" s="58" t="s">
        <v>162</v>
      </c>
      <c r="C14" s="62"/>
      <c r="D14" s="62"/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16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17"/>
      <c r="Z14" s="20"/>
      <c r="AA14" s="17">
        <f t="shared" si="8"/>
        <v>0</v>
      </c>
      <c r="AB14" s="17"/>
      <c r="AC14" s="21">
        <f t="shared" ref="AC14:AC15" si="11">SUM(F14+I14+L14+O14+R14)</f>
        <v>0</v>
      </c>
      <c r="AD14" s="26"/>
      <c r="AE14" s="23"/>
    </row>
    <row r="15">
      <c r="A15" s="58" t="s">
        <v>148</v>
      </c>
      <c r="B15" s="58" t="s">
        <v>149</v>
      </c>
      <c r="C15" s="62"/>
      <c r="D15" s="62"/>
      <c r="E15" s="16"/>
      <c r="F15" s="17">
        <f t="shared" si="1"/>
        <v>0</v>
      </c>
      <c r="G15" s="17"/>
      <c r="H15" s="57"/>
      <c r="I15" s="17">
        <f t="shared" si="2"/>
        <v>0</v>
      </c>
      <c r="J15" s="47"/>
      <c r="K15" s="57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21">
        <f t="shared" si="11"/>
        <v>0</v>
      </c>
      <c r="AD15" s="26"/>
      <c r="AE15" s="23"/>
    </row>
    <row r="16">
      <c r="A16" s="58" t="s">
        <v>155</v>
      </c>
      <c r="B16" s="58" t="s">
        <v>66</v>
      </c>
      <c r="C16" s="62"/>
      <c r="D16" s="62"/>
      <c r="E16" s="16"/>
      <c r="F16" s="17">
        <f t="shared" si="1"/>
        <v>0</v>
      </c>
      <c r="G16" s="17"/>
      <c r="H16" s="57"/>
      <c r="I16" s="17">
        <f t="shared" si="2"/>
        <v>0</v>
      </c>
      <c r="J16" s="17"/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/>
      <c r="AE16" s="23"/>
    </row>
    <row r="17">
      <c r="A17" s="58" t="s">
        <v>115</v>
      </c>
      <c r="B17" s="58" t="s">
        <v>150</v>
      </c>
      <c r="C17" s="62">
        <v>45383.0</v>
      </c>
      <c r="D17" s="62">
        <v>45386.0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4.0</v>
      </c>
      <c r="L17" s="17">
        <f t="shared" si="3"/>
        <v>754.28</v>
      </c>
      <c r="M17" s="47">
        <v>754.28</v>
      </c>
      <c r="N17" s="16"/>
      <c r="O17" s="17">
        <f t="shared" si="4"/>
        <v>0</v>
      </c>
      <c r="P17" s="17"/>
      <c r="Q17" s="16"/>
      <c r="R17" s="17">
        <f t="shared" si="5"/>
        <v>0</v>
      </c>
      <c r="S17" s="17"/>
      <c r="T17" s="57">
        <v>4.0</v>
      </c>
      <c r="U17" s="17">
        <f t="shared" si="6"/>
        <v>20.28</v>
      </c>
      <c r="V17" s="47">
        <v>20.28</v>
      </c>
      <c r="W17" s="16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45389.0</v>
      </c>
      <c r="AE17" s="23"/>
    </row>
    <row r="18">
      <c r="A18" s="58" t="s">
        <v>109</v>
      </c>
      <c r="B18" s="58" t="s">
        <v>206</v>
      </c>
      <c r="C18" s="62">
        <v>45385.0</v>
      </c>
      <c r="D18" s="62">
        <v>45385.0</v>
      </c>
      <c r="E18" s="57">
        <v>1.0</v>
      </c>
      <c r="F18" s="17">
        <f t="shared" si="1"/>
        <v>214.22</v>
      </c>
      <c r="G18" s="47">
        <v>214.22</v>
      </c>
      <c r="H18" s="57"/>
      <c r="I18" s="17">
        <f t="shared" si="2"/>
        <v>0</v>
      </c>
      <c r="J18" s="17"/>
      <c r="K18" s="57"/>
      <c r="L18" s="17">
        <f t="shared" si="3"/>
        <v>0</v>
      </c>
      <c r="M18" s="47"/>
      <c r="N18" s="16"/>
      <c r="O18" s="17">
        <f t="shared" ref="O18:O21" si="12">PRODUCT(N18)*188.57</f>
        <v>0</v>
      </c>
      <c r="P18" s="17"/>
      <c r="Q18" s="16"/>
      <c r="R18" s="17">
        <f t="shared" si="5"/>
        <v>0</v>
      </c>
      <c r="S18" s="17"/>
      <c r="T18" s="57"/>
      <c r="U18" s="17">
        <f t="shared" si="6"/>
        <v>0</v>
      </c>
      <c r="V18" s="17"/>
      <c r="W18" s="16"/>
      <c r="X18" s="17">
        <f t="shared" si="7"/>
        <v>0</v>
      </c>
      <c r="Y18" s="17"/>
      <c r="Z18" s="20"/>
      <c r="AA18" s="17">
        <f t="shared" si="8"/>
        <v>0</v>
      </c>
      <c r="AB18" s="17"/>
      <c r="AC18" s="48">
        <v>0.0</v>
      </c>
      <c r="AD18" s="58" t="s">
        <v>166</v>
      </c>
      <c r="AE18" s="23"/>
    </row>
    <row r="19">
      <c r="A19" s="58" t="s">
        <v>207</v>
      </c>
      <c r="B19" s="58" t="s">
        <v>208</v>
      </c>
      <c r="C19" s="71">
        <v>45384.0</v>
      </c>
      <c r="D19" s="62">
        <v>45385.0</v>
      </c>
      <c r="E19" s="57">
        <v>1.0</v>
      </c>
      <c r="F19" s="17">
        <f t="shared" si="1"/>
        <v>214.22</v>
      </c>
      <c r="G19" s="47">
        <v>214.22</v>
      </c>
      <c r="H19" s="57"/>
      <c r="I19" s="17">
        <f t="shared" si="2"/>
        <v>0</v>
      </c>
      <c r="J19" s="17"/>
      <c r="K19" s="57">
        <v>1.0</v>
      </c>
      <c r="L19" s="17">
        <f t="shared" si="3"/>
        <v>188.57</v>
      </c>
      <c r="M19" s="47">
        <v>188.57</v>
      </c>
      <c r="N19" s="16"/>
      <c r="O19" s="17">
        <f t="shared" si="12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>
        <v>45389.0</v>
      </c>
      <c r="AE19" s="23"/>
    </row>
    <row r="20">
      <c r="A20" s="58" t="s">
        <v>109</v>
      </c>
      <c r="B20" s="58" t="s">
        <v>110</v>
      </c>
      <c r="C20" s="62">
        <v>45362.0</v>
      </c>
      <c r="D20" s="62">
        <v>45371.0</v>
      </c>
      <c r="E20" s="16"/>
      <c r="F20" s="17">
        <f t="shared" si="1"/>
        <v>0</v>
      </c>
      <c r="G20" s="17"/>
      <c r="H20" s="57">
        <v>10.0</v>
      </c>
      <c r="I20" s="17">
        <f t="shared" si="2"/>
        <v>3167.7</v>
      </c>
      <c r="J20" s="47">
        <v>3167.7</v>
      </c>
      <c r="K20" s="57"/>
      <c r="L20" s="17">
        <f t="shared" si="3"/>
        <v>0</v>
      </c>
      <c r="M20" s="47"/>
      <c r="N20" s="16"/>
      <c r="O20" s="17">
        <f t="shared" si="12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>
        <v>45389.0</v>
      </c>
      <c r="AE20" s="23"/>
    </row>
    <row r="21">
      <c r="A21" s="58" t="s">
        <v>53</v>
      </c>
      <c r="B21" s="58" t="s">
        <v>187</v>
      </c>
      <c r="C21" s="62">
        <v>45361.0</v>
      </c>
      <c r="D21" s="62">
        <v>45370.0</v>
      </c>
      <c r="E21" s="16"/>
      <c r="F21" s="17">
        <f t="shared" si="1"/>
        <v>0</v>
      </c>
      <c r="G21" s="17"/>
      <c r="H21" s="57">
        <v>10.0</v>
      </c>
      <c r="I21" s="17">
        <f t="shared" si="2"/>
        <v>3167.7</v>
      </c>
      <c r="J21" s="47">
        <v>3167.7</v>
      </c>
      <c r="K21" s="57">
        <v>10.0</v>
      </c>
      <c r="L21" s="17">
        <f t="shared" si="3"/>
        <v>1885.7</v>
      </c>
      <c r="M21" s="47">
        <v>1885.7</v>
      </c>
      <c r="N21" s="16"/>
      <c r="O21" s="17">
        <f t="shared" si="12"/>
        <v>0</v>
      </c>
      <c r="P21" s="17"/>
      <c r="Q21" s="16"/>
      <c r="R21" s="17">
        <f t="shared" si="5"/>
        <v>0</v>
      </c>
      <c r="S21" s="17"/>
      <c r="T21" s="57"/>
      <c r="U21" s="17">
        <f t="shared" si="6"/>
        <v>0</v>
      </c>
      <c r="V21" s="17"/>
      <c r="W21" s="57">
        <v>27.0</v>
      </c>
      <c r="X21" s="17">
        <f t="shared" si="7"/>
        <v>491.94</v>
      </c>
      <c r="Y21" s="47">
        <v>491.94</v>
      </c>
      <c r="Z21" s="63"/>
      <c r="AA21" s="17">
        <f t="shared" si="8"/>
        <v>0</v>
      </c>
      <c r="AB21" s="17"/>
      <c r="AC21" s="48">
        <v>0.0</v>
      </c>
      <c r="AD21" s="49">
        <v>45389.0</v>
      </c>
      <c r="AE21" s="23"/>
    </row>
    <row r="22">
      <c r="A22" s="58" t="s">
        <v>119</v>
      </c>
      <c r="B22" s="58" t="s">
        <v>128</v>
      </c>
      <c r="C22" s="62">
        <v>45379.0</v>
      </c>
      <c r="D22" s="62">
        <v>45385.0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4.0</v>
      </c>
      <c r="L22" s="17">
        <f t="shared" si="3"/>
        <v>754.28</v>
      </c>
      <c r="M22" s="47"/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16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/>
      <c r="AE22" s="23"/>
    </row>
    <row r="23">
      <c r="A23" s="58" t="s">
        <v>141</v>
      </c>
      <c r="B23" s="58" t="s">
        <v>188</v>
      </c>
      <c r="C23" s="71">
        <v>45381.0</v>
      </c>
      <c r="D23" s="71">
        <v>45385.0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>
        <v>3.0</v>
      </c>
      <c r="L23" s="17">
        <f t="shared" si="3"/>
        <v>565.71</v>
      </c>
      <c r="M23" s="47">
        <v>565.71</v>
      </c>
      <c r="N23" s="57"/>
      <c r="O23" s="17">
        <f t="shared" ref="O23:O53" si="13">PRODUCT(N23)*58.85</f>
        <v>0</v>
      </c>
      <c r="P23" s="17"/>
      <c r="Q23" s="16"/>
      <c r="R23" s="17">
        <f t="shared" si="5"/>
        <v>0</v>
      </c>
      <c r="S23" s="17"/>
      <c r="T23" s="57"/>
      <c r="U23" s="17">
        <f t="shared" si="6"/>
        <v>0</v>
      </c>
      <c r="V23" s="17"/>
      <c r="W23" s="16"/>
      <c r="X23" s="17">
        <f t="shared" si="7"/>
        <v>0</v>
      </c>
      <c r="Y23" s="17"/>
      <c r="Z23" s="20"/>
      <c r="AA23" s="17">
        <f t="shared" si="8"/>
        <v>0</v>
      </c>
      <c r="AB23" s="17"/>
      <c r="AC23" s="48">
        <v>0.0</v>
      </c>
      <c r="AD23" s="49">
        <v>45389.0</v>
      </c>
      <c r="AE23" s="23"/>
    </row>
    <row r="24">
      <c r="A24" s="58" t="s">
        <v>47</v>
      </c>
      <c r="B24" s="58" t="s">
        <v>48</v>
      </c>
      <c r="C24" s="71">
        <v>45381.0</v>
      </c>
      <c r="D24" s="62">
        <v>45386.0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4.0</v>
      </c>
      <c r="L24" s="17">
        <f t="shared" si="3"/>
        <v>754.28</v>
      </c>
      <c r="M24" s="47">
        <v>754.28</v>
      </c>
      <c r="N24" s="16"/>
      <c r="O24" s="17">
        <f t="shared" si="13"/>
        <v>0</v>
      </c>
      <c r="P24" s="17"/>
      <c r="Q24" s="16"/>
      <c r="R24" s="17">
        <f t="shared" si="5"/>
        <v>0</v>
      </c>
      <c r="S24" s="17"/>
      <c r="T24" s="57">
        <v>20.0</v>
      </c>
      <c r="U24" s="17">
        <f t="shared" si="6"/>
        <v>101.4</v>
      </c>
      <c r="V24" s="47">
        <v>101.4</v>
      </c>
      <c r="W24" s="16"/>
      <c r="X24" s="17">
        <f t="shared" si="7"/>
        <v>0</v>
      </c>
      <c r="Y24" s="17"/>
      <c r="Z24" s="63"/>
      <c r="AA24" s="17">
        <f t="shared" si="8"/>
        <v>0</v>
      </c>
      <c r="AB24" s="17"/>
      <c r="AC24" s="48">
        <v>0.0</v>
      </c>
      <c r="AD24" s="50">
        <v>45389.0</v>
      </c>
      <c r="AE24" s="23"/>
    </row>
    <row r="25">
      <c r="A25" s="95" t="s">
        <v>49</v>
      </c>
      <c r="B25" s="96" t="s">
        <v>50</v>
      </c>
      <c r="C25" s="62">
        <v>45383.0</v>
      </c>
      <c r="D25" s="62">
        <v>45386.0</v>
      </c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>
        <v>4.0</v>
      </c>
      <c r="L25" s="17">
        <f t="shared" si="3"/>
        <v>754.28</v>
      </c>
      <c r="M25" s="47">
        <v>754.28</v>
      </c>
      <c r="N25" s="16"/>
      <c r="O25" s="17">
        <f t="shared" si="13"/>
        <v>0</v>
      </c>
      <c r="P25" s="17"/>
      <c r="Q25" s="16"/>
      <c r="R25" s="17">
        <f t="shared" si="5"/>
        <v>0</v>
      </c>
      <c r="S25" s="17"/>
      <c r="T25" s="57">
        <v>24.0</v>
      </c>
      <c r="U25" s="17">
        <f t="shared" si="6"/>
        <v>121.68</v>
      </c>
      <c r="V25" s="47">
        <v>121.68</v>
      </c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48">
        <v>0.0</v>
      </c>
      <c r="AD25" s="50">
        <v>45389.0</v>
      </c>
      <c r="AE25" s="23"/>
    </row>
    <row r="26">
      <c r="A26" s="58" t="s">
        <v>69</v>
      </c>
      <c r="B26" s="58" t="s">
        <v>129</v>
      </c>
      <c r="C26" s="62">
        <v>45383.0</v>
      </c>
      <c r="D26" s="62">
        <v>45386.0</v>
      </c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>
        <v>4.0</v>
      </c>
      <c r="L26" s="17">
        <f t="shared" si="3"/>
        <v>754.28</v>
      </c>
      <c r="M26" s="17"/>
      <c r="N26" s="16"/>
      <c r="O26" s="17">
        <f t="shared" si="13"/>
        <v>0</v>
      </c>
      <c r="P26" s="17"/>
      <c r="Q26" s="16"/>
      <c r="R26" s="17">
        <f t="shared" si="5"/>
        <v>0</v>
      </c>
      <c r="S26" s="17"/>
      <c r="T26" s="57">
        <v>20.0</v>
      </c>
      <c r="U26" s="17">
        <f t="shared" si="6"/>
        <v>101.4</v>
      </c>
      <c r="V26" s="47">
        <v>0.0</v>
      </c>
      <c r="W26" s="16"/>
      <c r="X26" s="17">
        <f t="shared" si="7"/>
        <v>0</v>
      </c>
      <c r="Y26" s="17"/>
      <c r="Z26" s="20"/>
      <c r="AA26" s="17">
        <f t="shared" si="8"/>
        <v>0</v>
      </c>
      <c r="AB26" s="17"/>
      <c r="AC26" s="48">
        <v>0.0</v>
      </c>
      <c r="AD26" s="50">
        <v>45389.0</v>
      </c>
      <c r="AE26" s="23"/>
    </row>
    <row r="27" ht="15.75" customHeight="1">
      <c r="A27" s="58" t="s">
        <v>79</v>
      </c>
      <c r="B27" s="58" t="s">
        <v>80</v>
      </c>
      <c r="C27" s="62">
        <v>45384.0</v>
      </c>
      <c r="D27" s="62">
        <v>45385.0</v>
      </c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>
        <v>2.0</v>
      </c>
      <c r="L27" s="17">
        <f t="shared" si="3"/>
        <v>377.14</v>
      </c>
      <c r="M27" s="47">
        <v>377.14</v>
      </c>
      <c r="N27" s="16"/>
      <c r="O27" s="17">
        <f t="shared" si="13"/>
        <v>0</v>
      </c>
      <c r="P27" s="17"/>
      <c r="Q27" s="16"/>
      <c r="R27" s="17">
        <f t="shared" si="5"/>
        <v>0</v>
      </c>
      <c r="S27" s="17"/>
      <c r="T27" s="16"/>
      <c r="U27" s="17">
        <f t="shared" si="6"/>
        <v>0</v>
      </c>
      <c r="V27" s="17"/>
      <c r="W27" s="16"/>
      <c r="X27" s="17">
        <f t="shared" si="7"/>
        <v>0</v>
      </c>
      <c r="Y27" s="17"/>
      <c r="Z27" s="20"/>
      <c r="AA27" s="17">
        <f t="shared" si="8"/>
        <v>0</v>
      </c>
      <c r="AB27" s="17"/>
      <c r="AC27" s="48">
        <v>0.0</v>
      </c>
      <c r="AD27" s="50">
        <v>45389.0</v>
      </c>
      <c r="AE27" s="23"/>
    </row>
    <row r="28" ht="15.75" customHeight="1">
      <c r="A28" s="58" t="s">
        <v>71</v>
      </c>
      <c r="B28" s="58" t="s">
        <v>96</v>
      </c>
      <c r="C28" s="62">
        <v>45383.0</v>
      </c>
      <c r="D28" s="62">
        <v>45386.0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2.0</v>
      </c>
      <c r="L28" s="17">
        <f t="shared" si="3"/>
        <v>377.14</v>
      </c>
      <c r="M28" s="47">
        <v>377.14</v>
      </c>
      <c r="N28" s="16"/>
      <c r="O28" s="17">
        <f t="shared" si="13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/>
      <c r="AA28" s="17">
        <f t="shared" si="8"/>
        <v>0</v>
      </c>
      <c r="AB28" s="17"/>
      <c r="AC28" s="48">
        <v>0.0</v>
      </c>
      <c r="AD28" s="50">
        <v>45389.0</v>
      </c>
      <c r="AE28" s="23"/>
    </row>
    <row r="29" ht="15.75" customHeight="1">
      <c r="A29" s="58" t="s">
        <v>99</v>
      </c>
      <c r="B29" s="58" t="s">
        <v>100</v>
      </c>
      <c r="C29" s="62">
        <v>45383.0</v>
      </c>
      <c r="D29" s="62">
        <v>45386.0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>
        <v>4.0</v>
      </c>
      <c r="L29" s="17">
        <f t="shared" si="3"/>
        <v>754.28</v>
      </c>
      <c r="M29" s="17"/>
      <c r="N29" s="16"/>
      <c r="O29" s="17">
        <f t="shared" si="13"/>
        <v>0</v>
      </c>
      <c r="P29" s="17"/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21">
        <f>SUM(F29+I29+L29+O29+R29)</f>
        <v>754.28</v>
      </c>
      <c r="AD29" s="22"/>
      <c r="AE29" s="23"/>
    </row>
    <row r="30" ht="15.75" customHeight="1">
      <c r="A30" s="58" t="s">
        <v>163</v>
      </c>
      <c r="B30" s="58" t="s">
        <v>164</v>
      </c>
      <c r="C30" s="62">
        <v>45381.0</v>
      </c>
      <c r="D30" s="62">
        <v>45386.0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3.0</v>
      </c>
      <c r="L30" s="17">
        <f t="shared" si="3"/>
        <v>565.71</v>
      </c>
      <c r="M30" s="47">
        <v>565.71</v>
      </c>
      <c r="N30" s="28"/>
      <c r="O30" s="17">
        <f t="shared" si="13"/>
        <v>0</v>
      </c>
      <c r="P30" s="17"/>
      <c r="Q30" s="60"/>
      <c r="R30" s="47">
        <v>0.0</v>
      </c>
      <c r="S30" s="17"/>
      <c r="T30" s="60">
        <v>8.0</v>
      </c>
      <c r="U30" s="17">
        <f t="shared" si="6"/>
        <v>40.56</v>
      </c>
      <c r="V30" s="47">
        <v>40.56</v>
      </c>
      <c r="W30" s="28"/>
      <c r="X30" s="17">
        <f t="shared" si="7"/>
        <v>0</v>
      </c>
      <c r="Y30" s="17"/>
      <c r="Z30" s="63"/>
      <c r="AA30" s="17">
        <f t="shared" si="8"/>
        <v>0</v>
      </c>
      <c r="AB30" s="17"/>
      <c r="AC30" s="48">
        <v>0.0</v>
      </c>
      <c r="AD30" s="49">
        <v>45389.0</v>
      </c>
      <c r="AE30" s="23"/>
    </row>
    <row r="31" ht="15.75" customHeight="1">
      <c r="A31" s="58" t="s">
        <v>65</v>
      </c>
      <c r="B31" s="58" t="s">
        <v>160</v>
      </c>
      <c r="C31" s="62">
        <v>45383.0</v>
      </c>
      <c r="D31" s="62">
        <v>45386.0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4.0</v>
      </c>
      <c r="L31" s="17">
        <f t="shared" si="3"/>
        <v>754.28</v>
      </c>
      <c r="M31" s="47">
        <v>754.28</v>
      </c>
      <c r="N31" s="28"/>
      <c r="O31" s="17">
        <f t="shared" si="13"/>
        <v>0</v>
      </c>
      <c r="P31" s="17"/>
      <c r="Q31" s="28"/>
      <c r="R31" s="17">
        <f t="shared" ref="R31:R53" si="14">PRODUCT(Q31)*30.16</f>
        <v>0</v>
      </c>
      <c r="S31" s="17"/>
      <c r="T31" s="28"/>
      <c r="U31" s="17">
        <f t="shared" si="6"/>
        <v>0</v>
      </c>
      <c r="V31" s="17"/>
      <c r="W31" s="28"/>
      <c r="X31" s="17">
        <f t="shared" si="7"/>
        <v>0</v>
      </c>
      <c r="Y31" s="17"/>
      <c r="Z31" s="20"/>
      <c r="AA31" s="17">
        <f t="shared" si="8"/>
        <v>0</v>
      </c>
      <c r="AB31" s="50"/>
      <c r="AC31" s="48">
        <v>0.0</v>
      </c>
      <c r="AD31" s="50">
        <v>45389.0</v>
      </c>
      <c r="AE31" s="23"/>
    </row>
    <row r="32" ht="15.75" customHeight="1">
      <c r="A32" s="58" t="s">
        <v>57</v>
      </c>
      <c r="B32" s="58" t="s">
        <v>58</v>
      </c>
      <c r="C32" s="62">
        <v>45383.0</v>
      </c>
      <c r="D32" s="62">
        <v>45386.0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4.0</v>
      </c>
      <c r="L32" s="17">
        <f t="shared" si="3"/>
        <v>754.28</v>
      </c>
      <c r="M32" s="47">
        <v>754.28</v>
      </c>
      <c r="N32" s="28"/>
      <c r="O32" s="17">
        <f t="shared" si="13"/>
        <v>0</v>
      </c>
      <c r="P32" s="17"/>
      <c r="Q32" s="28"/>
      <c r="R32" s="17">
        <f t="shared" si="14"/>
        <v>0</v>
      </c>
      <c r="S32" s="17"/>
      <c r="T32" s="28"/>
      <c r="U32" s="17">
        <f t="shared" si="6"/>
        <v>0</v>
      </c>
      <c r="V32" s="17"/>
      <c r="W32" s="28"/>
      <c r="X32" s="17">
        <f t="shared" si="7"/>
        <v>0</v>
      </c>
      <c r="Y32" s="17"/>
      <c r="Z32" s="20"/>
      <c r="AA32" s="17">
        <f t="shared" si="8"/>
        <v>0</v>
      </c>
      <c r="AB32" s="17"/>
      <c r="AC32" s="48">
        <v>0.0</v>
      </c>
      <c r="AD32" s="49">
        <v>45389.0</v>
      </c>
      <c r="AE32" s="23"/>
    </row>
    <row r="33" ht="15.75" customHeight="1">
      <c r="A33" s="58" t="s">
        <v>121</v>
      </c>
      <c r="B33" s="58" t="s">
        <v>100</v>
      </c>
      <c r="C33" s="62">
        <v>45381.0</v>
      </c>
      <c r="D33" s="62">
        <v>45385.0</v>
      </c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>
        <v>4.0</v>
      </c>
      <c r="L33" s="17">
        <f t="shared" si="3"/>
        <v>754.28</v>
      </c>
      <c r="M33" s="47">
        <v>754.28</v>
      </c>
      <c r="N33" s="28"/>
      <c r="O33" s="17">
        <f t="shared" si="13"/>
        <v>0</v>
      </c>
      <c r="P33" s="17"/>
      <c r="Q33" s="28"/>
      <c r="R33" s="17">
        <f t="shared" si="14"/>
        <v>0</v>
      </c>
      <c r="S33" s="17"/>
      <c r="T33" s="28"/>
      <c r="U33" s="17">
        <f t="shared" si="6"/>
        <v>0</v>
      </c>
      <c r="V33" s="17"/>
      <c r="W33" s="28"/>
      <c r="X33" s="17">
        <f t="shared" si="7"/>
        <v>0</v>
      </c>
      <c r="Y33" s="17"/>
      <c r="Z33" s="63"/>
      <c r="AA33" s="17">
        <f t="shared" si="8"/>
        <v>0</v>
      </c>
      <c r="AB33" s="17"/>
      <c r="AC33" s="48">
        <v>0.0</v>
      </c>
      <c r="AD33" s="49">
        <v>45389.0</v>
      </c>
      <c r="AE33" s="23"/>
    </row>
    <row r="34" ht="15.75" customHeight="1">
      <c r="A34" s="58" t="s">
        <v>115</v>
      </c>
      <c r="B34" s="58" t="s">
        <v>116</v>
      </c>
      <c r="C34" s="62">
        <v>45383.0</v>
      </c>
      <c r="D34" s="62">
        <v>45386.0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3"/>
        <v>0</v>
      </c>
      <c r="P34" s="17"/>
      <c r="Q34" s="28"/>
      <c r="R34" s="17">
        <f t="shared" si="14"/>
        <v>0</v>
      </c>
      <c r="S34" s="17"/>
      <c r="T34" s="60">
        <v>20.0</v>
      </c>
      <c r="U34" s="17">
        <f t="shared" si="6"/>
        <v>101.4</v>
      </c>
      <c r="V34" s="47">
        <v>40.56</v>
      </c>
      <c r="W34" s="28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45389.0</v>
      </c>
      <c r="AE34" s="23"/>
    </row>
    <row r="35" ht="15.75" customHeight="1">
      <c r="A35" s="58" t="s">
        <v>170</v>
      </c>
      <c r="B35" s="58" t="s">
        <v>171</v>
      </c>
      <c r="C35" s="62"/>
      <c r="D35" s="62"/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/>
      <c r="L35" s="17"/>
      <c r="M35" s="47"/>
      <c r="N35" s="28"/>
      <c r="O35" s="17">
        <f t="shared" si="13"/>
        <v>0</v>
      </c>
      <c r="P35" s="17"/>
      <c r="Q35" s="28"/>
      <c r="R35" s="17">
        <f t="shared" si="14"/>
        <v>0</v>
      </c>
      <c r="S35" s="17"/>
      <c r="T35" s="28"/>
      <c r="U35" s="17">
        <f t="shared" si="6"/>
        <v>0</v>
      </c>
      <c r="V35" s="17"/>
      <c r="W35" s="28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/>
      <c r="AE35" s="23"/>
    </row>
    <row r="36" ht="15.75" customHeight="1">
      <c r="A36" s="58" t="s">
        <v>67</v>
      </c>
      <c r="B36" s="58" t="s">
        <v>68</v>
      </c>
      <c r="C36" s="71">
        <v>45379.0</v>
      </c>
      <c r="D36" s="62">
        <v>45385.0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5.0</v>
      </c>
      <c r="L36" s="17">
        <f t="shared" ref="L36:L46" si="15">PRODUCT(K36)*188.57</f>
        <v>942.85</v>
      </c>
      <c r="M36" s="47">
        <v>754.28</v>
      </c>
      <c r="N36" s="60"/>
      <c r="O36" s="17">
        <f t="shared" si="13"/>
        <v>0</v>
      </c>
      <c r="P36" s="17"/>
      <c r="Q36" s="28"/>
      <c r="R36" s="17">
        <f t="shared" si="14"/>
        <v>0</v>
      </c>
      <c r="S36" s="17"/>
      <c r="T36" s="60">
        <v>8.0</v>
      </c>
      <c r="U36" s="17">
        <f t="shared" si="6"/>
        <v>40.56</v>
      </c>
      <c r="V36" s="17"/>
      <c r="W36" s="60"/>
      <c r="X36" s="17">
        <f t="shared" si="7"/>
        <v>0</v>
      </c>
      <c r="Y36" s="17"/>
      <c r="Z36" s="63"/>
      <c r="AA36" s="17">
        <f t="shared" si="8"/>
        <v>0</v>
      </c>
      <c r="AB36" s="17"/>
      <c r="AC36" s="48">
        <v>0.0</v>
      </c>
      <c r="AD36" s="49"/>
      <c r="AE36" s="23"/>
    </row>
    <row r="37" ht="15.75" customHeight="1">
      <c r="A37" s="58" t="s">
        <v>82</v>
      </c>
      <c r="B37" s="58" t="s">
        <v>83</v>
      </c>
      <c r="C37" s="71">
        <v>45379.0</v>
      </c>
      <c r="D37" s="62">
        <v>45386.0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5.0</v>
      </c>
      <c r="L37" s="17">
        <f t="shared" si="15"/>
        <v>942.85</v>
      </c>
      <c r="M37" s="47">
        <v>942.85</v>
      </c>
      <c r="N37" s="28"/>
      <c r="O37" s="17">
        <f t="shared" si="13"/>
        <v>0</v>
      </c>
      <c r="P37" s="17"/>
      <c r="Q37" s="28"/>
      <c r="R37" s="17">
        <f t="shared" si="14"/>
        <v>0</v>
      </c>
      <c r="S37" s="17"/>
      <c r="T37" s="28"/>
      <c r="U37" s="17">
        <f t="shared" si="6"/>
        <v>0</v>
      </c>
      <c r="V37" s="17"/>
      <c r="W37" s="28"/>
      <c r="X37" s="17">
        <f t="shared" si="7"/>
        <v>0</v>
      </c>
      <c r="Y37" s="17"/>
      <c r="Z37" s="63"/>
      <c r="AA37" s="17">
        <f t="shared" si="8"/>
        <v>0</v>
      </c>
      <c r="AB37" s="17"/>
      <c r="AC37" s="48">
        <v>0.0</v>
      </c>
      <c r="AD37" s="50">
        <v>45389.0</v>
      </c>
      <c r="AE37" s="23"/>
    </row>
    <row r="38" ht="15.75" customHeight="1">
      <c r="A38" s="58" t="s">
        <v>47</v>
      </c>
      <c r="B38" s="58" t="s">
        <v>84</v>
      </c>
      <c r="C38" s="71">
        <v>45379.0</v>
      </c>
      <c r="D38" s="62">
        <v>45385.0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4.0</v>
      </c>
      <c r="L38" s="17">
        <f t="shared" si="15"/>
        <v>754.28</v>
      </c>
      <c r="M38" s="47">
        <v>754.28</v>
      </c>
      <c r="N38" s="28"/>
      <c r="O38" s="17">
        <f t="shared" si="13"/>
        <v>0</v>
      </c>
      <c r="P38" s="17"/>
      <c r="Q38" s="28"/>
      <c r="R38" s="17">
        <f t="shared" si="14"/>
        <v>0</v>
      </c>
      <c r="S38" s="17"/>
      <c r="T38" s="60">
        <v>4.0</v>
      </c>
      <c r="U38" s="17">
        <f t="shared" si="6"/>
        <v>20.28</v>
      </c>
      <c r="V38" s="47">
        <v>20.28</v>
      </c>
      <c r="W38" s="60"/>
      <c r="X38" s="17">
        <f t="shared" si="7"/>
        <v>0</v>
      </c>
      <c r="Y38" s="17"/>
      <c r="Z38" s="20"/>
      <c r="AA38" s="17">
        <f t="shared" si="8"/>
        <v>0</v>
      </c>
      <c r="AB38" s="17"/>
      <c r="AC38" s="48">
        <v>0.0</v>
      </c>
      <c r="AD38" s="50">
        <v>45389.0</v>
      </c>
      <c r="AE38" s="23"/>
    </row>
    <row r="39" ht="15.75" customHeight="1">
      <c r="A39" s="58" t="s">
        <v>69</v>
      </c>
      <c r="B39" s="58" t="s">
        <v>70</v>
      </c>
      <c r="C39" s="71">
        <v>45379.0</v>
      </c>
      <c r="D39" s="62">
        <v>45386.0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5.0</v>
      </c>
      <c r="L39" s="17">
        <f t="shared" si="15"/>
        <v>942.85</v>
      </c>
      <c r="M39" s="47">
        <v>942.85</v>
      </c>
      <c r="N39" s="28"/>
      <c r="O39" s="17">
        <f t="shared" si="13"/>
        <v>0</v>
      </c>
      <c r="P39" s="17"/>
      <c r="Q39" s="28"/>
      <c r="R39" s="17">
        <f t="shared" si="14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45389.0</v>
      </c>
      <c r="AE39" s="23"/>
    </row>
    <row r="40" ht="15.75" customHeight="1">
      <c r="A40" s="58" t="s">
        <v>209</v>
      </c>
      <c r="B40" s="58" t="s">
        <v>210</v>
      </c>
      <c r="C40" s="71">
        <v>45379.0</v>
      </c>
      <c r="D40" s="71">
        <v>45379.0</v>
      </c>
      <c r="E40" s="60">
        <v>1.0</v>
      </c>
      <c r="F40" s="17">
        <f t="shared" si="1"/>
        <v>214.22</v>
      </c>
      <c r="G40" s="17"/>
      <c r="H40" s="28"/>
      <c r="I40" s="17">
        <f t="shared" si="2"/>
        <v>0</v>
      </c>
      <c r="J40" s="17"/>
      <c r="K40" s="57">
        <v>2.0</v>
      </c>
      <c r="L40" s="17">
        <f t="shared" si="15"/>
        <v>377.14</v>
      </c>
      <c r="M40" s="17"/>
      <c r="N40" s="60"/>
      <c r="O40" s="17">
        <f t="shared" si="13"/>
        <v>0</v>
      </c>
      <c r="P40" s="47"/>
      <c r="Q40" s="28"/>
      <c r="R40" s="17">
        <f t="shared" si="14"/>
        <v>0</v>
      </c>
      <c r="S40" s="17"/>
      <c r="T40" s="60"/>
      <c r="U40" s="17">
        <f t="shared" si="6"/>
        <v>0</v>
      </c>
      <c r="V40" s="47"/>
      <c r="W40" s="28"/>
      <c r="X40" s="17">
        <f t="shared" si="7"/>
        <v>0</v>
      </c>
      <c r="Y40" s="17"/>
      <c r="Z40" s="20"/>
      <c r="AA40" s="17">
        <f t="shared" si="8"/>
        <v>0</v>
      </c>
      <c r="AB40" s="50"/>
      <c r="AC40" s="21">
        <f>SUM(F40+I41+L40+O40+R40)</f>
        <v>591.36</v>
      </c>
      <c r="AD40" s="50"/>
      <c r="AE40" s="23"/>
      <c r="AF40" s="31"/>
    </row>
    <row r="41" ht="15.75" customHeight="1">
      <c r="A41" s="58" t="s">
        <v>95</v>
      </c>
      <c r="B41" s="58" t="s">
        <v>58</v>
      </c>
      <c r="C41" s="71">
        <v>45383.0</v>
      </c>
      <c r="D41" s="62">
        <v>45386.0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4.0</v>
      </c>
      <c r="L41" s="17">
        <f t="shared" si="15"/>
        <v>754.28</v>
      </c>
      <c r="M41" s="47">
        <v>754.28</v>
      </c>
      <c r="N41" s="28"/>
      <c r="O41" s="17">
        <f t="shared" si="13"/>
        <v>0</v>
      </c>
      <c r="P41" s="17"/>
      <c r="Q41" s="28"/>
      <c r="R41" s="97">
        <f t="shared" si="14"/>
        <v>0</v>
      </c>
      <c r="S41" s="17"/>
      <c r="T41" s="60">
        <v>8.0</v>
      </c>
      <c r="U41" s="17">
        <f t="shared" si="6"/>
        <v>40.56</v>
      </c>
      <c r="V41" s="47">
        <v>40.56</v>
      </c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45389.0</v>
      </c>
      <c r="AE41" s="23"/>
    </row>
    <row r="42" ht="15.75" customHeight="1">
      <c r="A42" s="58" t="s">
        <v>161</v>
      </c>
      <c r="B42" s="58" t="s">
        <v>176</v>
      </c>
      <c r="C42" s="71">
        <v>45384.0</v>
      </c>
      <c r="D42" s="62">
        <v>45386.0</v>
      </c>
      <c r="E42" s="60"/>
      <c r="F42" s="17">
        <f t="shared" si="1"/>
        <v>0</v>
      </c>
      <c r="G42" s="17"/>
      <c r="H42" s="28"/>
      <c r="I42" s="17">
        <f t="shared" ref="I42:I53" si="16">PRODUCT(H42)*316.77</f>
        <v>0</v>
      </c>
      <c r="J42" s="17"/>
      <c r="K42" s="57">
        <v>3.0</v>
      </c>
      <c r="L42" s="17">
        <f t="shared" si="15"/>
        <v>565.71</v>
      </c>
      <c r="M42" s="47">
        <v>565.71</v>
      </c>
      <c r="N42" s="28"/>
      <c r="O42" s="17">
        <f t="shared" si="13"/>
        <v>0</v>
      </c>
      <c r="P42" s="17"/>
      <c r="Q42" s="28"/>
      <c r="R42" s="97">
        <f t="shared" si="14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20"/>
      <c r="AA42" s="17">
        <f t="shared" si="8"/>
        <v>0</v>
      </c>
      <c r="AB42" s="17"/>
      <c r="AC42" s="48">
        <v>0.0</v>
      </c>
      <c r="AD42" s="49">
        <v>45389.0</v>
      </c>
      <c r="AE42" s="23"/>
    </row>
    <row r="43" ht="15.75" customHeight="1">
      <c r="A43" s="58" t="s">
        <v>174</v>
      </c>
      <c r="B43" s="58" t="s">
        <v>189</v>
      </c>
      <c r="C43" s="71">
        <v>45379.0</v>
      </c>
      <c r="D43" s="62">
        <v>45384.0</v>
      </c>
      <c r="E43" s="60"/>
      <c r="F43" s="17">
        <f t="shared" si="1"/>
        <v>0</v>
      </c>
      <c r="G43" s="17"/>
      <c r="H43" s="28"/>
      <c r="I43" s="17">
        <f t="shared" si="16"/>
        <v>0</v>
      </c>
      <c r="J43" s="17"/>
      <c r="K43" s="57">
        <v>3.0</v>
      </c>
      <c r="L43" s="17">
        <f t="shared" si="15"/>
        <v>565.71</v>
      </c>
      <c r="M43" s="47">
        <v>565.71</v>
      </c>
      <c r="N43" s="28"/>
      <c r="O43" s="17">
        <f t="shared" si="13"/>
        <v>0</v>
      </c>
      <c r="P43" s="17"/>
      <c r="Q43" s="28"/>
      <c r="R43" s="97">
        <f t="shared" si="14"/>
        <v>0</v>
      </c>
      <c r="S43" s="17"/>
      <c r="T43" s="28"/>
      <c r="U43" s="17">
        <f t="shared" si="6"/>
        <v>0</v>
      </c>
      <c r="V43" s="17"/>
      <c r="W43" s="28"/>
      <c r="X43" s="17">
        <f t="shared" si="7"/>
        <v>0</v>
      </c>
      <c r="Y43" s="17"/>
      <c r="Z43" s="20"/>
      <c r="AA43" s="17">
        <f t="shared" si="8"/>
        <v>0</v>
      </c>
      <c r="AB43" s="17"/>
      <c r="AC43" s="48">
        <v>0.0</v>
      </c>
      <c r="AD43" s="49">
        <v>45389.0</v>
      </c>
      <c r="AE43" s="23"/>
    </row>
    <row r="44" ht="15.75" customHeight="1">
      <c r="A44" s="58" t="s">
        <v>136</v>
      </c>
      <c r="B44" s="58" t="s">
        <v>162</v>
      </c>
      <c r="C44" s="71">
        <v>45379.0</v>
      </c>
      <c r="D44" s="62">
        <v>45385.0</v>
      </c>
      <c r="E44" s="60"/>
      <c r="F44" s="17">
        <f t="shared" si="1"/>
        <v>0</v>
      </c>
      <c r="G44" s="17"/>
      <c r="H44" s="28"/>
      <c r="I44" s="17">
        <f t="shared" si="16"/>
        <v>0</v>
      </c>
      <c r="J44" s="17"/>
      <c r="K44" s="57">
        <v>4.0</v>
      </c>
      <c r="L44" s="17">
        <f t="shared" si="15"/>
        <v>754.28</v>
      </c>
      <c r="M44" s="47">
        <v>754.28</v>
      </c>
      <c r="N44" s="28"/>
      <c r="O44" s="17">
        <f t="shared" si="13"/>
        <v>0</v>
      </c>
      <c r="P44" s="17"/>
      <c r="Q44" s="28"/>
      <c r="R44" s="97">
        <f t="shared" si="14"/>
        <v>0</v>
      </c>
      <c r="S44" s="17"/>
      <c r="T44" s="60">
        <v>8.0</v>
      </c>
      <c r="U44" s="17">
        <f t="shared" si="6"/>
        <v>40.56</v>
      </c>
      <c r="V44" s="47">
        <v>40.56</v>
      </c>
      <c r="W44" s="28"/>
      <c r="X44" s="17">
        <f t="shared" si="7"/>
        <v>0</v>
      </c>
      <c r="Y44" s="17"/>
      <c r="Z44" s="20"/>
      <c r="AA44" s="17">
        <f t="shared" si="8"/>
        <v>0</v>
      </c>
      <c r="AB44" s="17"/>
      <c r="AC44" s="48">
        <v>0.0</v>
      </c>
      <c r="AD44" s="49">
        <v>45389.0</v>
      </c>
      <c r="AE44" s="23"/>
    </row>
    <row r="45" ht="15.75" customHeight="1">
      <c r="A45" s="58" t="s">
        <v>177</v>
      </c>
      <c r="B45" s="58" t="s">
        <v>178</v>
      </c>
      <c r="C45" s="62">
        <v>45379.0</v>
      </c>
      <c r="D45" s="62">
        <v>45386.0</v>
      </c>
      <c r="E45" s="28"/>
      <c r="F45" s="17">
        <f t="shared" si="1"/>
        <v>0</v>
      </c>
      <c r="G45" s="47"/>
      <c r="H45" s="28"/>
      <c r="I45" s="17">
        <f t="shared" si="16"/>
        <v>0</v>
      </c>
      <c r="J45" s="17"/>
      <c r="K45" s="57">
        <v>3.0</v>
      </c>
      <c r="L45" s="17">
        <f t="shared" si="15"/>
        <v>565.71</v>
      </c>
      <c r="M45" s="47">
        <v>565.71</v>
      </c>
      <c r="N45" s="28"/>
      <c r="O45" s="17">
        <f t="shared" si="13"/>
        <v>0</v>
      </c>
      <c r="P45" s="17"/>
      <c r="Q45" s="28"/>
      <c r="R45" s="97">
        <f t="shared" si="14"/>
        <v>0</v>
      </c>
      <c r="S45" s="17"/>
      <c r="T45" s="28"/>
      <c r="U45" s="17">
        <f t="shared" si="6"/>
        <v>0</v>
      </c>
      <c r="V45" s="17"/>
      <c r="W45" s="28"/>
      <c r="X45" s="17">
        <f t="shared" si="7"/>
        <v>0</v>
      </c>
      <c r="Y45" s="17"/>
      <c r="Z45" s="20"/>
      <c r="AA45" s="17">
        <f t="shared" si="8"/>
        <v>0</v>
      </c>
      <c r="AB45" s="17"/>
      <c r="AC45" s="48">
        <v>0.0</v>
      </c>
      <c r="AD45" s="49">
        <v>45389.0</v>
      </c>
      <c r="AE45" s="23"/>
    </row>
    <row r="46" ht="15.75" customHeight="1">
      <c r="A46" s="58" t="s">
        <v>71</v>
      </c>
      <c r="B46" s="58" t="s">
        <v>190</v>
      </c>
      <c r="C46" s="71">
        <v>45383.0</v>
      </c>
      <c r="D46" s="71">
        <v>45384.0</v>
      </c>
      <c r="E46" s="60"/>
      <c r="F46" s="17">
        <f t="shared" si="1"/>
        <v>0</v>
      </c>
      <c r="G46" s="17"/>
      <c r="H46" s="28"/>
      <c r="I46" s="17">
        <f t="shared" si="16"/>
        <v>0</v>
      </c>
      <c r="J46" s="47"/>
      <c r="K46" s="57">
        <v>2.0</v>
      </c>
      <c r="L46" s="17">
        <f t="shared" si="15"/>
        <v>377.14</v>
      </c>
      <c r="M46" s="47">
        <v>377.14</v>
      </c>
      <c r="N46" s="28"/>
      <c r="O46" s="17">
        <f t="shared" si="13"/>
        <v>0</v>
      </c>
      <c r="P46" s="17"/>
      <c r="Q46" s="28"/>
      <c r="R46" s="97">
        <f t="shared" si="14"/>
        <v>0</v>
      </c>
      <c r="S46" s="17"/>
      <c r="T46" s="60">
        <v>4.0</v>
      </c>
      <c r="U46" s="17">
        <f t="shared" si="6"/>
        <v>20.28</v>
      </c>
      <c r="V46" s="47">
        <v>20.28</v>
      </c>
      <c r="W46" s="60">
        <v>9.0</v>
      </c>
      <c r="X46" s="17">
        <f t="shared" si="7"/>
        <v>163.98</v>
      </c>
      <c r="Y46" s="47">
        <v>163.98</v>
      </c>
      <c r="Z46" s="20"/>
      <c r="AA46" s="17">
        <f t="shared" si="8"/>
        <v>0</v>
      </c>
      <c r="AB46" s="17"/>
      <c r="AC46" s="48">
        <v>0.0</v>
      </c>
      <c r="AD46" s="49">
        <v>45389.0</v>
      </c>
      <c r="AE46" s="23"/>
    </row>
    <row r="47" ht="15.75" customHeight="1">
      <c r="A47" s="58" t="s">
        <v>211</v>
      </c>
      <c r="B47" s="58" t="s">
        <v>26</v>
      </c>
      <c r="C47" s="62">
        <v>45379.0</v>
      </c>
      <c r="D47" s="62">
        <v>45379.0</v>
      </c>
      <c r="E47" s="60">
        <v>1.0</v>
      </c>
      <c r="F47" s="17">
        <f t="shared" si="1"/>
        <v>214.22</v>
      </c>
      <c r="G47" s="47">
        <v>214.22</v>
      </c>
      <c r="H47" s="28"/>
      <c r="I47" s="17">
        <f t="shared" si="16"/>
        <v>0</v>
      </c>
      <c r="J47" s="17"/>
      <c r="K47" s="57">
        <v>0.0</v>
      </c>
      <c r="L47" s="47"/>
      <c r="M47" s="47"/>
      <c r="N47" s="28"/>
      <c r="O47" s="17">
        <f t="shared" si="13"/>
        <v>0</v>
      </c>
      <c r="P47" s="17"/>
      <c r="Q47" s="28"/>
      <c r="R47" s="97">
        <f t="shared" si="14"/>
        <v>0</v>
      </c>
      <c r="S47" s="17"/>
      <c r="T47" s="28"/>
      <c r="U47" s="17">
        <f t="shared" si="6"/>
        <v>0</v>
      </c>
      <c r="V47" s="17"/>
      <c r="W47" s="28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>
        <v>45389.0</v>
      </c>
      <c r="AE47" s="23"/>
    </row>
    <row r="48" ht="15.75" customHeight="1">
      <c r="A48" s="58" t="s">
        <v>193</v>
      </c>
      <c r="B48" s="58" t="s">
        <v>194</v>
      </c>
      <c r="C48" s="62">
        <v>45383.0</v>
      </c>
      <c r="D48" s="62">
        <v>45386.0</v>
      </c>
      <c r="E48" s="28"/>
      <c r="F48" s="17">
        <f t="shared" si="1"/>
        <v>0</v>
      </c>
      <c r="G48" s="17"/>
      <c r="H48" s="28"/>
      <c r="I48" s="17">
        <f t="shared" si="16"/>
        <v>0</v>
      </c>
      <c r="J48" s="17"/>
      <c r="K48" s="57">
        <v>4.0</v>
      </c>
      <c r="L48" s="17">
        <f t="shared" ref="L48:L53" si="17">PRODUCT(K48)*188.57</f>
        <v>754.28</v>
      </c>
      <c r="M48" s="47"/>
      <c r="N48" s="28"/>
      <c r="O48" s="17">
        <f t="shared" si="13"/>
        <v>0</v>
      </c>
      <c r="P48" s="17"/>
      <c r="Q48" s="28"/>
      <c r="R48" s="97">
        <f t="shared" si="14"/>
        <v>0</v>
      </c>
      <c r="S48" s="17"/>
      <c r="T48" s="28"/>
      <c r="U48" s="17">
        <f t="shared" si="6"/>
        <v>0</v>
      </c>
      <c r="V48" s="17"/>
      <c r="W48" s="60"/>
      <c r="X48" s="17">
        <f t="shared" si="7"/>
        <v>0</v>
      </c>
      <c r="Y48" s="17"/>
      <c r="Z48" s="63"/>
      <c r="AA48" s="17">
        <f t="shared" si="8"/>
        <v>0</v>
      </c>
      <c r="AB48" s="17"/>
      <c r="AC48" s="48">
        <v>0.0</v>
      </c>
      <c r="AD48" s="49"/>
      <c r="AE48" s="23"/>
    </row>
    <row r="49" ht="15.75" customHeight="1">
      <c r="A49" s="58" t="s">
        <v>195</v>
      </c>
      <c r="B49" s="58" t="s">
        <v>196</v>
      </c>
      <c r="C49" s="62"/>
      <c r="D49" s="62"/>
      <c r="E49" s="60"/>
      <c r="F49" s="17">
        <f t="shared" si="1"/>
        <v>0</v>
      </c>
      <c r="G49" s="17"/>
      <c r="H49" s="28"/>
      <c r="I49" s="17">
        <f t="shared" si="16"/>
        <v>0</v>
      </c>
      <c r="J49" s="17"/>
      <c r="K49" s="57"/>
      <c r="L49" s="17">
        <f t="shared" si="17"/>
        <v>0</v>
      </c>
      <c r="M49" s="47"/>
      <c r="N49" s="28"/>
      <c r="O49" s="17">
        <f t="shared" si="13"/>
        <v>0</v>
      </c>
      <c r="P49" s="17"/>
      <c r="Q49" s="28"/>
      <c r="R49" s="97">
        <f t="shared" si="14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/>
      <c r="AE49" s="23"/>
    </row>
    <row r="50" ht="15.75" customHeight="1">
      <c r="A50" s="58" t="s">
        <v>198</v>
      </c>
      <c r="B50" s="58" t="s">
        <v>199</v>
      </c>
      <c r="C50" s="62">
        <v>45383.0</v>
      </c>
      <c r="D50" s="62">
        <v>45386.0</v>
      </c>
      <c r="E50" s="60"/>
      <c r="F50" s="17">
        <f t="shared" si="1"/>
        <v>0</v>
      </c>
      <c r="G50" s="17"/>
      <c r="H50" s="60"/>
      <c r="I50" s="17">
        <f t="shared" si="16"/>
        <v>0</v>
      </c>
      <c r="J50" s="17"/>
      <c r="K50" s="57">
        <v>4.0</v>
      </c>
      <c r="L50" s="17">
        <f t="shared" si="17"/>
        <v>754.28</v>
      </c>
      <c r="M50" s="17"/>
      <c r="N50" s="28"/>
      <c r="O50" s="17">
        <f t="shared" si="13"/>
        <v>0</v>
      </c>
      <c r="P50" s="17"/>
      <c r="Q50" s="28"/>
      <c r="R50" s="97">
        <f t="shared" si="14"/>
        <v>0</v>
      </c>
      <c r="S50" s="17"/>
      <c r="T50" s="28"/>
      <c r="U50" s="17">
        <f t="shared" si="6"/>
        <v>0</v>
      </c>
      <c r="V50" s="17"/>
      <c r="W50" s="60">
        <v>27.0</v>
      </c>
      <c r="X50" s="17">
        <f t="shared" si="7"/>
        <v>491.94</v>
      </c>
      <c r="Y50" s="17"/>
      <c r="Z50" s="63"/>
      <c r="AA50" s="17">
        <f t="shared" si="8"/>
        <v>0</v>
      </c>
      <c r="AB50" s="17"/>
      <c r="AC50" s="48">
        <v>0.0</v>
      </c>
      <c r="AD50" s="26"/>
      <c r="AE50" s="23"/>
    </row>
    <row r="51" ht="15.75" customHeight="1">
      <c r="A51" s="58" t="s">
        <v>109</v>
      </c>
      <c r="B51" s="58" t="s">
        <v>200</v>
      </c>
      <c r="C51" s="62">
        <v>45383.0</v>
      </c>
      <c r="D51" s="62">
        <v>45386.0</v>
      </c>
      <c r="E51" s="60"/>
      <c r="F51" s="17">
        <f t="shared" si="1"/>
        <v>0</v>
      </c>
      <c r="G51" s="17"/>
      <c r="H51" s="60"/>
      <c r="I51" s="17">
        <f t="shared" si="16"/>
        <v>0</v>
      </c>
      <c r="J51" s="17"/>
      <c r="K51" s="57">
        <v>4.0</v>
      </c>
      <c r="L51" s="17">
        <f t="shared" si="17"/>
        <v>754.28</v>
      </c>
      <c r="M51" s="47">
        <v>754.28</v>
      </c>
      <c r="N51" s="28"/>
      <c r="O51" s="17">
        <f t="shared" si="13"/>
        <v>0</v>
      </c>
      <c r="P51" s="17"/>
      <c r="Q51" s="28"/>
      <c r="R51" s="97">
        <f t="shared" si="14"/>
        <v>0</v>
      </c>
      <c r="S51" s="17"/>
      <c r="T51" s="28"/>
      <c r="U51" s="17">
        <f t="shared" si="6"/>
        <v>0</v>
      </c>
      <c r="V51" s="17"/>
      <c r="W51" s="28"/>
      <c r="X51" s="17">
        <f t="shared" si="7"/>
        <v>0</v>
      </c>
      <c r="Y51" s="17"/>
      <c r="Z51" s="63"/>
      <c r="AA51" s="17">
        <f t="shared" si="8"/>
        <v>0</v>
      </c>
      <c r="AB51" s="17"/>
      <c r="AC51" s="48">
        <v>0.0</v>
      </c>
      <c r="AD51" s="26"/>
      <c r="AE51" s="23"/>
    </row>
    <row r="52" ht="15.75" customHeight="1">
      <c r="A52" s="58" t="s">
        <v>201</v>
      </c>
      <c r="B52" s="58" t="s">
        <v>202</v>
      </c>
      <c r="C52" s="62">
        <v>45385.0</v>
      </c>
      <c r="D52" s="62">
        <v>45386.0</v>
      </c>
      <c r="E52" s="60"/>
      <c r="F52" s="17">
        <f t="shared" si="1"/>
        <v>0</v>
      </c>
      <c r="G52" s="17"/>
      <c r="H52" s="60"/>
      <c r="I52" s="17">
        <f t="shared" si="16"/>
        <v>0</v>
      </c>
      <c r="J52" s="17"/>
      <c r="K52" s="57">
        <v>2.0</v>
      </c>
      <c r="L52" s="17">
        <f t="shared" si="17"/>
        <v>377.14</v>
      </c>
      <c r="M52" s="47">
        <v>377.14</v>
      </c>
      <c r="N52" s="28"/>
      <c r="O52" s="17">
        <f t="shared" si="13"/>
        <v>0</v>
      </c>
      <c r="P52" s="17"/>
      <c r="Q52" s="28"/>
      <c r="R52" s="97">
        <f t="shared" si="14"/>
        <v>0</v>
      </c>
      <c r="S52" s="17"/>
      <c r="T52" s="28"/>
      <c r="U52" s="17">
        <f t="shared" si="6"/>
        <v>0</v>
      </c>
      <c r="V52" s="17"/>
      <c r="W52" s="28"/>
      <c r="X52" s="17">
        <f t="shared" si="7"/>
        <v>0</v>
      </c>
      <c r="Y52" s="17"/>
      <c r="Z52" s="63"/>
      <c r="AA52" s="17">
        <f t="shared" si="8"/>
        <v>0</v>
      </c>
      <c r="AB52" s="17"/>
      <c r="AC52" s="48">
        <v>0.0</v>
      </c>
      <c r="AD52" s="50">
        <v>45389.0</v>
      </c>
      <c r="AE52" s="23"/>
    </row>
    <row r="53" ht="15.75" customHeight="1">
      <c r="A53" s="58" t="s">
        <v>203</v>
      </c>
      <c r="B53" s="58" t="s">
        <v>204</v>
      </c>
      <c r="C53" s="62">
        <v>45384.0</v>
      </c>
      <c r="D53" s="62">
        <v>45385.0</v>
      </c>
      <c r="E53" s="60"/>
      <c r="F53" s="17">
        <f t="shared" si="1"/>
        <v>0</v>
      </c>
      <c r="G53" s="17"/>
      <c r="H53" s="60"/>
      <c r="I53" s="17">
        <f t="shared" si="16"/>
        <v>0</v>
      </c>
      <c r="J53" s="17"/>
      <c r="K53" s="57">
        <v>2.0</v>
      </c>
      <c r="L53" s="17">
        <f t="shared" si="17"/>
        <v>377.14</v>
      </c>
      <c r="M53" s="47">
        <v>377.14</v>
      </c>
      <c r="N53" s="28"/>
      <c r="O53" s="17">
        <f t="shared" si="13"/>
        <v>0</v>
      </c>
      <c r="P53" s="17"/>
      <c r="Q53" s="28"/>
      <c r="R53" s="97">
        <f t="shared" si="14"/>
        <v>0</v>
      </c>
      <c r="S53" s="17"/>
      <c r="T53" s="28"/>
      <c r="U53" s="17">
        <f t="shared" si="6"/>
        <v>0</v>
      </c>
      <c r="V53" s="17"/>
      <c r="W53" s="28"/>
      <c r="X53" s="17">
        <f t="shared" si="7"/>
        <v>0</v>
      </c>
      <c r="Y53" s="17"/>
      <c r="Z53" s="63"/>
      <c r="AA53" s="17">
        <f t="shared" si="8"/>
        <v>0</v>
      </c>
      <c r="AB53" s="17"/>
      <c r="AC53" s="48">
        <v>0.0</v>
      </c>
      <c r="AD53" s="50">
        <v>45389.0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428.44</v>
      </c>
      <c r="G54" s="43">
        <f>SUM(G4:G44)</f>
        <v>428.44</v>
      </c>
      <c r="H54" s="42"/>
      <c r="I54" s="43">
        <f>SUM(I4:I53)</f>
        <v>7285.71</v>
      </c>
      <c r="J54" s="43">
        <f>SUM(J4:J44)</f>
        <v>7285.71</v>
      </c>
      <c r="K54" s="42"/>
      <c r="L54" s="43">
        <f t="shared" ref="L54:M54" si="18">SUM(L4:L44)</f>
        <v>20931.27</v>
      </c>
      <c r="M54" s="43">
        <f t="shared" si="18"/>
        <v>17914.15</v>
      </c>
      <c r="N54" s="42"/>
      <c r="O54" s="43">
        <f t="shared" ref="O54:P54" si="19">SUM(O4:O44)</f>
        <v>176.55</v>
      </c>
      <c r="P54" s="43">
        <f t="shared" si="19"/>
        <v>176.55</v>
      </c>
      <c r="Q54" s="42"/>
      <c r="R54" s="43">
        <f t="shared" ref="R54:S54" si="20">SUM(R4:R44)</f>
        <v>0</v>
      </c>
      <c r="S54" s="43">
        <f t="shared" si="20"/>
        <v>0</v>
      </c>
      <c r="T54" s="42"/>
      <c r="U54" s="43">
        <f t="shared" ref="U54:V54" si="21">SUM(U4:U44)</f>
        <v>628.68</v>
      </c>
      <c r="V54" s="43">
        <f t="shared" si="21"/>
        <v>425.88</v>
      </c>
      <c r="W54" s="42"/>
      <c r="X54" s="43">
        <f t="shared" ref="X54:Y54" si="22">SUM(X4:X44)</f>
        <v>983.88</v>
      </c>
      <c r="Y54" s="43">
        <f t="shared" si="22"/>
        <v>655.92</v>
      </c>
      <c r="Z54" s="42"/>
      <c r="AA54" s="43">
        <f t="shared" ref="AA54:AC54" si="23">SUM(AA4:AA44)</f>
        <v>0</v>
      </c>
      <c r="AB54" s="43">
        <f t="shared" si="23"/>
        <v>0</v>
      </c>
      <c r="AC54" s="43">
        <f t="shared" si="23"/>
        <v>3050.23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39</v>
      </c>
      <c r="B4" s="61" t="s">
        <v>40</v>
      </c>
      <c r="C4" s="71">
        <v>45365.0</v>
      </c>
      <c r="D4" s="71">
        <v>45376.0</v>
      </c>
      <c r="E4" s="16"/>
      <c r="F4" s="17">
        <f t="shared" ref="F4:F53" si="1">PRODUCT(E4)*214.22</f>
        <v>0</v>
      </c>
      <c r="G4" s="47"/>
      <c r="H4" s="57">
        <v>12.0</v>
      </c>
      <c r="I4" s="17">
        <f t="shared" ref="I4:I40" si="2">PRODUCT(H4)*316.77</f>
        <v>3801.24</v>
      </c>
      <c r="J4" s="47">
        <v>3801.24</v>
      </c>
      <c r="K4" s="16"/>
      <c r="L4" s="17">
        <f t="shared" ref="L4:L53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48">
        <v>0.0</v>
      </c>
      <c r="AD4" s="50">
        <v>45396.0</v>
      </c>
      <c r="AE4" s="23"/>
    </row>
    <row r="5">
      <c r="A5" s="61" t="s">
        <v>43</v>
      </c>
      <c r="B5" s="61" t="s">
        <v>44</v>
      </c>
      <c r="C5" s="62">
        <v>45387.0</v>
      </c>
      <c r="D5" s="62">
        <v>45388.0</v>
      </c>
      <c r="E5" s="16"/>
      <c r="F5" s="17">
        <f t="shared" si="1"/>
        <v>0</v>
      </c>
      <c r="G5" s="17"/>
      <c r="H5" s="16"/>
      <c r="I5" s="17">
        <f t="shared" si="2"/>
        <v>0</v>
      </c>
      <c r="J5" s="47"/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>
        <v>18.0</v>
      </c>
      <c r="X5" s="17">
        <f t="shared" si="7"/>
        <v>327.96</v>
      </c>
      <c r="Y5" s="47">
        <v>327.96</v>
      </c>
      <c r="Z5" s="20"/>
      <c r="AA5" s="17">
        <f t="shared" si="8"/>
        <v>0</v>
      </c>
      <c r="AB5" s="17"/>
      <c r="AC5" s="21">
        <f>SUM(F5+I5+L5+O5+R5)</f>
        <v>0</v>
      </c>
      <c r="AD5" s="50">
        <v>45396.0</v>
      </c>
      <c r="AE5" s="24"/>
    </row>
    <row r="6">
      <c r="A6" s="61" t="s">
        <v>61</v>
      </c>
      <c r="B6" s="61" t="s">
        <v>62</v>
      </c>
      <c r="C6" s="71">
        <v>45390.0</v>
      </c>
      <c r="D6" s="62">
        <v>45391.0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2.0</v>
      </c>
      <c r="O6" s="17">
        <f t="shared" si="4"/>
        <v>117.7</v>
      </c>
      <c r="P6" s="47">
        <v>117.7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50">
        <v>45396.0</v>
      </c>
      <c r="AE6" s="24"/>
    </row>
    <row r="7">
      <c r="A7" s="61" t="s">
        <v>212</v>
      </c>
      <c r="B7" s="61" t="s">
        <v>213</v>
      </c>
      <c r="C7" s="62">
        <v>45390.0</v>
      </c>
      <c r="D7" s="62">
        <v>45390.0</v>
      </c>
      <c r="E7" s="57">
        <v>1.0</v>
      </c>
      <c r="F7" s="17">
        <f t="shared" si="1"/>
        <v>214.22</v>
      </c>
      <c r="G7" s="47">
        <v>214.22</v>
      </c>
      <c r="H7" s="57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48">
        <v>0.0</v>
      </c>
      <c r="AD7" s="50">
        <v>45396.0</v>
      </c>
      <c r="AE7" s="24"/>
    </row>
    <row r="8">
      <c r="A8" s="61" t="s">
        <v>214</v>
      </c>
      <c r="B8" s="61" t="s">
        <v>137</v>
      </c>
      <c r="C8" s="71">
        <v>45390.0</v>
      </c>
      <c r="D8" s="62">
        <v>45390.0</v>
      </c>
      <c r="E8" s="57">
        <v>1.0</v>
      </c>
      <c r="F8" s="17">
        <f t="shared" si="1"/>
        <v>214.22</v>
      </c>
      <c r="G8" s="47">
        <v>214.22</v>
      </c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48">
        <v>0.0</v>
      </c>
      <c r="AD8" s="49">
        <v>45396.0</v>
      </c>
      <c r="AE8" s="23"/>
    </row>
    <row r="9">
      <c r="A9" s="58" t="s">
        <v>71</v>
      </c>
      <c r="B9" s="58" t="s">
        <v>190</v>
      </c>
      <c r="C9" s="71">
        <v>45385.0</v>
      </c>
      <c r="D9" s="71">
        <v>45385.0</v>
      </c>
      <c r="E9" s="57">
        <v>1.0</v>
      </c>
      <c r="F9" s="17">
        <f t="shared" si="1"/>
        <v>214.22</v>
      </c>
      <c r="G9" s="47">
        <v>214.222</v>
      </c>
      <c r="H9" s="57"/>
      <c r="I9" s="17">
        <f t="shared" si="2"/>
        <v>0</v>
      </c>
      <c r="J9" s="17"/>
      <c r="K9" s="16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>
        <v>18.0</v>
      </c>
      <c r="X9" s="17">
        <f t="shared" si="7"/>
        <v>327.96</v>
      </c>
      <c r="Y9" s="47">
        <v>327.96</v>
      </c>
      <c r="Z9" s="20"/>
      <c r="AA9" s="17">
        <f t="shared" si="8"/>
        <v>0</v>
      </c>
      <c r="AB9" s="17"/>
      <c r="AC9" s="48">
        <v>0.0</v>
      </c>
      <c r="AD9" s="76">
        <v>45396.0</v>
      </c>
      <c r="AE9" s="23"/>
    </row>
    <row r="10">
      <c r="A10" s="58" t="s">
        <v>215</v>
      </c>
      <c r="B10" s="58" t="s">
        <v>216</v>
      </c>
      <c r="C10" s="71">
        <v>45378.0</v>
      </c>
      <c r="D10" s="71">
        <v>45378.0</v>
      </c>
      <c r="E10" s="57">
        <v>1.0</v>
      </c>
      <c r="F10" s="17">
        <f t="shared" si="1"/>
        <v>214.22</v>
      </c>
      <c r="G10" s="47">
        <v>214.22</v>
      </c>
      <c r="H10" s="16"/>
      <c r="I10" s="17">
        <f t="shared" si="2"/>
        <v>0</v>
      </c>
      <c r="J10" s="17"/>
      <c r="K10" s="16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16"/>
      <c r="X10" s="17">
        <f t="shared" si="7"/>
        <v>0</v>
      </c>
      <c r="Y10" s="17"/>
      <c r="Z10" s="20"/>
      <c r="AA10" s="17">
        <f t="shared" si="8"/>
        <v>0</v>
      </c>
      <c r="AB10" s="50"/>
      <c r="AC10" s="48">
        <v>0.0</v>
      </c>
      <c r="AD10" s="50">
        <v>45396.0</v>
      </c>
      <c r="AE10" s="23"/>
    </row>
    <row r="11">
      <c r="A11" s="58" t="s">
        <v>180</v>
      </c>
      <c r="B11" s="58" t="s">
        <v>40</v>
      </c>
      <c r="C11" s="71">
        <v>45370.0</v>
      </c>
      <c r="D11" s="98">
        <v>45385.0</v>
      </c>
      <c r="E11" s="16"/>
      <c r="F11" s="17">
        <f t="shared" si="1"/>
        <v>0</v>
      </c>
      <c r="G11" s="17"/>
      <c r="H11" s="57">
        <v>16.0</v>
      </c>
      <c r="I11" s="17">
        <f t="shared" si="2"/>
        <v>5068.32</v>
      </c>
      <c r="J11" s="47">
        <v>5068.32</v>
      </c>
      <c r="K11" s="57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>
        <v>9.0</v>
      </c>
      <c r="X11" s="17">
        <f t="shared" si="7"/>
        <v>163.98</v>
      </c>
      <c r="Y11" s="47">
        <v>163.98</v>
      </c>
      <c r="Z11" s="20"/>
      <c r="AA11" s="17">
        <f t="shared" si="8"/>
        <v>0</v>
      </c>
      <c r="AB11" s="17"/>
      <c r="AC11" s="48">
        <v>0.0</v>
      </c>
      <c r="AD11" s="49">
        <v>45396.0</v>
      </c>
      <c r="AE11" s="23"/>
    </row>
    <row r="12">
      <c r="A12" s="58" t="s">
        <v>181</v>
      </c>
      <c r="B12" s="58" t="s">
        <v>182</v>
      </c>
      <c r="C12" s="71">
        <v>45364.0</v>
      </c>
      <c r="D12" s="62">
        <v>45380.0</v>
      </c>
      <c r="E12" s="16"/>
      <c r="F12" s="17">
        <f t="shared" si="1"/>
        <v>0</v>
      </c>
      <c r="G12" s="17"/>
      <c r="H12" s="57">
        <v>17.0</v>
      </c>
      <c r="I12" s="17">
        <f t="shared" si="2"/>
        <v>5385.09</v>
      </c>
      <c r="J12" s="47">
        <v>5385.09</v>
      </c>
      <c r="K12" s="57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16"/>
      <c r="U12" s="17">
        <f t="shared" si="6"/>
        <v>0</v>
      </c>
      <c r="V12" s="17"/>
      <c r="W12" s="57">
        <v>47.0</v>
      </c>
      <c r="X12" s="17">
        <f t="shared" si="7"/>
        <v>856.34</v>
      </c>
      <c r="Y12" s="47">
        <v>856.34</v>
      </c>
      <c r="Z12" s="63"/>
      <c r="AA12" s="17">
        <f t="shared" si="8"/>
        <v>0</v>
      </c>
      <c r="AB12" s="17"/>
      <c r="AC12" s="48">
        <v>0.0</v>
      </c>
      <c r="AD12" s="49">
        <v>45396.0</v>
      </c>
      <c r="AE12" s="89"/>
    </row>
    <row r="13">
      <c r="A13" s="58" t="s">
        <v>153</v>
      </c>
      <c r="B13" s="58" t="s">
        <v>154</v>
      </c>
      <c r="C13" s="62">
        <v>45373.0</v>
      </c>
      <c r="D13" s="62">
        <v>45382.0</v>
      </c>
      <c r="E13" s="16"/>
      <c r="F13" s="17">
        <f t="shared" si="1"/>
        <v>0</v>
      </c>
      <c r="G13" s="17"/>
      <c r="H13" s="57">
        <v>10.0</v>
      </c>
      <c r="I13" s="17">
        <f t="shared" si="2"/>
        <v>3167.7</v>
      </c>
      <c r="J13" s="47">
        <v>31670.7</v>
      </c>
      <c r="K13" s="57">
        <v>4.0</v>
      </c>
      <c r="L13" s="17">
        <f t="shared" si="3"/>
        <v>754.28</v>
      </c>
      <c r="M13" s="47">
        <v>754.28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16"/>
      <c r="U13" s="17">
        <f t="shared" si="6"/>
        <v>0</v>
      </c>
      <c r="V13" s="17"/>
      <c r="W13" s="57">
        <v>18.0</v>
      </c>
      <c r="X13" s="17">
        <f t="shared" si="7"/>
        <v>327.96</v>
      </c>
      <c r="Y13" s="47">
        <v>327.96</v>
      </c>
      <c r="Z13" s="20"/>
      <c r="AA13" s="17">
        <f t="shared" si="8"/>
        <v>0</v>
      </c>
      <c r="AB13" s="17"/>
      <c r="AC13" s="48">
        <v>0.0</v>
      </c>
      <c r="AD13" s="50">
        <v>45396.0</v>
      </c>
      <c r="AE13" s="94" t="s">
        <v>217</v>
      </c>
    </row>
    <row r="14">
      <c r="A14" s="58" t="s">
        <v>65</v>
      </c>
      <c r="B14" s="58" t="s">
        <v>218</v>
      </c>
      <c r="C14" s="62">
        <v>45390.0</v>
      </c>
      <c r="D14" s="62">
        <v>45391.0</v>
      </c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57">
        <v>2.0</v>
      </c>
      <c r="L14" s="17">
        <f t="shared" si="3"/>
        <v>377.14</v>
      </c>
      <c r="M14" s="47">
        <v>377.14</v>
      </c>
      <c r="N14" s="16"/>
      <c r="O14" s="17">
        <f t="shared" si="4"/>
        <v>0</v>
      </c>
      <c r="P14" s="17"/>
      <c r="Q14" s="57"/>
      <c r="R14" s="17">
        <f t="shared" si="5"/>
        <v>0</v>
      </c>
      <c r="S14" s="17"/>
      <c r="T14" s="57"/>
      <c r="U14" s="17">
        <f t="shared" si="6"/>
        <v>0</v>
      </c>
      <c r="V14" s="17"/>
      <c r="W14" s="57">
        <v>1.0</v>
      </c>
      <c r="X14" s="17">
        <f t="shared" si="7"/>
        <v>18.22</v>
      </c>
      <c r="Y14" s="47">
        <v>18.22</v>
      </c>
      <c r="Z14" s="20"/>
      <c r="AA14" s="17">
        <f t="shared" si="8"/>
        <v>0</v>
      </c>
      <c r="AB14" s="17"/>
      <c r="AC14" s="48">
        <v>0.0</v>
      </c>
      <c r="AD14" s="50">
        <v>45396.0</v>
      </c>
      <c r="AE14" s="23"/>
    </row>
    <row r="15">
      <c r="A15" s="58" t="s">
        <v>109</v>
      </c>
      <c r="B15" s="58" t="s">
        <v>219</v>
      </c>
      <c r="C15" s="62">
        <v>45387.0</v>
      </c>
      <c r="D15" s="62">
        <v>45390.0</v>
      </c>
      <c r="E15" s="57">
        <v>1.0</v>
      </c>
      <c r="F15" s="17">
        <f t="shared" si="1"/>
        <v>214.22</v>
      </c>
      <c r="G15" s="47">
        <v>214.22</v>
      </c>
      <c r="H15" s="57"/>
      <c r="I15" s="17">
        <f t="shared" si="2"/>
        <v>0</v>
      </c>
      <c r="J15" s="47"/>
      <c r="K15" s="57">
        <v>1.0</v>
      </c>
      <c r="L15" s="17">
        <f t="shared" si="3"/>
        <v>188.57</v>
      </c>
      <c r="M15" s="47">
        <v>188.57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48">
        <v>0.0</v>
      </c>
      <c r="AD15" s="50">
        <v>45396.0</v>
      </c>
      <c r="AE15" s="23"/>
    </row>
    <row r="16">
      <c r="A16" s="58" t="s">
        <v>220</v>
      </c>
      <c r="B16" s="58" t="s">
        <v>221</v>
      </c>
      <c r="C16" s="62">
        <v>45390.0</v>
      </c>
      <c r="D16" s="62">
        <v>45393.0</v>
      </c>
      <c r="E16" s="57">
        <v>1.0</v>
      </c>
      <c r="F16" s="17">
        <f t="shared" si="1"/>
        <v>214.22</v>
      </c>
      <c r="G16" s="47">
        <v>214.22</v>
      </c>
      <c r="H16" s="57"/>
      <c r="I16" s="17">
        <f t="shared" si="2"/>
        <v>0</v>
      </c>
      <c r="J16" s="17"/>
      <c r="K16" s="57">
        <v>1.0</v>
      </c>
      <c r="L16" s="17">
        <f t="shared" si="3"/>
        <v>188.57</v>
      </c>
      <c r="M16" s="47">
        <v>188.57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>
        <v>45396.0</v>
      </c>
      <c r="AE16" s="23"/>
    </row>
    <row r="17">
      <c r="A17" s="58" t="s">
        <v>115</v>
      </c>
      <c r="B17" s="58" t="s">
        <v>150</v>
      </c>
      <c r="C17" s="62">
        <v>45390.0</v>
      </c>
      <c r="D17" s="62">
        <v>45392.0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3.0</v>
      </c>
      <c r="L17" s="17">
        <f t="shared" si="3"/>
        <v>565.71</v>
      </c>
      <c r="M17" s="47">
        <v>565.71</v>
      </c>
      <c r="N17" s="16"/>
      <c r="O17" s="17">
        <f t="shared" si="4"/>
        <v>0</v>
      </c>
      <c r="P17" s="17"/>
      <c r="Q17" s="57"/>
      <c r="R17" s="17">
        <f t="shared" si="5"/>
        <v>0</v>
      </c>
      <c r="S17" s="17"/>
      <c r="T17" s="57">
        <v>14.0</v>
      </c>
      <c r="U17" s="17">
        <f t="shared" si="6"/>
        <v>70.98</v>
      </c>
      <c r="V17" s="47">
        <v>70.98</v>
      </c>
      <c r="W17" s="16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45396.0</v>
      </c>
      <c r="AE17" s="23"/>
    </row>
    <row r="18">
      <c r="A18" s="58" t="s">
        <v>109</v>
      </c>
      <c r="B18" s="58" t="s">
        <v>206</v>
      </c>
      <c r="C18" s="62"/>
      <c r="D18" s="62"/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/>
      <c r="L18" s="17">
        <f t="shared" si="3"/>
        <v>0</v>
      </c>
      <c r="M18" s="47"/>
      <c r="N18" s="16"/>
      <c r="O18" s="17">
        <f t="shared" ref="O18:O21" si="9">PRODUCT(N18)*188.57</f>
        <v>0</v>
      </c>
      <c r="P18" s="17"/>
      <c r="Q18" s="16"/>
      <c r="R18" s="17">
        <f t="shared" si="5"/>
        <v>0</v>
      </c>
      <c r="S18" s="17"/>
      <c r="T18" s="57"/>
      <c r="U18" s="17">
        <f t="shared" si="6"/>
        <v>0</v>
      </c>
      <c r="V18" s="17"/>
      <c r="W18" s="16"/>
      <c r="X18" s="17">
        <f t="shared" si="7"/>
        <v>0</v>
      </c>
      <c r="Y18" s="17"/>
      <c r="Z18" s="20"/>
      <c r="AA18" s="17">
        <f t="shared" si="8"/>
        <v>0</v>
      </c>
      <c r="AB18" s="17"/>
      <c r="AC18" s="48">
        <v>0.0</v>
      </c>
      <c r="AD18" s="50"/>
      <c r="AE18" s="23"/>
    </row>
    <row r="19">
      <c r="A19" s="58" t="s">
        <v>207</v>
      </c>
      <c r="B19" s="58" t="s">
        <v>208</v>
      </c>
      <c r="C19" s="71">
        <v>45386.0</v>
      </c>
      <c r="D19" s="62">
        <v>45392.0</v>
      </c>
      <c r="E19" s="57"/>
      <c r="F19" s="17">
        <f t="shared" si="1"/>
        <v>0</v>
      </c>
      <c r="G19" s="17"/>
      <c r="H19" s="57"/>
      <c r="I19" s="17">
        <f t="shared" si="2"/>
        <v>0</v>
      </c>
      <c r="J19" s="17"/>
      <c r="K19" s="57">
        <v>4.0</v>
      </c>
      <c r="L19" s="17">
        <f t="shared" si="3"/>
        <v>754.28</v>
      </c>
      <c r="M19" s="47">
        <v>754.28</v>
      </c>
      <c r="N19" s="16"/>
      <c r="O19" s="17">
        <f t="shared" si="9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>
        <v>45396.0</v>
      </c>
      <c r="AE19" s="23"/>
    </row>
    <row r="20">
      <c r="A20" s="58" t="s">
        <v>109</v>
      </c>
      <c r="B20" s="58" t="s">
        <v>110</v>
      </c>
      <c r="C20" s="62">
        <v>45372.0</v>
      </c>
      <c r="D20" s="62">
        <v>45393.0</v>
      </c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>
        <v>15.0</v>
      </c>
      <c r="L20" s="17">
        <f t="shared" si="3"/>
        <v>2828.55</v>
      </c>
      <c r="M20" s="47">
        <v>2828.55</v>
      </c>
      <c r="N20" s="16"/>
      <c r="O20" s="17">
        <f t="shared" si="9"/>
        <v>0</v>
      </c>
      <c r="P20" s="17"/>
      <c r="Q20" s="16"/>
      <c r="R20" s="17">
        <f t="shared" si="5"/>
        <v>0</v>
      </c>
      <c r="S20" s="17"/>
      <c r="T20" s="57">
        <v>16.0</v>
      </c>
      <c r="U20" s="17">
        <f t="shared" si="6"/>
        <v>81.12</v>
      </c>
      <c r="V20" s="47">
        <v>81.12</v>
      </c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53</v>
      </c>
      <c r="B21" s="58" t="s">
        <v>187</v>
      </c>
      <c r="C21" s="62">
        <v>45390.0</v>
      </c>
      <c r="D21" s="62">
        <v>45393.0</v>
      </c>
      <c r="E21" s="16"/>
      <c r="F21" s="17">
        <f t="shared" si="1"/>
        <v>0</v>
      </c>
      <c r="G21" s="17"/>
      <c r="H21" s="57"/>
      <c r="I21" s="17">
        <f t="shared" si="2"/>
        <v>0</v>
      </c>
      <c r="J21" s="17"/>
      <c r="K21" s="57">
        <v>4.0</v>
      </c>
      <c r="L21" s="17">
        <f t="shared" si="3"/>
        <v>754.28</v>
      </c>
      <c r="M21" s="47">
        <v>754.28</v>
      </c>
      <c r="N21" s="16"/>
      <c r="O21" s="17">
        <f t="shared" si="9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57">
        <v>45.0</v>
      </c>
      <c r="X21" s="17">
        <f t="shared" si="7"/>
        <v>819.9</v>
      </c>
      <c r="Y21" s="47">
        <v>819.9</v>
      </c>
      <c r="Z21" s="63"/>
      <c r="AA21" s="17">
        <f t="shared" si="8"/>
        <v>0</v>
      </c>
      <c r="AB21" s="17"/>
      <c r="AC21" s="48">
        <v>0.0</v>
      </c>
      <c r="AD21" s="49">
        <v>45396.0</v>
      </c>
      <c r="AE21" s="23"/>
    </row>
    <row r="22">
      <c r="A22" s="58" t="s">
        <v>119</v>
      </c>
      <c r="B22" s="58" t="s">
        <v>128</v>
      </c>
      <c r="C22" s="62"/>
      <c r="D22" s="62"/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/>
      <c r="L22" s="17">
        <f t="shared" si="3"/>
        <v>0</v>
      </c>
      <c r="M22" s="47"/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16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/>
      <c r="AE22" s="23"/>
    </row>
    <row r="23">
      <c r="A23" s="58" t="s">
        <v>141</v>
      </c>
      <c r="B23" s="58" t="s">
        <v>188</v>
      </c>
      <c r="C23" s="71"/>
      <c r="D23" s="71"/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/>
      <c r="L23" s="17">
        <f t="shared" si="3"/>
        <v>0</v>
      </c>
      <c r="M23" s="17"/>
      <c r="N23" s="57"/>
      <c r="O23" s="17">
        <f t="shared" ref="O23:O53" si="10">PRODUCT(N23)*58.85</f>
        <v>0</v>
      </c>
      <c r="P23" s="17"/>
      <c r="Q23" s="16"/>
      <c r="R23" s="17">
        <f t="shared" si="5"/>
        <v>0</v>
      </c>
      <c r="S23" s="17"/>
      <c r="T23" s="57"/>
      <c r="U23" s="17">
        <f t="shared" si="6"/>
        <v>0</v>
      </c>
      <c r="V23" s="17"/>
      <c r="W23" s="16"/>
      <c r="X23" s="17">
        <f t="shared" si="7"/>
        <v>0</v>
      </c>
      <c r="Y23" s="17"/>
      <c r="Z23" s="20"/>
      <c r="AA23" s="17">
        <f t="shared" si="8"/>
        <v>0</v>
      </c>
      <c r="AB23" s="17"/>
      <c r="AC23" s="21">
        <f t="shared" ref="AC23:AC27" si="11">SUM(F23+I23+L23+O23+R23)</f>
        <v>0</v>
      </c>
      <c r="AD23" s="22"/>
      <c r="AE23" s="23"/>
    </row>
    <row r="24">
      <c r="A24" s="58" t="s">
        <v>47</v>
      </c>
      <c r="B24" s="58" t="s">
        <v>48</v>
      </c>
      <c r="C24" s="71"/>
      <c r="D24" s="62"/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/>
      <c r="L24" s="17">
        <f t="shared" si="3"/>
        <v>0</v>
      </c>
      <c r="M24" s="47"/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16"/>
      <c r="X24" s="17">
        <f t="shared" si="7"/>
        <v>0</v>
      </c>
      <c r="Y24" s="17"/>
      <c r="Z24" s="63"/>
      <c r="AA24" s="17">
        <f t="shared" si="8"/>
        <v>0</v>
      </c>
      <c r="AB24" s="17"/>
      <c r="AC24" s="21">
        <f t="shared" si="11"/>
        <v>0</v>
      </c>
      <c r="AD24" s="50"/>
      <c r="AE24" s="23"/>
    </row>
    <row r="25">
      <c r="A25" s="95" t="s">
        <v>49</v>
      </c>
      <c r="B25" s="96" t="s">
        <v>50</v>
      </c>
      <c r="C25" s="62"/>
      <c r="D25" s="62"/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/>
      <c r="L25" s="17">
        <f t="shared" si="3"/>
        <v>0</v>
      </c>
      <c r="M25" s="47"/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21">
        <f t="shared" si="11"/>
        <v>0</v>
      </c>
      <c r="AD25" s="50"/>
      <c r="AE25" s="23"/>
    </row>
    <row r="26">
      <c r="A26" s="58" t="s">
        <v>222</v>
      </c>
      <c r="B26" s="58" t="s">
        <v>129</v>
      </c>
      <c r="C26" s="62"/>
      <c r="D26" s="62"/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/>
      <c r="L26" s="17">
        <f t="shared" si="3"/>
        <v>0</v>
      </c>
      <c r="M26" s="17"/>
      <c r="N26" s="16"/>
      <c r="O26" s="17">
        <f t="shared" si="10"/>
        <v>0</v>
      </c>
      <c r="P26" s="17"/>
      <c r="Q26" s="16"/>
      <c r="R26" s="17">
        <f t="shared" si="5"/>
        <v>0</v>
      </c>
      <c r="S26" s="17"/>
      <c r="T26" s="57"/>
      <c r="U26" s="17">
        <f t="shared" si="6"/>
        <v>0</v>
      </c>
      <c r="V26" s="17"/>
      <c r="W26" s="16"/>
      <c r="X26" s="17">
        <f t="shared" si="7"/>
        <v>0</v>
      </c>
      <c r="Y26" s="17"/>
      <c r="Z26" s="20"/>
      <c r="AA26" s="17">
        <f t="shared" si="8"/>
        <v>0</v>
      </c>
      <c r="AB26" s="17"/>
      <c r="AC26" s="21">
        <f t="shared" si="11"/>
        <v>0</v>
      </c>
      <c r="AD26" s="26"/>
      <c r="AE26" s="23"/>
    </row>
    <row r="27" ht="15.75" customHeight="1">
      <c r="A27" s="58" t="s">
        <v>67</v>
      </c>
      <c r="B27" s="58" t="s">
        <v>68</v>
      </c>
      <c r="C27" s="62">
        <v>45386.0</v>
      </c>
      <c r="D27" s="62">
        <v>45392.0</v>
      </c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>
        <v>4.0</v>
      </c>
      <c r="L27" s="17">
        <f t="shared" si="3"/>
        <v>754.28</v>
      </c>
      <c r="M27" s="47">
        <v>754.28</v>
      </c>
      <c r="N27" s="16"/>
      <c r="O27" s="17">
        <f t="shared" si="10"/>
        <v>0</v>
      </c>
      <c r="P27" s="17"/>
      <c r="Q27" s="16"/>
      <c r="R27" s="17">
        <f t="shared" si="5"/>
        <v>0</v>
      </c>
      <c r="S27" s="17"/>
      <c r="T27" s="57">
        <v>20.0</v>
      </c>
      <c r="U27" s="17">
        <f t="shared" si="6"/>
        <v>101.4</v>
      </c>
      <c r="V27" s="47">
        <v>101.4</v>
      </c>
      <c r="W27" s="57">
        <v>13.0</v>
      </c>
      <c r="X27" s="17">
        <f t="shared" si="7"/>
        <v>236.86</v>
      </c>
      <c r="Y27" s="47">
        <v>236.86</v>
      </c>
      <c r="Z27" s="20"/>
      <c r="AA27" s="17">
        <f t="shared" si="8"/>
        <v>0</v>
      </c>
      <c r="AB27" s="17"/>
      <c r="AC27" s="21">
        <f t="shared" si="11"/>
        <v>754.28</v>
      </c>
      <c r="AD27" s="26"/>
      <c r="AE27" s="23"/>
    </row>
    <row r="28" ht="15.75" customHeight="1">
      <c r="A28" s="58" t="s">
        <v>71</v>
      </c>
      <c r="B28" s="58" t="s">
        <v>96</v>
      </c>
      <c r="C28" s="62">
        <v>45390.0</v>
      </c>
      <c r="D28" s="62">
        <v>45391.0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2.0</v>
      </c>
      <c r="L28" s="17">
        <f t="shared" si="3"/>
        <v>377.14</v>
      </c>
      <c r="M28" s="47">
        <v>377.14</v>
      </c>
      <c r="N28" s="57"/>
      <c r="O28" s="17">
        <f t="shared" si="10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/>
      <c r="AA28" s="17">
        <f t="shared" si="8"/>
        <v>0</v>
      </c>
      <c r="AB28" s="17"/>
      <c r="AC28" s="48">
        <v>0.0</v>
      </c>
      <c r="AD28" s="50">
        <v>45396.0</v>
      </c>
      <c r="AE28" s="23"/>
    </row>
    <row r="29" ht="15.75" customHeight="1">
      <c r="A29" s="58" t="s">
        <v>99</v>
      </c>
      <c r="B29" s="58" t="s">
        <v>100</v>
      </c>
      <c r="C29" s="62">
        <v>45390.0</v>
      </c>
      <c r="D29" s="62">
        <v>45392.0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>
        <v>3.0</v>
      </c>
      <c r="L29" s="17">
        <f t="shared" si="3"/>
        <v>565.71</v>
      </c>
      <c r="M29" s="47">
        <v>565.71</v>
      </c>
      <c r="N29" s="57"/>
      <c r="O29" s="17">
        <f t="shared" si="10"/>
        <v>0</v>
      </c>
      <c r="P29" s="17"/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48">
        <v>0.0</v>
      </c>
      <c r="AD29" s="49">
        <v>45396.0</v>
      </c>
      <c r="AE29" s="23"/>
    </row>
    <row r="30" ht="15.75" customHeight="1">
      <c r="A30" s="58" t="s">
        <v>113</v>
      </c>
      <c r="B30" s="58" t="s">
        <v>114</v>
      </c>
      <c r="C30" s="62">
        <v>45364.0</v>
      </c>
      <c r="D30" s="62">
        <v>45390.0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15.0</v>
      </c>
      <c r="L30" s="17">
        <f t="shared" si="3"/>
        <v>2828.55</v>
      </c>
      <c r="M30" s="47">
        <v>2639.98</v>
      </c>
      <c r="N30" s="60"/>
      <c r="O30" s="17">
        <f t="shared" si="10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28"/>
      <c r="X30" s="17">
        <f t="shared" si="7"/>
        <v>0</v>
      </c>
      <c r="Y30" s="17"/>
      <c r="Z30" s="63"/>
      <c r="AA30" s="17">
        <f t="shared" si="8"/>
        <v>0</v>
      </c>
      <c r="AB30" s="17"/>
      <c r="AC30" s="48">
        <v>0.0</v>
      </c>
      <c r="AD30" s="49">
        <v>45396.0</v>
      </c>
      <c r="AE30" s="23"/>
    </row>
    <row r="31" ht="15.75" customHeight="1">
      <c r="A31" s="58" t="s">
        <v>65</v>
      </c>
      <c r="B31" s="58" t="s">
        <v>160</v>
      </c>
      <c r="C31" s="62">
        <v>45386.0</v>
      </c>
      <c r="D31" s="62">
        <v>45392.0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3.0</v>
      </c>
      <c r="L31" s="17">
        <f t="shared" si="3"/>
        <v>565.71</v>
      </c>
      <c r="M31" s="47">
        <v>565.71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60">
        <v>16.0</v>
      </c>
      <c r="U31" s="17">
        <f t="shared" si="6"/>
        <v>81.12</v>
      </c>
      <c r="V31" s="47">
        <v>81.12</v>
      </c>
      <c r="W31" s="60">
        <v>30.0</v>
      </c>
      <c r="X31" s="17">
        <f t="shared" si="7"/>
        <v>546.6</v>
      </c>
      <c r="Y31" s="47">
        <v>546.6</v>
      </c>
      <c r="Z31" s="20"/>
      <c r="AA31" s="17">
        <f t="shared" si="8"/>
        <v>0</v>
      </c>
      <c r="AB31" s="50"/>
      <c r="AC31" s="21">
        <f>SUM(F31+I31+L31+O31+R31)</f>
        <v>565.71</v>
      </c>
      <c r="AD31" s="50"/>
      <c r="AE31" s="23"/>
    </row>
    <row r="32" ht="15.75" customHeight="1">
      <c r="A32" s="58" t="s">
        <v>57</v>
      </c>
      <c r="B32" s="58" t="s">
        <v>58</v>
      </c>
      <c r="C32" s="62">
        <v>45390.0</v>
      </c>
      <c r="D32" s="62">
        <v>45393.0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4.0</v>
      </c>
      <c r="L32" s="17">
        <f t="shared" si="3"/>
        <v>754.28</v>
      </c>
      <c r="M32" s="47">
        <v>754.28</v>
      </c>
      <c r="N32" s="28"/>
      <c r="O32" s="17">
        <f t="shared" si="10"/>
        <v>0</v>
      </c>
      <c r="P32" s="17"/>
      <c r="Q32" s="28"/>
      <c r="R32" s="17">
        <f t="shared" si="5"/>
        <v>0</v>
      </c>
      <c r="S32" s="17"/>
      <c r="T32" s="28"/>
      <c r="U32" s="17">
        <f t="shared" si="6"/>
        <v>0</v>
      </c>
      <c r="V32" s="17"/>
      <c r="W32" s="28"/>
      <c r="X32" s="17">
        <f t="shared" si="7"/>
        <v>0</v>
      </c>
      <c r="Y32" s="17"/>
      <c r="Z32" s="20"/>
      <c r="AA32" s="17">
        <f t="shared" si="8"/>
        <v>0</v>
      </c>
      <c r="AB32" s="17"/>
      <c r="AC32" s="48">
        <v>0.0</v>
      </c>
      <c r="AD32" s="49">
        <v>45396.0</v>
      </c>
      <c r="AE32" s="23"/>
    </row>
    <row r="33" ht="15.75" customHeight="1">
      <c r="A33" s="58" t="s">
        <v>121</v>
      </c>
      <c r="B33" s="58" t="s">
        <v>100</v>
      </c>
      <c r="C33" s="62">
        <v>45386.0</v>
      </c>
      <c r="D33" s="62">
        <v>45391.0</v>
      </c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>
        <v>3.0</v>
      </c>
      <c r="L33" s="17">
        <f t="shared" si="3"/>
        <v>565.71</v>
      </c>
      <c r="M33" s="47">
        <v>565.71</v>
      </c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28"/>
      <c r="U33" s="17">
        <f t="shared" si="6"/>
        <v>0</v>
      </c>
      <c r="V33" s="17"/>
      <c r="W33" s="60">
        <v>6.0</v>
      </c>
      <c r="X33" s="17">
        <f t="shared" si="7"/>
        <v>109.32</v>
      </c>
      <c r="Y33" s="47">
        <v>109.32</v>
      </c>
      <c r="Z33" s="63"/>
      <c r="AA33" s="17">
        <f t="shared" si="8"/>
        <v>0</v>
      </c>
      <c r="AB33" s="17"/>
      <c r="AC33" s="48">
        <v>0.0</v>
      </c>
      <c r="AD33" s="49">
        <v>45396.0</v>
      </c>
      <c r="AE33" s="23"/>
    </row>
    <row r="34" ht="15.75" customHeight="1">
      <c r="A34" s="58" t="s">
        <v>115</v>
      </c>
      <c r="B34" s="58" t="s">
        <v>116</v>
      </c>
      <c r="C34" s="62">
        <v>45390.0</v>
      </c>
      <c r="D34" s="62">
        <v>45393.0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0"/>
        <v>0</v>
      </c>
      <c r="P34" s="17"/>
      <c r="Q34" s="28"/>
      <c r="R34" s="17">
        <f t="shared" si="5"/>
        <v>0</v>
      </c>
      <c r="S34" s="17"/>
      <c r="T34" s="60">
        <v>8.0</v>
      </c>
      <c r="U34" s="17">
        <f t="shared" si="6"/>
        <v>40.56</v>
      </c>
      <c r="V34" s="47">
        <v>40.56</v>
      </c>
      <c r="W34" s="60">
        <v>13.0</v>
      </c>
      <c r="X34" s="17">
        <f t="shared" si="7"/>
        <v>236.86</v>
      </c>
      <c r="Y34" s="47">
        <v>236.86</v>
      </c>
      <c r="Z34" s="20"/>
      <c r="AA34" s="17">
        <f t="shared" si="8"/>
        <v>0</v>
      </c>
      <c r="AB34" s="17"/>
      <c r="AC34" s="48">
        <v>0.0</v>
      </c>
      <c r="AD34" s="49">
        <v>45396.0</v>
      </c>
      <c r="AE34" s="23"/>
    </row>
    <row r="35" ht="15.75" customHeight="1">
      <c r="A35" s="58" t="s">
        <v>170</v>
      </c>
      <c r="B35" s="58" t="s">
        <v>171</v>
      </c>
      <c r="C35" s="62">
        <v>45392.0</v>
      </c>
      <c r="D35" s="62">
        <v>45392.0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>
        <v>1.0</v>
      </c>
      <c r="L35" s="17">
        <f t="shared" si="3"/>
        <v>188.57</v>
      </c>
      <c r="M35" s="47">
        <v>188.57</v>
      </c>
      <c r="N35" s="28"/>
      <c r="O35" s="17">
        <f t="shared" si="10"/>
        <v>0</v>
      </c>
      <c r="P35" s="17"/>
      <c r="Q35" s="28"/>
      <c r="R35" s="17">
        <f t="shared" si="5"/>
        <v>0</v>
      </c>
      <c r="S35" s="17"/>
      <c r="T35" s="28"/>
      <c r="U35" s="17">
        <f t="shared" si="6"/>
        <v>0</v>
      </c>
      <c r="V35" s="17"/>
      <c r="W35" s="28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>
        <v>45396.0</v>
      </c>
      <c r="AE35" s="23"/>
    </row>
    <row r="36" ht="15.75" customHeight="1">
      <c r="A36" s="58" t="s">
        <v>163</v>
      </c>
      <c r="B36" s="58" t="s">
        <v>164</v>
      </c>
      <c r="C36" s="71">
        <v>45379.0</v>
      </c>
      <c r="D36" s="62">
        <v>45392.0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9.0</v>
      </c>
      <c r="L36" s="17">
        <f t="shared" si="3"/>
        <v>1697.13</v>
      </c>
      <c r="M36" s="47">
        <v>1319.99</v>
      </c>
      <c r="N36" s="60"/>
      <c r="O36" s="17">
        <f t="shared" si="10"/>
        <v>0</v>
      </c>
      <c r="P36" s="17"/>
      <c r="Q36" s="28"/>
      <c r="R36" s="17">
        <f t="shared" si="5"/>
        <v>0</v>
      </c>
      <c r="S36" s="17"/>
      <c r="T36" s="60">
        <v>12.0</v>
      </c>
      <c r="U36" s="17">
        <f t="shared" si="6"/>
        <v>60.84</v>
      </c>
      <c r="V36" s="47">
        <v>60.84</v>
      </c>
      <c r="W36" s="60">
        <v>17.0</v>
      </c>
      <c r="X36" s="17">
        <f t="shared" si="7"/>
        <v>309.74</v>
      </c>
      <c r="Y36" s="17"/>
      <c r="Z36" s="63"/>
      <c r="AA36" s="17">
        <f t="shared" si="8"/>
        <v>0</v>
      </c>
      <c r="AB36" s="17"/>
      <c r="AC36" s="48">
        <v>0.0</v>
      </c>
      <c r="AD36" s="49">
        <v>45396.0</v>
      </c>
      <c r="AE36" s="23"/>
    </row>
    <row r="37" ht="15.75" customHeight="1">
      <c r="A37" s="58" t="s">
        <v>82</v>
      </c>
      <c r="B37" s="58" t="s">
        <v>83</v>
      </c>
      <c r="C37" s="71"/>
      <c r="D37" s="62"/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/>
      <c r="L37" s="17">
        <f t="shared" si="3"/>
        <v>0</v>
      </c>
      <c r="M37" s="17"/>
      <c r="N37" s="28"/>
      <c r="O37" s="17">
        <f t="shared" si="10"/>
        <v>0</v>
      </c>
      <c r="P37" s="17"/>
      <c r="Q37" s="28"/>
      <c r="R37" s="17">
        <f t="shared" si="5"/>
        <v>0</v>
      </c>
      <c r="S37" s="17"/>
      <c r="T37" s="28"/>
      <c r="U37" s="17">
        <f t="shared" si="6"/>
        <v>0</v>
      </c>
      <c r="V37" s="17"/>
      <c r="W37" s="28"/>
      <c r="X37" s="17">
        <f t="shared" si="7"/>
        <v>0</v>
      </c>
      <c r="Y37" s="17"/>
      <c r="Z37" s="63"/>
      <c r="AA37" s="17">
        <f t="shared" si="8"/>
        <v>0</v>
      </c>
      <c r="AB37" s="17"/>
      <c r="AC37" s="48">
        <v>0.0</v>
      </c>
      <c r="AD37" s="50"/>
      <c r="AE37" s="23"/>
    </row>
    <row r="38" ht="15.75" customHeight="1">
      <c r="A38" s="58" t="s">
        <v>47</v>
      </c>
      <c r="B38" s="58" t="s">
        <v>84</v>
      </c>
      <c r="C38" s="71">
        <v>45386.0</v>
      </c>
      <c r="D38" s="62">
        <v>45392.0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1.0</v>
      </c>
      <c r="L38" s="17">
        <f t="shared" si="3"/>
        <v>188.57</v>
      </c>
      <c r="M38" s="47">
        <v>188.57</v>
      </c>
      <c r="N38" s="60">
        <v>3.0</v>
      </c>
      <c r="O38" s="17">
        <f t="shared" si="10"/>
        <v>176.55</v>
      </c>
      <c r="P38" s="47">
        <v>176.55</v>
      </c>
      <c r="Q38" s="28"/>
      <c r="R38" s="17">
        <f t="shared" si="5"/>
        <v>0</v>
      </c>
      <c r="S38" s="17"/>
      <c r="T38" s="60">
        <v>16.0</v>
      </c>
      <c r="U38" s="17">
        <f t="shared" si="6"/>
        <v>81.12</v>
      </c>
      <c r="V38" s="47">
        <v>81.12</v>
      </c>
      <c r="W38" s="60">
        <v>17.0</v>
      </c>
      <c r="X38" s="17">
        <f t="shared" si="7"/>
        <v>309.74</v>
      </c>
      <c r="Y38" s="47">
        <v>309.74</v>
      </c>
      <c r="Z38" s="20"/>
      <c r="AA38" s="17">
        <f t="shared" si="8"/>
        <v>0</v>
      </c>
      <c r="AB38" s="17"/>
      <c r="AC38" s="48">
        <v>0.0</v>
      </c>
      <c r="AD38" s="50">
        <v>45396.0</v>
      </c>
      <c r="AE38" s="23"/>
    </row>
    <row r="39" ht="15.75" customHeight="1">
      <c r="A39" s="58" t="s">
        <v>69</v>
      </c>
      <c r="B39" s="58" t="s">
        <v>70</v>
      </c>
      <c r="C39" s="71">
        <v>45390.0</v>
      </c>
      <c r="D39" s="62">
        <v>45393.0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4.0</v>
      </c>
      <c r="L39" s="17">
        <f t="shared" si="3"/>
        <v>754.28</v>
      </c>
      <c r="M39" s="47">
        <v>754.28</v>
      </c>
      <c r="N39" s="28"/>
      <c r="O39" s="17">
        <f t="shared" si="10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45396.0</v>
      </c>
      <c r="AE39" s="23"/>
    </row>
    <row r="40" ht="15.75" customHeight="1">
      <c r="A40" s="58" t="s">
        <v>158</v>
      </c>
      <c r="B40" s="58" t="s">
        <v>159</v>
      </c>
      <c r="C40" s="71">
        <v>45370.0</v>
      </c>
      <c r="D40" s="71">
        <v>45393.0</v>
      </c>
      <c r="E40" s="60"/>
      <c r="F40" s="17">
        <f t="shared" si="1"/>
        <v>0</v>
      </c>
      <c r="G40" s="17"/>
      <c r="H40" s="28"/>
      <c r="I40" s="17">
        <f t="shared" si="2"/>
        <v>0</v>
      </c>
      <c r="J40" s="17"/>
      <c r="K40" s="57">
        <v>15.0</v>
      </c>
      <c r="L40" s="17">
        <f t="shared" si="3"/>
        <v>2828.55</v>
      </c>
      <c r="M40" s="47">
        <v>2828.55</v>
      </c>
      <c r="N40" s="60"/>
      <c r="O40" s="17">
        <f t="shared" si="10"/>
        <v>0</v>
      </c>
      <c r="P40" s="47"/>
      <c r="Q40" s="28"/>
      <c r="R40" s="17">
        <f t="shared" si="5"/>
        <v>0</v>
      </c>
      <c r="S40" s="17"/>
      <c r="T40" s="60"/>
      <c r="U40" s="17">
        <f t="shared" si="6"/>
        <v>0</v>
      </c>
      <c r="V40" s="47"/>
      <c r="W40" s="28"/>
      <c r="X40" s="17">
        <f t="shared" si="7"/>
        <v>0</v>
      </c>
      <c r="Y40" s="17"/>
      <c r="Z40" s="20"/>
      <c r="AA40" s="17">
        <f t="shared" si="8"/>
        <v>0</v>
      </c>
      <c r="AB40" s="50"/>
      <c r="AC40" s="48">
        <v>0.0</v>
      </c>
      <c r="AD40" s="50">
        <v>45396.0</v>
      </c>
      <c r="AE40" s="23"/>
      <c r="AF40" s="31"/>
    </row>
    <row r="41" ht="15.75" customHeight="1">
      <c r="A41" s="58" t="s">
        <v>95</v>
      </c>
      <c r="B41" s="58" t="s">
        <v>58</v>
      </c>
      <c r="C41" s="71">
        <v>45390.0</v>
      </c>
      <c r="D41" s="62">
        <v>45393.0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4.0</v>
      </c>
      <c r="L41" s="17">
        <f t="shared" si="3"/>
        <v>754.28</v>
      </c>
      <c r="M41" s="47">
        <v>754.28</v>
      </c>
      <c r="N41" s="28"/>
      <c r="O41" s="17">
        <f t="shared" si="10"/>
        <v>0</v>
      </c>
      <c r="P41" s="17"/>
      <c r="Q41" s="28"/>
      <c r="R41" s="97">
        <f t="shared" si="5"/>
        <v>0</v>
      </c>
      <c r="S41" s="17"/>
      <c r="T41" s="60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45396.0</v>
      </c>
      <c r="AE41" s="23"/>
    </row>
    <row r="42" ht="15.75" customHeight="1">
      <c r="A42" s="58" t="s">
        <v>161</v>
      </c>
      <c r="B42" s="58" t="s">
        <v>176</v>
      </c>
      <c r="C42" s="71">
        <v>45388.0</v>
      </c>
      <c r="D42" s="62">
        <v>45393.0</v>
      </c>
      <c r="E42" s="60"/>
      <c r="F42" s="17">
        <f t="shared" si="1"/>
        <v>0</v>
      </c>
      <c r="G42" s="17"/>
      <c r="H42" s="28"/>
      <c r="I42" s="17">
        <f t="shared" ref="I42:I53" si="12">PRODUCT(H42)*316.77</f>
        <v>0</v>
      </c>
      <c r="J42" s="17"/>
      <c r="K42" s="57"/>
      <c r="L42" s="17">
        <f t="shared" si="3"/>
        <v>0</v>
      </c>
      <c r="M42" s="17"/>
      <c r="N42" s="28"/>
      <c r="O42" s="17">
        <f t="shared" si="10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20"/>
      <c r="AA42" s="17">
        <f t="shared" si="8"/>
        <v>0</v>
      </c>
      <c r="AB42" s="17"/>
      <c r="AC42" s="21">
        <f>SUM(F42+I43+L42+O42+R42)</f>
        <v>0</v>
      </c>
      <c r="AD42" s="22"/>
      <c r="AE42" s="23"/>
    </row>
    <row r="43" ht="15.75" customHeight="1">
      <c r="A43" s="58" t="s">
        <v>20</v>
      </c>
      <c r="B43" s="58" t="s">
        <v>21</v>
      </c>
      <c r="C43" s="71">
        <v>45369.0</v>
      </c>
      <c r="D43" s="62">
        <v>45392.0</v>
      </c>
      <c r="E43" s="60"/>
      <c r="F43" s="17">
        <f t="shared" si="1"/>
        <v>0</v>
      </c>
      <c r="G43" s="17"/>
      <c r="H43" s="28"/>
      <c r="I43" s="17">
        <f t="shared" si="12"/>
        <v>0</v>
      </c>
      <c r="J43" s="17"/>
      <c r="K43" s="57">
        <v>15.0</v>
      </c>
      <c r="L43" s="17">
        <f t="shared" si="3"/>
        <v>2828.55</v>
      </c>
      <c r="M43" s="47">
        <v>2828.55</v>
      </c>
      <c r="N43" s="28"/>
      <c r="O43" s="17">
        <f t="shared" si="10"/>
        <v>0</v>
      </c>
      <c r="P43" s="17"/>
      <c r="Q43" s="28"/>
      <c r="R43" s="97">
        <f t="shared" si="5"/>
        <v>0</v>
      </c>
      <c r="S43" s="17"/>
      <c r="T43" s="60">
        <v>12.0</v>
      </c>
      <c r="U43" s="17">
        <f t="shared" si="6"/>
        <v>60.84</v>
      </c>
      <c r="V43" s="17"/>
      <c r="W43" s="60">
        <v>7.0</v>
      </c>
      <c r="X43" s="17">
        <f t="shared" si="7"/>
        <v>127.54</v>
      </c>
      <c r="Y43" s="47">
        <v>127.54</v>
      </c>
      <c r="Z43" s="20"/>
      <c r="AA43" s="17">
        <f t="shared" si="8"/>
        <v>0</v>
      </c>
      <c r="AB43" s="17"/>
      <c r="AC43" s="48">
        <v>0.0</v>
      </c>
      <c r="AD43" s="49">
        <v>45396.0</v>
      </c>
      <c r="AE43" s="23"/>
    </row>
    <row r="44" ht="15.75" customHeight="1">
      <c r="A44" s="58" t="s">
        <v>136</v>
      </c>
      <c r="B44" s="58" t="s">
        <v>162</v>
      </c>
      <c r="C44" s="71">
        <v>45386.0</v>
      </c>
      <c r="D44" s="62">
        <v>45392.0</v>
      </c>
      <c r="E44" s="60"/>
      <c r="F44" s="17">
        <f t="shared" si="1"/>
        <v>0</v>
      </c>
      <c r="G44" s="17"/>
      <c r="H44" s="28"/>
      <c r="I44" s="17">
        <f t="shared" si="12"/>
        <v>0</v>
      </c>
      <c r="J44" s="17"/>
      <c r="K44" s="57">
        <v>4.0</v>
      </c>
      <c r="L44" s="17">
        <f t="shared" si="3"/>
        <v>754.28</v>
      </c>
      <c r="M44" s="47">
        <v>754.28</v>
      </c>
      <c r="N44" s="28"/>
      <c r="O44" s="17">
        <f t="shared" si="10"/>
        <v>0</v>
      </c>
      <c r="P44" s="17"/>
      <c r="Q44" s="28"/>
      <c r="R44" s="97">
        <f t="shared" si="5"/>
        <v>0</v>
      </c>
      <c r="S44" s="17"/>
      <c r="T44" s="60">
        <v>4.0</v>
      </c>
      <c r="U44" s="17">
        <f t="shared" si="6"/>
        <v>20.28</v>
      </c>
      <c r="V44" s="47">
        <v>20.28</v>
      </c>
      <c r="W44" s="60">
        <v>23.0</v>
      </c>
      <c r="X44" s="17">
        <f t="shared" si="7"/>
        <v>419.06</v>
      </c>
      <c r="Y44" s="47">
        <v>419.06</v>
      </c>
      <c r="Z44" s="20"/>
      <c r="AA44" s="17">
        <f t="shared" si="8"/>
        <v>0</v>
      </c>
      <c r="AB44" s="17"/>
      <c r="AC44" s="48">
        <v>0.0</v>
      </c>
      <c r="AD44" s="49">
        <v>45396.0</v>
      </c>
      <c r="AE44" s="23"/>
    </row>
    <row r="45" ht="15.75" customHeight="1">
      <c r="A45" s="58" t="s">
        <v>177</v>
      </c>
      <c r="B45" s="58" t="s">
        <v>178</v>
      </c>
      <c r="C45" s="62">
        <v>45390.0</v>
      </c>
      <c r="D45" s="62">
        <v>45391.0</v>
      </c>
      <c r="E45" s="28"/>
      <c r="F45" s="17">
        <f t="shared" si="1"/>
        <v>0</v>
      </c>
      <c r="G45" s="47"/>
      <c r="H45" s="28"/>
      <c r="I45" s="17">
        <f t="shared" si="12"/>
        <v>0</v>
      </c>
      <c r="J45" s="17"/>
      <c r="K45" s="57">
        <v>2.0</v>
      </c>
      <c r="L45" s="17">
        <f t="shared" si="3"/>
        <v>377.14</v>
      </c>
      <c r="M45" s="47">
        <v>377.14</v>
      </c>
      <c r="N45" s="28"/>
      <c r="O45" s="17">
        <f t="shared" si="10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28"/>
      <c r="X45" s="17">
        <f t="shared" si="7"/>
        <v>0</v>
      </c>
      <c r="Y45" s="17"/>
      <c r="Z45" s="20"/>
      <c r="AA45" s="17">
        <f t="shared" si="8"/>
        <v>0</v>
      </c>
      <c r="AB45" s="17"/>
      <c r="AC45" s="48">
        <v>0.0</v>
      </c>
      <c r="AD45" s="49">
        <v>6689156.0</v>
      </c>
      <c r="AE45" s="23"/>
    </row>
    <row r="46" ht="15.75" customHeight="1">
      <c r="A46" s="58" t="s">
        <v>174</v>
      </c>
      <c r="B46" s="58" t="s">
        <v>189</v>
      </c>
      <c r="C46" s="71">
        <v>45386.0</v>
      </c>
      <c r="D46" s="71">
        <v>45391.0</v>
      </c>
      <c r="E46" s="60"/>
      <c r="F46" s="17">
        <f t="shared" si="1"/>
        <v>0</v>
      </c>
      <c r="G46" s="17"/>
      <c r="H46" s="28"/>
      <c r="I46" s="17">
        <f t="shared" si="12"/>
        <v>0</v>
      </c>
      <c r="J46" s="47"/>
      <c r="K46" s="57">
        <v>2.0</v>
      </c>
      <c r="L46" s="17">
        <f t="shared" si="3"/>
        <v>377.14</v>
      </c>
      <c r="M46" s="47">
        <v>377.14</v>
      </c>
      <c r="N46" s="28"/>
      <c r="O46" s="17">
        <f t="shared" si="10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28"/>
      <c r="X46" s="17">
        <f t="shared" si="7"/>
        <v>0</v>
      </c>
      <c r="Y46" s="17"/>
      <c r="Z46" s="20"/>
      <c r="AA46" s="17">
        <f t="shared" si="8"/>
        <v>0</v>
      </c>
      <c r="AB46" s="17"/>
      <c r="AC46" s="48">
        <v>0.0</v>
      </c>
      <c r="AD46" s="49">
        <v>45396.0</v>
      </c>
      <c r="AE46" s="23"/>
    </row>
    <row r="47" ht="15.75" customHeight="1">
      <c r="A47" s="58" t="s">
        <v>223</v>
      </c>
      <c r="B47" s="58" t="s">
        <v>224</v>
      </c>
      <c r="C47" s="62">
        <v>45386.0</v>
      </c>
      <c r="D47" s="62">
        <v>45392.0</v>
      </c>
      <c r="E47" s="60"/>
      <c r="F47" s="17">
        <f t="shared" si="1"/>
        <v>0</v>
      </c>
      <c r="G47" s="17"/>
      <c r="H47" s="28"/>
      <c r="I47" s="17">
        <f t="shared" si="12"/>
        <v>0</v>
      </c>
      <c r="J47" s="17"/>
      <c r="K47" s="57">
        <v>4.0</v>
      </c>
      <c r="L47" s="17">
        <f t="shared" si="3"/>
        <v>754.28</v>
      </c>
      <c r="M47" s="47">
        <v>754.28</v>
      </c>
      <c r="N47" s="28"/>
      <c r="O47" s="17">
        <f t="shared" si="10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28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>
        <v>45396.0</v>
      </c>
      <c r="AE47" s="23"/>
    </row>
    <row r="48" ht="15.75" customHeight="1">
      <c r="A48" s="58" t="s">
        <v>193</v>
      </c>
      <c r="B48" s="58" t="s">
        <v>194</v>
      </c>
      <c r="C48" s="62">
        <v>45386.0</v>
      </c>
      <c r="D48" s="62">
        <v>45392.0</v>
      </c>
      <c r="E48" s="28"/>
      <c r="F48" s="17">
        <f t="shared" si="1"/>
        <v>0</v>
      </c>
      <c r="G48" s="17"/>
      <c r="H48" s="28"/>
      <c r="I48" s="17">
        <f t="shared" si="12"/>
        <v>0</v>
      </c>
      <c r="J48" s="17"/>
      <c r="K48" s="57">
        <v>3.0</v>
      </c>
      <c r="L48" s="17">
        <f t="shared" si="3"/>
        <v>565.71</v>
      </c>
      <c r="M48" s="47">
        <v>565.71</v>
      </c>
      <c r="N48" s="28"/>
      <c r="O48" s="17">
        <f t="shared" si="10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/>
      <c r="X48" s="17">
        <f t="shared" si="7"/>
        <v>0</v>
      </c>
      <c r="Y48" s="17"/>
      <c r="Z48" s="63"/>
      <c r="AA48" s="17">
        <f t="shared" si="8"/>
        <v>0</v>
      </c>
      <c r="AB48" s="17"/>
      <c r="AC48" s="48">
        <v>0.0</v>
      </c>
      <c r="AD48" s="49">
        <v>45396.0</v>
      </c>
      <c r="AE48" s="23"/>
    </row>
    <row r="49" ht="15.75" customHeight="1">
      <c r="A49" s="58" t="s">
        <v>225</v>
      </c>
      <c r="B49" s="58" t="s">
        <v>226</v>
      </c>
      <c r="C49" s="62">
        <v>45391.0</v>
      </c>
      <c r="D49" s="62">
        <v>45392.0</v>
      </c>
      <c r="E49" s="60">
        <v>1.0</v>
      </c>
      <c r="F49" s="17">
        <f t="shared" si="1"/>
        <v>214.22</v>
      </c>
      <c r="G49" s="47">
        <v>214.22</v>
      </c>
      <c r="H49" s="28"/>
      <c r="I49" s="17">
        <f t="shared" si="12"/>
        <v>0</v>
      </c>
      <c r="J49" s="17"/>
      <c r="K49" s="57">
        <v>1.0</v>
      </c>
      <c r="L49" s="17">
        <f t="shared" si="3"/>
        <v>188.57</v>
      </c>
      <c r="M49" s="47">
        <v>188.57</v>
      </c>
      <c r="N49" s="28"/>
      <c r="O49" s="17">
        <f t="shared" si="10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>
        <v>45396.0</v>
      </c>
      <c r="AE49" s="23"/>
    </row>
    <row r="50" ht="15.75" customHeight="1">
      <c r="A50" s="58" t="s">
        <v>198</v>
      </c>
      <c r="B50" s="90" t="s">
        <v>199</v>
      </c>
      <c r="C50" s="62">
        <v>45390.0</v>
      </c>
      <c r="D50" s="62">
        <v>45393.0</v>
      </c>
      <c r="E50" s="60"/>
      <c r="F50" s="17">
        <f t="shared" si="1"/>
        <v>0</v>
      </c>
      <c r="G50" s="17"/>
      <c r="H50" s="60"/>
      <c r="I50" s="17">
        <f t="shared" si="12"/>
        <v>0</v>
      </c>
      <c r="J50" s="17"/>
      <c r="K50" s="57">
        <v>4.0</v>
      </c>
      <c r="L50" s="17">
        <f t="shared" si="3"/>
        <v>754.28</v>
      </c>
      <c r="M50" s="47">
        <v>754.28</v>
      </c>
      <c r="N50" s="28"/>
      <c r="O50" s="17">
        <f t="shared" si="10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>
        <v>45.0</v>
      </c>
      <c r="X50" s="17">
        <f t="shared" si="7"/>
        <v>819.9</v>
      </c>
      <c r="Y50" s="17"/>
      <c r="Z50" s="63"/>
      <c r="AA50" s="17">
        <f t="shared" si="8"/>
        <v>0</v>
      </c>
      <c r="AB50" s="17"/>
      <c r="AC50" s="48">
        <v>0.0</v>
      </c>
      <c r="AD50" s="26"/>
      <c r="AE50" s="23"/>
    </row>
    <row r="51" ht="15.75" customHeight="1">
      <c r="A51" s="58" t="s">
        <v>109</v>
      </c>
      <c r="B51" s="58" t="s">
        <v>200</v>
      </c>
      <c r="C51" s="62">
        <v>45387.0</v>
      </c>
      <c r="D51" s="62">
        <v>45391.0</v>
      </c>
      <c r="E51" s="60"/>
      <c r="F51" s="17">
        <f t="shared" si="1"/>
        <v>0</v>
      </c>
      <c r="G51" s="17"/>
      <c r="H51" s="60"/>
      <c r="I51" s="17">
        <f t="shared" si="12"/>
        <v>0</v>
      </c>
      <c r="J51" s="17"/>
      <c r="K51" s="57">
        <v>5.0</v>
      </c>
      <c r="L51" s="17">
        <f t="shared" si="3"/>
        <v>942.85</v>
      </c>
      <c r="M51" s="47">
        <v>565.71</v>
      </c>
      <c r="N51" s="28"/>
      <c r="O51" s="17">
        <f t="shared" si="10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>
        <v>11.0</v>
      </c>
      <c r="X51" s="17">
        <f t="shared" si="7"/>
        <v>200.42</v>
      </c>
      <c r="Y51" s="47">
        <v>202.42</v>
      </c>
      <c r="Z51" s="63"/>
      <c r="AA51" s="17">
        <f t="shared" si="8"/>
        <v>0</v>
      </c>
      <c r="AB51" s="17"/>
      <c r="AC51" s="48">
        <v>0.0</v>
      </c>
      <c r="AD51" s="26"/>
      <c r="AE51" s="23"/>
    </row>
    <row r="52" ht="15.75" customHeight="1">
      <c r="A52" s="58" t="s">
        <v>201</v>
      </c>
      <c r="B52" s="58" t="s">
        <v>202</v>
      </c>
      <c r="C52" s="62">
        <v>45390.0</v>
      </c>
      <c r="D52" s="62">
        <v>45391.0</v>
      </c>
      <c r="E52" s="60"/>
      <c r="F52" s="17">
        <f t="shared" si="1"/>
        <v>0</v>
      </c>
      <c r="G52" s="17"/>
      <c r="H52" s="60"/>
      <c r="I52" s="17">
        <f t="shared" si="12"/>
        <v>0</v>
      </c>
      <c r="J52" s="17"/>
      <c r="K52" s="57">
        <v>2.0</v>
      </c>
      <c r="L52" s="17">
        <f t="shared" si="3"/>
        <v>377.14</v>
      </c>
      <c r="M52" s="47">
        <v>377.14</v>
      </c>
      <c r="N52" s="28"/>
      <c r="O52" s="17">
        <f t="shared" si="10"/>
        <v>0</v>
      </c>
      <c r="P52" s="17"/>
      <c r="Q52" s="28"/>
      <c r="R52" s="97">
        <f t="shared" si="5"/>
        <v>0</v>
      </c>
      <c r="S52" s="17"/>
      <c r="T52" s="28"/>
      <c r="U52" s="17">
        <f t="shared" si="6"/>
        <v>0</v>
      </c>
      <c r="V52" s="17"/>
      <c r="W52" s="28"/>
      <c r="X52" s="17">
        <f t="shared" si="7"/>
        <v>0</v>
      </c>
      <c r="Y52" s="17"/>
      <c r="Z52" s="63"/>
      <c r="AA52" s="17">
        <f t="shared" si="8"/>
        <v>0</v>
      </c>
      <c r="AB52" s="17"/>
      <c r="AC52" s="48">
        <v>0.0</v>
      </c>
      <c r="AD52" s="50">
        <v>45396.0</v>
      </c>
      <c r="AE52" s="23"/>
    </row>
    <row r="53" ht="15.75" customHeight="1">
      <c r="A53" s="58" t="s">
        <v>203</v>
      </c>
      <c r="B53" s="58" t="s">
        <v>204</v>
      </c>
      <c r="C53" s="62">
        <v>45386.0</v>
      </c>
      <c r="D53" s="62">
        <v>45392.0</v>
      </c>
      <c r="E53" s="60"/>
      <c r="F53" s="17">
        <f t="shared" si="1"/>
        <v>0</v>
      </c>
      <c r="G53" s="17"/>
      <c r="H53" s="60"/>
      <c r="I53" s="17">
        <f t="shared" si="12"/>
        <v>0</v>
      </c>
      <c r="J53" s="17"/>
      <c r="K53" s="57">
        <v>4.0</v>
      </c>
      <c r="L53" s="17">
        <f t="shared" si="3"/>
        <v>754.28</v>
      </c>
      <c r="M53" s="47">
        <v>754.28</v>
      </c>
      <c r="N53" s="28"/>
      <c r="O53" s="17">
        <f t="shared" si="10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28"/>
      <c r="X53" s="17">
        <f t="shared" si="7"/>
        <v>0</v>
      </c>
      <c r="Y53" s="17"/>
      <c r="Z53" s="63"/>
      <c r="AA53" s="17">
        <f t="shared" si="8"/>
        <v>0</v>
      </c>
      <c r="AB53" s="17"/>
      <c r="AC53" s="48">
        <v>0.0</v>
      </c>
      <c r="AD53" s="50">
        <v>45396.0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214.22</v>
      </c>
      <c r="G54" s="43">
        <f>SUM(G4:G44)</f>
        <v>1285.322</v>
      </c>
      <c r="H54" s="42"/>
      <c r="I54" s="43">
        <f>SUM(I4:I53)</f>
        <v>17422.35</v>
      </c>
      <c r="J54" s="43">
        <f>SUM(J4:J44)</f>
        <v>45925.35</v>
      </c>
      <c r="K54" s="42"/>
      <c r="L54" s="43">
        <f t="shared" ref="L54:M54" si="13">SUM(L4:L44)</f>
        <v>23571.25</v>
      </c>
      <c r="M54" s="43">
        <f t="shared" si="13"/>
        <v>23005.54</v>
      </c>
      <c r="N54" s="42"/>
      <c r="O54" s="43">
        <f t="shared" ref="O54:P54" si="14">SUM(O4:O44)</f>
        <v>294.25</v>
      </c>
      <c r="P54" s="43">
        <f t="shared" si="14"/>
        <v>294.25</v>
      </c>
      <c r="Q54" s="42"/>
      <c r="R54" s="43">
        <f t="shared" ref="R54:S54" si="15">SUM(R4:R44)</f>
        <v>0</v>
      </c>
      <c r="S54" s="43">
        <f t="shared" si="15"/>
        <v>0</v>
      </c>
      <c r="T54" s="42"/>
      <c r="U54" s="43">
        <f t="shared" ref="U54:V54" si="16">SUM(U4:U44)</f>
        <v>598.26</v>
      </c>
      <c r="V54" s="43">
        <f t="shared" si="16"/>
        <v>537.42</v>
      </c>
      <c r="W54" s="42"/>
      <c r="X54" s="43">
        <f t="shared" ref="X54:Y54" si="17">SUM(X4:X44)</f>
        <v>5138.04</v>
      </c>
      <c r="Y54" s="43">
        <f t="shared" si="17"/>
        <v>4828.3</v>
      </c>
      <c r="Z54" s="42"/>
      <c r="AA54" s="43">
        <f t="shared" ref="AA54:AC54" si="18">SUM(AA4:AA44)</f>
        <v>0</v>
      </c>
      <c r="AB54" s="43">
        <f t="shared" si="18"/>
        <v>0</v>
      </c>
      <c r="AC54" s="43">
        <f t="shared" si="18"/>
        <v>1319.99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227</v>
      </c>
      <c r="B4" s="61" t="s">
        <v>228</v>
      </c>
      <c r="C4" s="71">
        <v>45394.0</v>
      </c>
      <c r="D4" s="71">
        <v>45394.0</v>
      </c>
      <c r="E4" s="57">
        <v>1.0</v>
      </c>
      <c r="F4" s="17">
        <f t="shared" ref="F4:F53" si="1">PRODUCT(E4)*214.22</f>
        <v>214.22</v>
      </c>
      <c r="G4" s="47">
        <v>214.22</v>
      </c>
      <c r="H4" s="57"/>
      <c r="I4" s="17">
        <f t="shared" ref="I4:I40" si="2">PRODUCT(H4)*316.77</f>
        <v>0</v>
      </c>
      <c r="J4" s="17"/>
      <c r="K4" s="16"/>
      <c r="L4" s="17">
        <f t="shared" ref="L4:L53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48">
        <v>0.0</v>
      </c>
      <c r="AD4" s="50">
        <v>45403.0</v>
      </c>
      <c r="AE4" s="23"/>
    </row>
    <row r="5">
      <c r="A5" s="61" t="s">
        <v>123</v>
      </c>
      <c r="B5" s="61" t="s">
        <v>229</v>
      </c>
      <c r="C5" s="62">
        <v>45398.0</v>
      </c>
      <c r="D5" s="62">
        <v>45398.0</v>
      </c>
      <c r="E5" s="57">
        <v>1.0</v>
      </c>
      <c r="F5" s="17">
        <f t="shared" si="1"/>
        <v>214.22</v>
      </c>
      <c r="G5" s="47">
        <v>214.22</v>
      </c>
      <c r="H5" s="16"/>
      <c r="I5" s="17">
        <f t="shared" si="2"/>
        <v>0</v>
      </c>
      <c r="J5" s="47"/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/>
      <c r="X5" s="17">
        <f t="shared" si="7"/>
        <v>0</v>
      </c>
      <c r="Y5" s="17"/>
      <c r="Z5" s="20"/>
      <c r="AA5" s="17">
        <f t="shared" si="8"/>
        <v>0</v>
      </c>
      <c r="AB5" s="17"/>
      <c r="AC5" s="48">
        <v>0.0</v>
      </c>
      <c r="AD5" s="50">
        <v>45403.0</v>
      </c>
      <c r="AE5" s="24"/>
    </row>
    <row r="6">
      <c r="A6" s="61" t="s">
        <v>61</v>
      </c>
      <c r="B6" s="61" t="s">
        <v>62</v>
      </c>
      <c r="C6" s="71">
        <v>45393.0</v>
      </c>
      <c r="D6" s="62">
        <v>45399.0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4.0</v>
      </c>
      <c r="O6" s="17">
        <f t="shared" si="4"/>
        <v>235.4</v>
      </c>
      <c r="P6" s="47">
        <v>235.4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26"/>
      <c r="AE6" s="24"/>
    </row>
    <row r="7">
      <c r="A7" s="61"/>
      <c r="B7" s="61"/>
      <c r="C7" s="62"/>
      <c r="D7" s="62"/>
      <c r="E7" s="57"/>
      <c r="F7" s="17">
        <f t="shared" si="1"/>
        <v>0</v>
      </c>
      <c r="G7" s="17"/>
      <c r="H7" s="57"/>
      <c r="I7" s="17">
        <f t="shared" si="2"/>
        <v>0</v>
      </c>
      <c r="J7" s="17"/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21">
        <f t="shared" ref="AC7:AC9" si="9">SUM(F7+I7+L7+O7+R7)</f>
        <v>0</v>
      </c>
      <c r="AD7" s="26"/>
      <c r="AE7" s="24"/>
    </row>
    <row r="8">
      <c r="A8" s="61"/>
      <c r="B8" s="61"/>
      <c r="C8" s="71"/>
      <c r="D8" s="62"/>
      <c r="E8" s="57"/>
      <c r="F8" s="17">
        <f t="shared" si="1"/>
        <v>0</v>
      </c>
      <c r="G8" s="17"/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21">
        <f t="shared" si="9"/>
        <v>0</v>
      </c>
      <c r="AD8" s="22"/>
      <c r="AE8" s="23"/>
    </row>
    <row r="9">
      <c r="A9" s="58" t="s">
        <v>71</v>
      </c>
      <c r="B9" s="58" t="s">
        <v>190</v>
      </c>
      <c r="C9" s="71"/>
      <c r="D9" s="71"/>
      <c r="E9" s="57"/>
      <c r="F9" s="17">
        <f t="shared" si="1"/>
        <v>0</v>
      </c>
      <c r="G9" s="17"/>
      <c r="H9" s="57"/>
      <c r="I9" s="17">
        <f t="shared" si="2"/>
        <v>0</v>
      </c>
      <c r="J9" s="17"/>
      <c r="K9" s="16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17"/>
      <c r="Z9" s="20"/>
      <c r="AA9" s="17">
        <f t="shared" si="8"/>
        <v>0</v>
      </c>
      <c r="AB9" s="17"/>
      <c r="AC9" s="21">
        <f t="shared" si="9"/>
        <v>0</v>
      </c>
      <c r="AD9" s="45"/>
      <c r="AE9" s="23"/>
    </row>
    <row r="10">
      <c r="A10" s="58" t="s">
        <v>215</v>
      </c>
      <c r="B10" s="58" t="s">
        <v>216</v>
      </c>
      <c r="C10" s="71">
        <v>45379.0</v>
      </c>
      <c r="D10" s="71">
        <v>45383.0</v>
      </c>
      <c r="E10" s="57"/>
      <c r="F10" s="17">
        <f t="shared" si="1"/>
        <v>0</v>
      </c>
      <c r="G10" s="17"/>
      <c r="H10" s="57">
        <v>5.0</v>
      </c>
      <c r="I10" s="17">
        <f t="shared" si="2"/>
        <v>1583.85</v>
      </c>
      <c r="J10" s="47">
        <v>1583.85</v>
      </c>
      <c r="K10" s="16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57">
        <v>7.0</v>
      </c>
      <c r="X10" s="17">
        <f t="shared" si="7"/>
        <v>127.54</v>
      </c>
      <c r="Y10" s="47">
        <v>127.54</v>
      </c>
      <c r="Z10" s="20"/>
      <c r="AA10" s="17">
        <f t="shared" si="8"/>
        <v>0</v>
      </c>
      <c r="AB10" s="50"/>
      <c r="AC10" s="48">
        <v>0.0</v>
      </c>
      <c r="AD10" s="50">
        <v>45403.0</v>
      </c>
      <c r="AE10" s="23"/>
    </row>
    <row r="11">
      <c r="A11" s="58" t="s">
        <v>230</v>
      </c>
      <c r="B11" s="58" t="s">
        <v>149</v>
      </c>
      <c r="C11" s="71">
        <v>45376.0</v>
      </c>
      <c r="D11" s="99">
        <v>45383.0</v>
      </c>
      <c r="E11" s="16"/>
      <c r="F11" s="17">
        <f t="shared" si="1"/>
        <v>0</v>
      </c>
      <c r="G11" s="17"/>
      <c r="H11" s="57">
        <v>6.0</v>
      </c>
      <c r="I11" s="17">
        <f t="shared" si="2"/>
        <v>1900.62</v>
      </c>
      <c r="J11" s="47">
        <v>1900.62</v>
      </c>
      <c r="K11" s="57">
        <v>4.0</v>
      </c>
      <c r="L11" s="17">
        <f t="shared" si="3"/>
        <v>754.28</v>
      </c>
      <c r="M11" s="4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/>
      <c r="X11" s="17">
        <f t="shared" si="7"/>
        <v>0</v>
      </c>
      <c r="Y11" s="17"/>
      <c r="Z11" s="20"/>
      <c r="AA11" s="17">
        <f t="shared" si="8"/>
        <v>0</v>
      </c>
      <c r="AB11" s="17"/>
      <c r="AC11" s="48">
        <v>0.0</v>
      </c>
      <c r="AD11" s="49">
        <v>45403.0</v>
      </c>
      <c r="AE11" s="23"/>
    </row>
    <row r="12">
      <c r="A12" s="58" t="s">
        <v>181</v>
      </c>
      <c r="B12" s="58" t="s">
        <v>182</v>
      </c>
      <c r="C12" s="71">
        <v>45393.0</v>
      </c>
      <c r="D12" s="62">
        <v>45400.0</v>
      </c>
      <c r="E12" s="16"/>
      <c r="F12" s="17">
        <f t="shared" si="1"/>
        <v>0</v>
      </c>
      <c r="G12" s="17"/>
      <c r="H12" s="57"/>
      <c r="I12" s="17">
        <f t="shared" si="2"/>
        <v>0</v>
      </c>
      <c r="J12" s="47"/>
      <c r="K12" s="57">
        <v>4.0</v>
      </c>
      <c r="L12" s="17">
        <f t="shared" si="3"/>
        <v>754.28</v>
      </c>
      <c r="M12" s="47">
        <v>565.71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>
        <v>4.0</v>
      </c>
      <c r="U12" s="17">
        <f t="shared" si="6"/>
        <v>20.28</v>
      </c>
      <c r="V12" s="47">
        <v>20.28</v>
      </c>
      <c r="W12" s="57">
        <v>1.0</v>
      </c>
      <c r="X12" s="17">
        <f t="shared" si="7"/>
        <v>18.22</v>
      </c>
      <c r="Y12" s="47">
        <v>18.22</v>
      </c>
      <c r="Z12" s="63"/>
      <c r="AA12" s="17">
        <f t="shared" si="8"/>
        <v>0</v>
      </c>
      <c r="AB12" s="17"/>
      <c r="AC12" s="21">
        <f>SUM(F12+I12+L12+O12+R12)</f>
        <v>754.28</v>
      </c>
      <c r="AD12" s="49">
        <v>45403.0</v>
      </c>
      <c r="AE12" s="89"/>
    </row>
    <row r="13">
      <c r="A13" s="58" t="s">
        <v>153</v>
      </c>
      <c r="B13" s="58" t="s">
        <v>154</v>
      </c>
      <c r="C13" s="62">
        <v>45397.0</v>
      </c>
      <c r="D13" s="62">
        <v>45400.0</v>
      </c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>
        <v>4.0</v>
      </c>
      <c r="L13" s="17">
        <f t="shared" si="3"/>
        <v>754.28</v>
      </c>
      <c r="M13" s="47">
        <v>754.28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57">
        <v>12.0</v>
      </c>
      <c r="U13" s="17">
        <f t="shared" si="6"/>
        <v>60.84</v>
      </c>
      <c r="V13" s="47">
        <v>60.84</v>
      </c>
      <c r="W13" s="57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/>
      <c r="AE13" s="23"/>
    </row>
    <row r="14">
      <c r="A14" s="58"/>
      <c r="B14" s="58"/>
      <c r="C14" s="62"/>
      <c r="D14" s="62"/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57"/>
      <c r="L14" s="17">
        <f t="shared" si="3"/>
        <v>0</v>
      </c>
      <c r="M14" s="17"/>
      <c r="N14" s="16"/>
      <c r="O14" s="17">
        <f t="shared" si="4"/>
        <v>0</v>
      </c>
      <c r="P14" s="17"/>
      <c r="Q14" s="57"/>
      <c r="R14" s="17">
        <f t="shared" si="5"/>
        <v>0</v>
      </c>
      <c r="S14" s="17"/>
      <c r="T14" s="57"/>
      <c r="U14" s="17">
        <f t="shared" si="6"/>
        <v>0</v>
      </c>
      <c r="V14" s="17"/>
      <c r="W14" s="57"/>
      <c r="X14" s="17">
        <f t="shared" si="7"/>
        <v>0</v>
      </c>
      <c r="Y14" s="17"/>
      <c r="Z14" s="20"/>
      <c r="AA14" s="17">
        <f t="shared" si="8"/>
        <v>0</v>
      </c>
      <c r="AB14" s="17"/>
      <c r="AC14" s="21">
        <f>SUM(F14+I14+L14+O14+R14)</f>
        <v>0</v>
      </c>
      <c r="AD14" s="26"/>
      <c r="AE14" s="23"/>
    </row>
    <row r="15">
      <c r="A15" s="58" t="s">
        <v>109</v>
      </c>
      <c r="B15" s="58" t="s">
        <v>219</v>
      </c>
      <c r="C15" s="62">
        <v>45390.0</v>
      </c>
      <c r="D15" s="62">
        <v>45390.0</v>
      </c>
      <c r="E15" s="57"/>
      <c r="F15" s="17">
        <f t="shared" si="1"/>
        <v>0</v>
      </c>
      <c r="G15" s="17"/>
      <c r="H15" s="57"/>
      <c r="I15" s="17">
        <f t="shared" si="2"/>
        <v>0</v>
      </c>
      <c r="J15" s="47"/>
      <c r="K15" s="57">
        <v>1.0</v>
      </c>
      <c r="L15" s="17">
        <f t="shared" si="3"/>
        <v>188.57</v>
      </c>
      <c r="M15" s="47">
        <v>188.57</v>
      </c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48">
        <v>0.0</v>
      </c>
      <c r="AD15" s="50">
        <v>45403.0</v>
      </c>
      <c r="AE15" s="23"/>
    </row>
    <row r="16">
      <c r="A16" s="58" t="s">
        <v>220</v>
      </c>
      <c r="B16" s="58" t="s">
        <v>221</v>
      </c>
      <c r="C16" s="62">
        <v>45393.0</v>
      </c>
      <c r="D16" s="62">
        <v>45399.0</v>
      </c>
      <c r="E16" s="57"/>
      <c r="F16" s="17">
        <f t="shared" si="1"/>
        <v>0</v>
      </c>
      <c r="G16" s="17"/>
      <c r="H16" s="57"/>
      <c r="I16" s="17">
        <f t="shared" si="2"/>
        <v>0</v>
      </c>
      <c r="J16" s="17"/>
      <c r="K16" s="57">
        <v>4.0</v>
      </c>
      <c r="L16" s="17">
        <f t="shared" si="3"/>
        <v>754.28</v>
      </c>
      <c r="M16" s="47">
        <v>754.28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>
        <v>45403.0</v>
      </c>
      <c r="AE16" s="23"/>
    </row>
    <row r="17">
      <c r="A17" s="58" t="s">
        <v>115</v>
      </c>
      <c r="B17" s="58" t="s">
        <v>150</v>
      </c>
      <c r="C17" s="62">
        <v>45393.0</v>
      </c>
      <c r="D17" s="62">
        <v>45400.0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4.0</v>
      </c>
      <c r="L17" s="17">
        <f t="shared" si="3"/>
        <v>754.28</v>
      </c>
      <c r="M17" s="47">
        <v>754.28</v>
      </c>
      <c r="N17" s="16"/>
      <c r="O17" s="17">
        <f t="shared" si="4"/>
        <v>0</v>
      </c>
      <c r="P17" s="17"/>
      <c r="Q17" s="57"/>
      <c r="R17" s="17">
        <f t="shared" si="5"/>
        <v>0</v>
      </c>
      <c r="S17" s="17"/>
      <c r="T17" s="57">
        <v>20.0</v>
      </c>
      <c r="U17" s="17">
        <f t="shared" si="6"/>
        <v>101.4</v>
      </c>
      <c r="V17" s="47">
        <v>101.4</v>
      </c>
      <c r="W17" s="16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45403.0</v>
      </c>
      <c r="AE17" s="23"/>
    </row>
    <row r="18">
      <c r="A18" s="58" t="s">
        <v>109</v>
      </c>
      <c r="B18" s="58" t="s">
        <v>206</v>
      </c>
      <c r="C18" s="62"/>
      <c r="D18" s="62"/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/>
      <c r="L18" s="17">
        <f t="shared" si="3"/>
        <v>0</v>
      </c>
      <c r="M18" s="47"/>
      <c r="N18" s="16"/>
      <c r="O18" s="17">
        <f t="shared" ref="O18:O21" si="10">PRODUCT(N18)*188.57</f>
        <v>0</v>
      </c>
      <c r="P18" s="17"/>
      <c r="Q18" s="16"/>
      <c r="R18" s="17">
        <f t="shared" si="5"/>
        <v>0</v>
      </c>
      <c r="S18" s="17"/>
      <c r="T18" s="57"/>
      <c r="U18" s="17">
        <f t="shared" si="6"/>
        <v>0</v>
      </c>
      <c r="V18" s="17"/>
      <c r="W18" s="16"/>
      <c r="X18" s="17">
        <f t="shared" si="7"/>
        <v>0</v>
      </c>
      <c r="Y18" s="17"/>
      <c r="Z18" s="20"/>
      <c r="AA18" s="17">
        <f t="shared" si="8"/>
        <v>0</v>
      </c>
      <c r="AB18" s="17"/>
      <c r="AC18" s="48">
        <v>0.0</v>
      </c>
      <c r="AD18" s="50"/>
      <c r="AE18" s="23"/>
    </row>
    <row r="19">
      <c r="A19" s="58" t="s">
        <v>207</v>
      </c>
      <c r="B19" s="58" t="s">
        <v>208</v>
      </c>
      <c r="C19" s="71">
        <v>45393.0</v>
      </c>
      <c r="D19" s="62">
        <v>45399.0</v>
      </c>
      <c r="E19" s="57"/>
      <c r="F19" s="17">
        <f t="shared" si="1"/>
        <v>0</v>
      </c>
      <c r="G19" s="17"/>
      <c r="H19" s="57"/>
      <c r="I19" s="17">
        <f t="shared" si="2"/>
        <v>0</v>
      </c>
      <c r="J19" s="17"/>
      <c r="K19" s="57">
        <v>3.0</v>
      </c>
      <c r="L19" s="17">
        <f t="shared" si="3"/>
        <v>565.71</v>
      </c>
      <c r="M19" s="47">
        <v>565.71</v>
      </c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>
        <v>45403.0</v>
      </c>
      <c r="AE19" s="23"/>
    </row>
    <row r="20">
      <c r="A20" s="58" t="s">
        <v>109</v>
      </c>
      <c r="B20" s="58" t="s">
        <v>110</v>
      </c>
      <c r="C20" s="62">
        <v>45372.0</v>
      </c>
      <c r="D20" s="62">
        <v>45399.0</v>
      </c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>
        <v>18.0</v>
      </c>
      <c r="L20" s="17">
        <f t="shared" si="3"/>
        <v>3394.26</v>
      </c>
      <c r="M20" s="47">
        <v>3205.69</v>
      </c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57">
        <v>4.0</v>
      </c>
      <c r="U20" s="17">
        <f t="shared" si="6"/>
        <v>20.28</v>
      </c>
      <c r="V20" s="47">
        <v>20.28</v>
      </c>
      <c r="W20" s="16"/>
      <c r="X20" s="17">
        <f t="shared" si="7"/>
        <v>0</v>
      </c>
      <c r="Y20" s="17"/>
      <c r="Z20" s="63" t="s">
        <v>166</v>
      </c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53</v>
      </c>
      <c r="B21" s="58" t="s">
        <v>187</v>
      </c>
      <c r="C21" s="62">
        <v>45397.0</v>
      </c>
      <c r="D21" s="62">
        <v>45400.0</v>
      </c>
      <c r="E21" s="16"/>
      <c r="F21" s="17">
        <f t="shared" si="1"/>
        <v>0</v>
      </c>
      <c r="G21" s="17"/>
      <c r="H21" s="57"/>
      <c r="I21" s="17">
        <f t="shared" si="2"/>
        <v>0</v>
      </c>
      <c r="J21" s="17"/>
      <c r="K21" s="57">
        <v>4.0</v>
      </c>
      <c r="L21" s="17">
        <f t="shared" si="3"/>
        <v>754.28</v>
      </c>
      <c r="M21" s="47">
        <v>754.28</v>
      </c>
      <c r="N21" s="16"/>
      <c r="O21" s="17">
        <f t="shared" si="10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57"/>
      <c r="X21" s="17">
        <f t="shared" si="7"/>
        <v>0</v>
      </c>
      <c r="Y21" s="17"/>
      <c r="Z21" s="63"/>
      <c r="AA21" s="17">
        <f t="shared" si="8"/>
        <v>0</v>
      </c>
      <c r="AB21" s="17"/>
      <c r="AC21" s="48">
        <v>0.0</v>
      </c>
      <c r="AD21" s="49">
        <v>45403.0</v>
      </c>
      <c r="AE21" s="23"/>
    </row>
    <row r="22">
      <c r="A22" s="58" t="s">
        <v>119</v>
      </c>
      <c r="B22" s="58" t="s">
        <v>128</v>
      </c>
      <c r="C22" s="62">
        <v>45390.0</v>
      </c>
      <c r="D22" s="62">
        <v>45399.0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7.0</v>
      </c>
      <c r="L22" s="17">
        <f t="shared" si="3"/>
        <v>1319.99</v>
      </c>
      <c r="M22" s="47">
        <v>1319.99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57">
        <v>30.0</v>
      </c>
      <c r="X22" s="17">
        <f t="shared" si="7"/>
        <v>546.6</v>
      </c>
      <c r="Y22" s="47">
        <v>546.6</v>
      </c>
      <c r="Z22" s="20"/>
      <c r="AA22" s="17">
        <f t="shared" si="8"/>
        <v>0</v>
      </c>
      <c r="AB22" s="17"/>
      <c r="AC22" s="48">
        <v>0.0</v>
      </c>
      <c r="AD22" s="50">
        <v>45403.0</v>
      </c>
      <c r="AE22" s="23"/>
    </row>
    <row r="23">
      <c r="A23" s="58" t="s">
        <v>141</v>
      </c>
      <c r="B23" s="58" t="s">
        <v>188</v>
      </c>
      <c r="C23" s="71"/>
      <c r="D23" s="71"/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/>
      <c r="L23" s="17">
        <f t="shared" si="3"/>
        <v>0</v>
      </c>
      <c r="M23" s="17"/>
      <c r="N23" s="57"/>
      <c r="O23" s="17">
        <f t="shared" ref="O23:O53" si="11">PRODUCT(N23)*58.85</f>
        <v>0</v>
      </c>
      <c r="P23" s="17"/>
      <c r="Q23" s="16"/>
      <c r="R23" s="17">
        <f t="shared" si="5"/>
        <v>0</v>
      </c>
      <c r="S23" s="17"/>
      <c r="T23" s="57"/>
      <c r="U23" s="17">
        <f t="shared" si="6"/>
        <v>0</v>
      </c>
      <c r="V23" s="17"/>
      <c r="W23" s="16"/>
      <c r="X23" s="17">
        <f t="shared" si="7"/>
        <v>0</v>
      </c>
      <c r="Y23" s="17"/>
      <c r="Z23" s="20"/>
      <c r="AA23" s="17">
        <f t="shared" si="8"/>
        <v>0</v>
      </c>
      <c r="AB23" s="17"/>
      <c r="AC23" s="21">
        <f>SUM(F23+I23+L23+O23+R23)</f>
        <v>0</v>
      </c>
      <c r="AD23" s="22"/>
      <c r="AE23" s="23"/>
    </row>
    <row r="24">
      <c r="A24" s="58" t="s">
        <v>174</v>
      </c>
      <c r="B24" s="58" t="s">
        <v>189</v>
      </c>
      <c r="C24" s="71">
        <v>45393.0</v>
      </c>
      <c r="D24" s="62">
        <v>45398.0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3.0</v>
      </c>
      <c r="L24" s="17">
        <f t="shared" si="3"/>
        <v>565.71</v>
      </c>
      <c r="M24" s="47">
        <v>565.71</v>
      </c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16"/>
      <c r="X24" s="17">
        <f t="shared" si="7"/>
        <v>0</v>
      </c>
      <c r="Y24" s="17"/>
      <c r="Z24" s="63"/>
      <c r="AA24" s="17">
        <f t="shared" si="8"/>
        <v>0</v>
      </c>
      <c r="AB24" s="17"/>
      <c r="AC24" s="48">
        <v>0.0</v>
      </c>
      <c r="AD24" s="50">
        <v>45403.0</v>
      </c>
      <c r="AE24" s="23"/>
    </row>
    <row r="25">
      <c r="A25" s="95" t="s">
        <v>49</v>
      </c>
      <c r="B25" s="96" t="s">
        <v>50</v>
      </c>
      <c r="C25" s="62"/>
      <c r="D25" s="62"/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/>
      <c r="L25" s="17">
        <f t="shared" si="3"/>
        <v>0</v>
      </c>
      <c r="M25" s="47"/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21">
        <f>SUM(F25+I25+L25+O25+R25)</f>
        <v>0</v>
      </c>
      <c r="AD25" s="50"/>
      <c r="AE25" s="23"/>
    </row>
    <row r="26">
      <c r="A26" s="58" t="s">
        <v>85</v>
      </c>
      <c r="B26" s="58" t="s">
        <v>86</v>
      </c>
      <c r="C26" s="62">
        <v>45358.0</v>
      </c>
      <c r="D26" s="62">
        <v>45399.0</v>
      </c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>
        <v>25.0</v>
      </c>
      <c r="L26" s="17">
        <f t="shared" si="3"/>
        <v>4714.25</v>
      </c>
      <c r="M26" s="47">
        <v>4337.11</v>
      </c>
      <c r="N26" s="16"/>
      <c r="O26" s="17">
        <f t="shared" si="11"/>
        <v>0</v>
      </c>
      <c r="P26" s="17"/>
      <c r="Q26" s="16"/>
      <c r="R26" s="17">
        <f t="shared" si="5"/>
        <v>0</v>
      </c>
      <c r="S26" s="17"/>
      <c r="T26" s="57">
        <v>20.0</v>
      </c>
      <c r="U26" s="17">
        <f t="shared" si="6"/>
        <v>101.4</v>
      </c>
      <c r="V26" s="47">
        <v>101.4</v>
      </c>
      <c r="W26" s="57">
        <v>4.0</v>
      </c>
      <c r="X26" s="17">
        <f t="shared" si="7"/>
        <v>72.88</v>
      </c>
      <c r="Y26" s="47">
        <v>72.88</v>
      </c>
      <c r="Z26" s="20"/>
      <c r="AA26" s="17">
        <f t="shared" si="8"/>
        <v>0</v>
      </c>
      <c r="AB26" s="17"/>
      <c r="AC26" s="48">
        <v>0.0</v>
      </c>
      <c r="AD26" s="50">
        <v>45403.0</v>
      </c>
      <c r="AE26" s="23"/>
    </row>
    <row r="27" ht="15.75" customHeight="1">
      <c r="A27" s="58" t="s">
        <v>67</v>
      </c>
      <c r="B27" s="58" t="s">
        <v>68</v>
      </c>
      <c r="C27" s="62">
        <v>45393.0</v>
      </c>
      <c r="D27" s="62">
        <v>45400.0</v>
      </c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>
        <v>5.0</v>
      </c>
      <c r="L27" s="17">
        <f t="shared" si="3"/>
        <v>942.85</v>
      </c>
      <c r="M27" s="47">
        <v>942.85</v>
      </c>
      <c r="N27" s="16"/>
      <c r="O27" s="17">
        <f t="shared" si="11"/>
        <v>0</v>
      </c>
      <c r="P27" s="17"/>
      <c r="Q27" s="16"/>
      <c r="R27" s="17">
        <f t="shared" si="5"/>
        <v>0</v>
      </c>
      <c r="S27" s="17"/>
      <c r="T27" s="57">
        <v>12.0</v>
      </c>
      <c r="U27" s="17">
        <f t="shared" si="6"/>
        <v>60.84</v>
      </c>
      <c r="V27" s="47">
        <v>60.84</v>
      </c>
      <c r="W27" s="57">
        <v>3.0</v>
      </c>
      <c r="X27" s="17">
        <f t="shared" si="7"/>
        <v>54.66</v>
      </c>
      <c r="Y27" s="47">
        <v>54.66</v>
      </c>
      <c r="Z27" s="20"/>
      <c r="AA27" s="17">
        <f t="shared" si="8"/>
        <v>0</v>
      </c>
      <c r="AB27" s="17"/>
      <c r="AC27" s="48">
        <v>0.0</v>
      </c>
      <c r="AD27" s="50">
        <v>45403.0</v>
      </c>
      <c r="AE27" s="23"/>
    </row>
    <row r="28" ht="15.75" customHeight="1">
      <c r="A28" s="58" t="s">
        <v>71</v>
      </c>
      <c r="B28" s="58" t="s">
        <v>96</v>
      </c>
      <c r="C28" s="62">
        <v>45393.0</v>
      </c>
      <c r="D28" s="62">
        <v>45400.0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5.0</v>
      </c>
      <c r="L28" s="17">
        <f t="shared" si="3"/>
        <v>942.85</v>
      </c>
      <c r="M28" s="47">
        <v>942.85</v>
      </c>
      <c r="N28" s="57"/>
      <c r="O28" s="17">
        <f t="shared" si="11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/>
      <c r="AA28" s="17">
        <f t="shared" si="8"/>
        <v>0</v>
      </c>
      <c r="AB28" s="17"/>
      <c r="AC28" s="48">
        <v>0.0</v>
      </c>
      <c r="AD28" s="50"/>
      <c r="AE28" s="23"/>
    </row>
    <row r="29" ht="15.75" customHeight="1">
      <c r="A29" s="58" t="s">
        <v>99</v>
      </c>
      <c r="B29" s="58" t="s">
        <v>100</v>
      </c>
      <c r="C29" s="62">
        <v>45393.0</v>
      </c>
      <c r="D29" s="62">
        <v>45398.0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>
        <v>3.0</v>
      </c>
      <c r="L29" s="17">
        <f t="shared" si="3"/>
        <v>565.71</v>
      </c>
      <c r="M29" s="47">
        <v>565.71</v>
      </c>
      <c r="N29" s="57"/>
      <c r="O29" s="17">
        <f t="shared" si="11"/>
        <v>0</v>
      </c>
      <c r="P29" s="17"/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48">
        <v>0.0</v>
      </c>
      <c r="AD29" s="49">
        <v>45403.0</v>
      </c>
      <c r="AE29" s="23"/>
    </row>
    <row r="30" ht="15.75" customHeight="1">
      <c r="A30" s="58" t="s">
        <v>113</v>
      </c>
      <c r="B30" s="58" t="s">
        <v>114</v>
      </c>
      <c r="C30" s="62">
        <v>45350.0</v>
      </c>
      <c r="D30" s="62">
        <v>45399.0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6.0</v>
      </c>
      <c r="L30" s="17">
        <f t="shared" si="3"/>
        <v>1131.42</v>
      </c>
      <c r="M30" s="47">
        <v>942.85</v>
      </c>
      <c r="N30" s="60"/>
      <c r="O30" s="17">
        <f t="shared" si="11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60">
        <v>3.0</v>
      </c>
      <c r="X30" s="17">
        <f t="shared" si="7"/>
        <v>54.66</v>
      </c>
      <c r="Y30" s="47">
        <v>54.66</v>
      </c>
      <c r="Z30" s="63"/>
      <c r="AA30" s="17">
        <f t="shared" si="8"/>
        <v>0</v>
      </c>
      <c r="AB30" s="17"/>
      <c r="AC30" s="48">
        <v>0.0</v>
      </c>
      <c r="AD30" s="49">
        <v>45403.0</v>
      </c>
      <c r="AE30" s="23"/>
    </row>
    <row r="31" ht="15.75" customHeight="1">
      <c r="A31" s="58" t="s">
        <v>65</v>
      </c>
      <c r="B31" s="58" t="s">
        <v>160</v>
      </c>
      <c r="C31" s="62">
        <v>45393.0</v>
      </c>
      <c r="D31" s="62">
        <v>45399.0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4.0</v>
      </c>
      <c r="L31" s="17">
        <f t="shared" si="3"/>
        <v>754.28</v>
      </c>
      <c r="M31" s="47">
        <v>754.28</v>
      </c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60">
        <v>16.0</v>
      </c>
      <c r="U31" s="17">
        <f t="shared" si="6"/>
        <v>81.12</v>
      </c>
      <c r="V31" s="47">
        <v>81.12</v>
      </c>
      <c r="W31" s="60"/>
      <c r="X31" s="17">
        <f t="shared" si="7"/>
        <v>0</v>
      </c>
      <c r="Y31" s="17"/>
      <c r="Z31" s="20"/>
      <c r="AA31" s="17">
        <f t="shared" si="8"/>
        <v>0</v>
      </c>
      <c r="AB31" s="50"/>
      <c r="AC31" s="21">
        <f>SUM(F31+I31+L31+O31+R31)</f>
        <v>754.28</v>
      </c>
      <c r="AD31" s="50"/>
      <c r="AE31" s="23"/>
    </row>
    <row r="32" ht="15.75" customHeight="1">
      <c r="A32" s="58" t="s">
        <v>57</v>
      </c>
      <c r="B32" s="58" t="s">
        <v>58</v>
      </c>
      <c r="C32" s="62">
        <v>45397.0</v>
      </c>
      <c r="D32" s="62">
        <v>45399.0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4.0</v>
      </c>
      <c r="L32" s="17">
        <f t="shared" si="3"/>
        <v>754.28</v>
      </c>
      <c r="M32" s="47">
        <v>754.28</v>
      </c>
      <c r="N32" s="28"/>
      <c r="O32" s="17">
        <f t="shared" si="11"/>
        <v>0</v>
      </c>
      <c r="P32" s="17"/>
      <c r="Q32" s="28"/>
      <c r="R32" s="17">
        <f t="shared" si="5"/>
        <v>0</v>
      </c>
      <c r="S32" s="17"/>
      <c r="T32" s="28"/>
      <c r="U32" s="17">
        <f t="shared" si="6"/>
        <v>0</v>
      </c>
      <c r="V32" s="17"/>
      <c r="W32" s="28"/>
      <c r="X32" s="17">
        <f t="shared" si="7"/>
        <v>0</v>
      </c>
      <c r="Y32" s="17"/>
      <c r="Z32" s="20"/>
      <c r="AA32" s="17">
        <f t="shared" si="8"/>
        <v>0</v>
      </c>
      <c r="AB32" s="50"/>
      <c r="AC32" s="48">
        <v>0.0</v>
      </c>
      <c r="AD32" s="49">
        <v>45403.0</v>
      </c>
      <c r="AE32" s="23"/>
    </row>
    <row r="33" ht="15.75" customHeight="1">
      <c r="A33" s="58" t="s">
        <v>121</v>
      </c>
      <c r="B33" s="58" t="s">
        <v>100</v>
      </c>
      <c r="C33" s="62"/>
      <c r="D33" s="62"/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/>
      <c r="L33" s="17">
        <f t="shared" si="3"/>
        <v>0</v>
      </c>
      <c r="M33" s="17"/>
      <c r="N33" s="28"/>
      <c r="O33" s="17">
        <f t="shared" si="11"/>
        <v>0</v>
      </c>
      <c r="P33" s="17"/>
      <c r="Q33" s="28"/>
      <c r="R33" s="17">
        <f t="shared" si="5"/>
        <v>0</v>
      </c>
      <c r="S33" s="17"/>
      <c r="T33" s="28"/>
      <c r="U33" s="17">
        <f t="shared" si="6"/>
        <v>0</v>
      </c>
      <c r="V33" s="17"/>
      <c r="W33" s="60"/>
      <c r="X33" s="17">
        <f t="shared" si="7"/>
        <v>0</v>
      </c>
      <c r="Y33" s="17"/>
      <c r="Z33" s="63"/>
      <c r="AA33" s="17">
        <f t="shared" si="8"/>
        <v>0</v>
      </c>
      <c r="AB33" s="17"/>
      <c r="AC33" s="21">
        <f>SUM(F33+I33+L33+O33+R33)</f>
        <v>0</v>
      </c>
      <c r="AD33" s="22"/>
      <c r="AE33" s="23"/>
    </row>
    <row r="34" ht="15.75" customHeight="1">
      <c r="A34" s="58" t="s">
        <v>115</v>
      </c>
      <c r="B34" s="58" t="s">
        <v>116</v>
      </c>
      <c r="C34" s="62">
        <v>45397.0</v>
      </c>
      <c r="D34" s="62">
        <v>45400.0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1"/>
        <v>0</v>
      </c>
      <c r="P34" s="17"/>
      <c r="Q34" s="28"/>
      <c r="R34" s="17">
        <f t="shared" si="5"/>
        <v>0</v>
      </c>
      <c r="S34" s="17"/>
      <c r="T34" s="60">
        <v>16.0</v>
      </c>
      <c r="U34" s="17">
        <f t="shared" si="6"/>
        <v>81.12</v>
      </c>
      <c r="V34" s="47">
        <v>81.12</v>
      </c>
      <c r="W34" s="28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45403.0</v>
      </c>
      <c r="AE34" s="23"/>
    </row>
    <row r="35" ht="15.75" customHeight="1">
      <c r="A35" s="58" t="s">
        <v>170</v>
      </c>
      <c r="B35" s="58" t="s">
        <v>171</v>
      </c>
      <c r="C35" s="62">
        <v>45392.0</v>
      </c>
      <c r="D35" s="62">
        <v>45392.0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>
        <v>1.0</v>
      </c>
      <c r="L35" s="17">
        <f t="shared" si="3"/>
        <v>188.57</v>
      </c>
      <c r="M35" s="47">
        <v>188.57</v>
      </c>
      <c r="N35" s="28"/>
      <c r="O35" s="17">
        <f t="shared" si="11"/>
        <v>0</v>
      </c>
      <c r="P35" s="17"/>
      <c r="Q35" s="28"/>
      <c r="R35" s="17">
        <f t="shared" si="5"/>
        <v>0</v>
      </c>
      <c r="S35" s="17"/>
      <c r="T35" s="28"/>
      <c r="U35" s="17">
        <f t="shared" si="6"/>
        <v>0</v>
      </c>
      <c r="V35" s="17"/>
      <c r="W35" s="28"/>
      <c r="X35" s="17">
        <f t="shared" si="7"/>
        <v>0</v>
      </c>
      <c r="Y35" s="17"/>
      <c r="Z35" s="20"/>
      <c r="AA35" s="17">
        <f t="shared" si="8"/>
        <v>0</v>
      </c>
      <c r="AB35" s="50"/>
      <c r="AC35" s="48">
        <v>0.0</v>
      </c>
      <c r="AD35" s="50">
        <v>45403.0</v>
      </c>
      <c r="AE35" s="23"/>
    </row>
    <row r="36" ht="15.75" customHeight="1">
      <c r="A36" s="58" t="s">
        <v>163</v>
      </c>
      <c r="B36" s="58" t="s">
        <v>164</v>
      </c>
      <c r="C36" s="71">
        <v>45388.0</v>
      </c>
      <c r="D36" s="62">
        <v>45400.0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4.0</v>
      </c>
      <c r="L36" s="17">
        <f t="shared" si="3"/>
        <v>754.28</v>
      </c>
      <c r="M36" s="47">
        <v>754.28</v>
      </c>
      <c r="N36" s="60"/>
      <c r="O36" s="17">
        <f t="shared" si="11"/>
        <v>0</v>
      </c>
      <c r="P36" s="17"/>
      <c r="Q36" s="28"/>
      <c r="R36" s="17">
        <f t="shared" si="5"/>
        <v>0</v>
      </c>
      <c r="S36" s="17"/>
      <c r="T36" s="60">
        <v>8.0</v>
      </c>
      <c r="U36" s="17">
        <f t="shared" si="6"/>
        <v>40.56</v>
      </c>
      <c r="V36" s="47">
        <v>40.56</v>
      </c>
      <c r="W36" s="60">
        <v>1.0</v>
      </c>
      <c r="X36" s="17">
        <f t="shared" si="7"/>
        <v>18.22</v>
      </c>
      <c r="Y36" s="47">
        <v>18.22</v>
      </c>
      <c r="Z36" s="63"/>
      <c r="AA36" s="17">
        <f t="shared" si="8"/>
        <v>0</v>
      </c>
      <c r="AB36" s="17"/>
      <c r="AC36" s="48">
        <v>0.0</v>
      </c>
      <c r="AD36" s="49">
        <v>45403.0</v>
      </c>
      <c r="AE36" s="23"/>
    </row>
    <row r="37" ht="15.75" customHeight="1">
      <c r="A37" s="58" t="s">
        <v>41</v>
      </c>
      <c r="B37" s="58" t="s">
        <v>42</v>
      </c>
      <c r="C37" s="71">
        <v>45372.0</v>
      </c>
      <c r="D37" s="62">
        <v>45399.0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16.0</v>
      </c>
      <c r="L37" s="17">
        <f t="shared" si="3"/>
        <v>3017.12</v>
      </c>
      <c r="M37" s="47">
        <v>3017.12</v>
      </c>
      <c r="N37" s="28"/>
      <c r="O37" s="17">
        <f t="shared" si="11"/>
        <v>0</v>
      </c>
      <c r="P37" s="17"/>
      <c r="Q37" s="28"/>
      <c r="R37" s="17">
        <f t="shared" si="5"/>
        <v>0</v>
      </c>
      <c r="S37" s="17"/>
      <c r="T37" s="28"/>
      <c r="U37" s="17">
        <f t="shared" si="6"/>
        <v>0</v>
      </c>
      <c r="V37" s="17"/>
      <c r="W37" s="60">
        <v>1.0</v>
      </c>
      <c r="X37" s="17">
        <f t="shared" si="7"/>
        <v>18.22</v>
      </c>
      <c r="Y37" s="47">
        <v>18.22</v>
      </c>
      <c r="Z37" s="63"/>
      <c r="AA37" s="17">
        <f t="shared" si="8"/>
        <v>0</v>
      </c>
      <c r="AB37" s="17"/>
      <c r="AC37" s="48">
        <v>0.0</v>
      </c>
      <c r="AD37" s="50">
        <v>45403.0</v>
      </c>
      <c r="AE37" s="23"/>
    </row>
    <row r="38" ht="15.75" customHeight="1">
      <c r="A38" s="58" t="s">
        <v>47</v>
      </c>
      <c r="B38" s="58" t="s">
        <v>84</v>
      </c>
      <c r="C38" s="71">
        <v>45393.0</v>
      </c>
      <c r="D38" s="62">
        <v>45398.0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/>
      <c r="L38" s="17">
        <f t="shared" si="3"/>
        <v>0</v>
      </c>
      <c r="M38" s="47"/>
      <c r="N38" s="60">
        <v>2.0</v>
      </c>
      <c r="O38" s="17">
        <f t="shared" si="11"/>
        <v>117.7</v>
      </c>
      <c r="P38" s="47">
        <v>117.7</v>
      </c>
      <c r="Q38" s="28"/>
      <c r="R38" s="17">
        <f t="shared" si="5"/>
        <v>0</v>
      </c>
      <c r="S38" s="17"/>
      <c r="T38" s="60"/>
      <c r="U38" s="17">
        <f t="shared" si="6"/>
        <v>0</v>
      </c>
      <c r="V38" s="17"/>
      <c r="W38" s="60"/>
      <c r="X38" s="17">
        <f t="shared" si="7"/>
        <v>0</v>
      </c>
      <c r="Y38" s="17"/>
      <c r="Z38" s="20"/>
      <c r="AA38" s="17">
        <f t="shared" si="8"/>
        <v>0</v>
      </c>
      <c r="AB38" s="17"/>
      <c r="AC38" s="48">
        <v>0.0</v>
      </c>
      <c r="AD38" s="50">
        <v>45403.0</v>
      </c>
      <c r="AE38" s="23"/>
    </row>
    <row r="39" ht="15.75" customHeight="1">
      <c r="A39" s="58" t="s">
        <v>69</v>
      </c>
      <c r="B39" s="58" t="s">
        <v>70</v>
      </c>
      <c r="C39" s="71">
        <v>45397.0</v>
      </c>
      <c r="D39" s="62">
        <v>45400.0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4.0</v>
      </c>
      <c r="L39" s="17">
        <f t="shared" si="3"/>
        <v>754.28</v>
      </c>
      <c r="M39" s="47">
        <v>754.28</v>
      </c>
      <c r="N39" s="28"/>
      <c r="O39" s="17">
        <f t="shared" si="11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45403.0</v>
      </c>
      <c r="AE39" s="23"/>
    </row>
    <row r="40" ht="15.75" customHeight="1">
      <c r="A40" s="58" t="s">
        <v>158</v>
      </c>
      <c r="B40" s="58" t="s">
        <v>159</v>
      </c>
      <c r="C40" s="71">
        <v>45397.0</v>
      </c>
      <c r="D40" s="71">
        <v>45400.0</v>
      </c>
      <c r="E40" s="60"/>
      <c r="F40" s="17">
        <f t="shared" si="1"/>
        <v>0</v>
      </c>
      <c r="G40" s="17"/>
      <c r="H40" s="28"/>
      <c r="I40" s="17">
        <f t="shared" si="2"/>
        <v>0</v>
      </c>
      <c r="J40" s="17"/>
      <c r="K40" s="57">
        <v>4.0</v>
      </c>
      <c r="L40" s="17">
        <f t="shared" si="3"/>
        <v>754.28</v>
      </c>
      <c r="M40" s="47">
        <v>754.28</v>
      </c>
      <c r="N40" s="60"/>
      <c r="O40" s="17">
        <f t="shared" si="11"/>
        <v>0</v>
      </c>
      <c r="P40" s="47"/>
      <c r="Q40" s="28"/>
      <c r="R40" s="17">
        <f t="shared" si="5"/>
        <v>0</v>
      </c>
      <c r="S40" s="17"/>
      <c r="T40" s="60">
        <v>20.0</v>
      </c>
      <c r="U40" s="17">
        <f t="shared" si="6"/>
        <v>101.4</v>
      </c>
      <c r="V40" s="47"/>
      <c r="W40" s="28"/>
      <c r="X40" s="17">
        <f t="shared" si="7"/>
        <v>0</v>
      </c>
      <c r="Y40" s="17"/>
      <c r="Z40" s="20"/>
      <c r="AA40" s="17">
        <f t="shared" si="8"/>
        <v>0</v>
      </c>
      <c r="AB40" s="50"/>
      <c r="AC40" s="21">
        <f>SUM(F40+I41+L40+O40+R40)</f>
        <v>754.28</v>
      </c>
      <c r="AD40" s="50"/>
      <c r="AE40" s="23"/>
      <c r="AF40" s="31"/>
    </row>
    <row r="41" ht="15.75" customHeight="1">
      <c r="A41" s="58" t="s">
        <v>95</v>
      </c>
      <c r="B41" s="58" t="s">
        <v>58</v>
      </c>
      <c r="C41" s="71">
        <v>45397.0</v>
      </c>
      <c r="D41" s="62">
        <v>45400.0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4.0</v>
      </c>
      <c r="L41" s="17">
        <f t="shared" si="3"/>
        <v>754.28</v>
      </c>
      <c r="M41" s="47">
        <v>754.28</v>
      </c>
      <c r="N41" s="28"/>
      <c r="O41" s="17">
        <f t="shared" si="11"/>
        <v>0</v>
      </c>
      <c r="P41" s="17"/>
      <c r="Q41" s="28"/>
      <c r="R41" s="97">
        <f t="shared" si="5"/>
        <v>0</v>
      </c>
      <c r="S41" s="17"/>
      <c r="T41" s="60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45403.0</v>
      </c>
      <c r="AE41" s="23"/>
    </row>
    <row r="42" ht="15.75" customHeight="1">
      <c r="A42" s="58" t="s">
        <v>161</v>
      </c>
      <c r="B42" s="58" t="s">
        <v>176</v>
      </c>
      <c r="C42" s="71">
        <v>45397.0</v>
      </c>
      <c r="D42" s="62">
        <v>45397.0</v>
      </c>
      <c r="E42" s="60"/>
      <c r="F42" s="17">
        <f t="shared" si="1"/>
        <v>0</v>
      </c>
      <c r="G42" s="17"/>
      <c r="H42" s="28"/>
      <c r="I42" s="17">
        <f t="shared" ref="I42:I53" si="12">PRODUCT(H42)*316.77</f>
        <v>0</v>
      </c>
      <c r="J42" s="17"/>
      <c r="K42" s="57">
        <v>1.0</v>
      </c>
      <c r="L42" s="17">
        <f t="shared" si="3"/>
        <v>188.57</v>
      </c>
      <c r="M42" s="47">
        <v>188.57</v>
      </c>
      <c r="N42" s="28"/>
      <c r="O42" s="17">
        <f t="shared" si="11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60">
        <v>3.0</v>
      </c>
      <c r="X42" s="17">
        <f t="shared" si="7"/>
        <v>54.66</v>
      </c>
      <c r="Y42" s="47">
        <v>54.66</v>
      </c>
      <c r="Z42" s="20"/>
      <c r="AA42" s="17">
        <f t="shared" si="8"/>
        <v>0</v>
      </c>
      <c r="AB42" s="17"/>
      <c r="AC42" s="48">
        <v>0.0</v>
      </c>
      <c r="AD42" s="22"/>
      <c r="AE42" s="23"/>
    </row>
    <row r="43" ht="15.75" customHeight="1">
      <c r="A43" s="58" t="s">
        <v>20</v>
      </c>
      <c r="B43" s="58" t="s">
        <v>21</v>
      </c>
      <c r="C43" s="71">
        <v>45393.0</v>
      </c>
      <c r="D43" s="62">
        <v>45400.0</v>
      </c>
      <c r="E43" s="60"/>
      <c r="F43" s="17">
        <f t="shared" si="1"/>
        <v>0</v>
      </c>
      <c r="G43" s="17"/>
      <c r="H43" s="28"/>
      <c r="I43" s="17">
        <f t="shared" si="12"/>
        <v>0</v>
      </c>
      <c r="J43" s="17"/>
      <c r="K43" s="57">
        <v>4.0</v>
      </c>
      <c r="L43" s="17">
        <f t="shared" si="3"/>
        <v>754.28</v>
      </c>
      <c r="M43" s="47">
        <v>754.28</v>
      </c>
      <c r="N43" s="28"/>
      <c r="O43" s="17">
        <f t="shared" si="11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17"/>
      <c r="W43" s="60">
        <v>7.0</v>
      </c>
      <c r="X43" s="17">
        <f t="shared" si="7"/>
        <v>127.54</v>
      </c>
      <c r="Y43" s="47">
        <v>0.0</v>
      </c>
      <c r="Z43" s="20"/>
      <c r="AA43" s="17">
        <f t="shared" si="8"/>
        <v>0</v>
      </c>
      <c r="AB43" s="17"/>
      <c r="AC43" s="21">
        <f>SUM(F43+I44+L43+O43+R43)</f>
        <v>754.28</v>
      </c>
      <c r="AD43" s="22"/>
      <c r="AE43" s="23"/>
    </row>
    <row r="44" ht="15.75" customHeight="1">
      <c r="A44" s="58" t="s">
        <v>136</v>
      </c>
      <c r="B44" s="58" t="s">
        <v>162</v>
      </c>
      <c r="C44" s="71">
        <v>45393.0</v>
      </c>
      <c r="D44" s="62">
        <v>45400.0</v>
      </c>
      <c r="E44" s="60"/>
      <c r="F44" s="17">
        <f t="shared" si="1"/>
        <v>0</v>
      </c>
      <c r="G44" s="17"/>
      <c r="H44" s="28"/>
      <c r="I44" s="17">
        <f t="shared" si="12"/>
        <v>0</v>
      </c>
      <c r="J44" s="17"/>
      <c r="K44" s="57">
        <v>5.0</v>
      </c>
      <c r="L44" s="17">
        <f t="shared" si="3"/>
        <v>942.85</v>
      </c>
      <c r="M44" s="47">
        <v>942.85</v>
      </c>
      <c r="N44" s="28"/>
      <c r="O44" s="17">
        <f t="shared" si="11"/>
        <v>0</v>
      </c>
      <c r="P44" s="17"/>
      <c r="Q44" s="28"/>
      <c r="R44" s="97">
        <f t="shared" si="5"/>
        <v>0</v>
      </c>
      <c r="S44" s="17"/>
      <c r="T44" s="60">
        <v>16.0</v>
      </c>
      <c r="U44" s="17">
        <f t="shared" si="6"/>
        <v>81.12</v>
      </c>
      <c r="V44" s="47">
        <v>81.12</v>
      </c>
      <c r="W44" s="60"/>
      <c r="X44" s="17">
        <f t="shared" si="7"/>
        <v>0</v>
      </c>
      <c r="Y44" s="17"/>
      <c r="Z44" s="20"/>
      <c r="AA44" s="17">
        <f t="shared" si="8"/>
        <v>0</v>
      </c>
      <c r="AB44" s="17"/>
      <c r="AC44" s="48">
        <v>0.0</v>
      </c>
      <c r="AD44" s="49">
        <v>45403.0</v>
      </c>
      <c r="AE44" s="23"/>
    </row>
    <row r="45" ht="15.75" customHeight="1">
      <c r="A45" s="58" t="s">
        <v>177</v>
      </c>
      <c r="B45" s="58" t="s">
        <v>178</v>
      </c>
      <c r="C45" s="62">
        <v>45393.0</v>
      </c>
      <c r="D45" s="62">
        <v>45397.0</v>
      </c>
      <c r="E45" s="28"/>
      <c r="F45" s="17">
        <f t="shared" si="1"/>
        <v>0</v>
      </c>
      <c r="G45" s="47"/>
      <c r="H45" s="28"/>
      <c r="I45" s="17">
        <f t="shared" si="12"/>
        <v>0</v>
      </c>
      <c r="J45" s="17"/>
      <c r="K45" s="57">
        <v>2.0</v>
      </c>
      <c r="L45" s="17">
        <f t="shared" si="3"/>
        <v>377.14</v>
      </c>
      <c r="M45" s="47">
        <v>377.14</v>
      </c>
      <c r="N45" s="28"/>
      <c r="O45" s="17">
        <f t="shared" si="11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28"/>
      <c r="X45" s="17">
        <f t="shared" si="7"/>
        <v>0</v>
      </c>
      <c r="Y45" s="17"/>
      <c r="Z45" s="20"/>
      <c r="AA45" s="17">
        <f t="shared" si="8"/>
        <v>0</v>
      </c>
      <c r="AB45" s="17"/>
      <c r="AC45" s="48">
        <v>0.0</v>
      </c>
      <c r="AD45" s="49">
        <v>45403.0</v>
      </c>
      <c r="AE45" s="23"/>
    </row>
    <row r="46" ht="15.75" customHeight="1">
      <c r="A46" s="58" t="s">
        <v>71</v>
      </c>
      <c r="B46" s="58" t="s">
        <v>190</v>
      </c>
      <c r="C46" s="71"/>
      <c r="D46" s="71"/>
      <c r="E46" s="60"/>
      <c r="F46" s="17">
        <f t="shared" si="1"/>
        <v>0</v>
      </c>
      <c r="G46" s="17"/>
      <c r="H46" s="28"/>
      <c r="I46" s="17">
        <f t="shared" si="12"/>
        <v>0</v>
      </c>
      <c r="J46" s="47"/>
      <c r="K46" s="57"/>
      <c r="L46" s="17">
        <f t="shared" si="3"/>
        <v>0</v>
      </c>
      <c r="M46" s="17"/>
      <c r="N46" s="28"/>
      <c r="O46" s="17">
        <f t="shared" si="11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28"/>
      <c r="X46" s="17">
        <f t="shared" si="7"/>
        <v>0</v>
      </c>
      <c r="Y46" s="17"/>
      <c r="Z46" s="20"/>
      <c r="AA46" s="17">
        <f t="shared" si="8"/>
        <v>0</v>
      </c>
      <c r="AB46" s="17"/>
      <c r="AC46" s="48">
        <v>0.0</v>
      </c>
      <c r="AD46" s="49"/>
      <c r="AE46" s="23"/>
    </row>
    <row r="47" ht="15.75" customHeight="1">
      <c r="A47" s="58" t="s">
        <v>223</v>
      </c>
      <c r="B47" s="58" t="s">
        <v>224</v>
      </c>
      <c r="C47" s="62">
        <v>45393.0</v>
      </c>
      <c r="D47" s="62">
        <v>45400.0</v>
      </c>
      <c r="E47" s="60"/>
      <c r="F47" s="17">
        <f t="shared" si="1"/>
        <v>0</v>
      </c>
      <c r="G47" s="17"/>
      <c r="H47" s="28"/>
      <c r="I47" s="17">
        <f t="shared" si="12"/>
        <v>0</v>
      </c>
      <c r="J47" s="17"/>
      <c r="K47" s="57">
        <v>4.0</v>
      </c>
      <c r="L47" s="17">
        <f t="shared" si="3"/>
        <v>754.28</v>
      </c>
      <c r="M47" s="47">
        <v>754.28</v>
      </c>
      <c r="N47" s="28"/>
      <c r="O47" s="17">
        <f t="shared" si="11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28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/>
      <c r="AE47" s="23"/>
    </row>
    <row r="48" ht="15.75" customHeight="1">
      <c r="A48" s="58" t="s">
        <v>193</v>
      </c>
      <c r="B48" s="58" t="s">
        <v>194</v>
      </c>
      <c r="C48" s="62">
        <v>45393.0</v>
      </c>
      <c r="D48" s="62">
        <v>45398.0</v>
      </c>
      <c r="E48" s="28"/>
      <c r="F48" s="17">
        <f t="shared" si="1"/>
        <v>0</v>
      </c>
      <c r="G48" s="17"/>
      <c r="H48" s="28"/>
      <c r="I48" s="17">
        <f t="shared" si="12"/>
        <v>0</v>
      </c>
      <c r="J48" s="17"/>
      <c r="K48" s="57">
        <v>5.0</v>
      </c>
      <c r="L48" s="17">
        <f t="shared" si="3"/>
        <v>942.85</v>
      </c>
      <c r="M48" s="47">
        <v>942.85</v>
      </c>
      <c r="N48" s="28"/>
      <c r="O48" s="17">
        <f t="shared" si="11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>
        <v>2.0</v>
      </c>
      <c r="X48" s="17">
        <f t="shared" si="7"/>
        <v>36.44</v>
      </c>
      <c r="Y48" s="47">
        <v>36.44</v>
      </c>
      <c r="Z48" s="63"/>
      <c r="AA48" s="17">
        <f t="shared" si="8"/>
        <v>0</v>
      </c>
      <c r="AB48" s="17"/>
      <c r="AC48" s="48">
        <v>0.0</v>
      </c>
      <c r="AD48" s="49">
        <v>45403.0</v>
      </c>
      <c r="AE48" s="23"/>
    </row>
    <row r="49" ht="15.75" customHeight="1">
      <c r="A49" s="58" t="s">
        <v>225</v>
      </c>
      <c r="B49" s="58" t="s">
        <v>226</v>
      </c>
      <c r="C49" s="62">
        <v>45393.0</v>
      </c>
      <c r="D49" s="62">
        <v>45399.0</v>
      </c>
      <c r="E49" s="60"/>
      <c r="F49" s="17">
        <f t="shared" si="1"/>
        <v>0</v>
      </c>
      <c r="G49" s="17"/>
      <c r="H49" s="28"/>
      <c r="I49" s="17">
        <f t="shared" si="12"/>
        <v>0</v>
      </c>
      <c r="J49" s="17"/>
      <c r="K49" s="57">
        <v>3.0</v>
      </c>
      <c r="L49" s="17">
        <f t="shared" si="3"/>
        <v>565.71</v>
      </c>
      <c r="M49" s="47">
        <v>565.71</v>
      </c>
      <c r="N49" s="28"/>
      <c r="O49" s="17">
        <f t="shared" si="11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>
        <v>45403.0</v>
      </c>
      <c r="AE49" s="23"/>
    </row>
    <row r="50" ht="15.75" customHeight="1">
      <c r="A50" s="58" t="s">
        <v>198</v>
      </c>
      <c r="B50" s="58" t="s">
        <v>199</v>
      </c>
      <c r="C50" s="62">
        <v>45390.0</v>
      </c>
      <c r="D50" s="62">
        <v>45400.0</v>
      </c>
      <c r="E50" s="60"/>
      <c r="F50" s="17">
        <f t="shared" si="1"/>
        <v>0</v>
      </c>
      <c r="G50" s="17"/>
      <c r="H50" s="60"/>
      <c r="I50" s="17">
        <f t="shared" si="12"/>
        <v>0</v>
      </c>
      <c r="J50" s="17"/>
      <c r="K50" s="57">
        <v>5.0</v>
      </c>
      <c r="L50" s="17">
        <f t="shared" si="3"/>
        <v>942.85</v>
      </c>
      <c r="M50" s="47">
        <v>942.85</v>
      </c>
      <c r="N50" s="28"/>
      <c r="O50" s="17">
        <f t="shared" si="11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>
        <v>12.0</v>
      </c>
      <c r="X50" s="17">
        <f t="shared" si="7"/>
        <v>218.64</v>
      </c>
      <c r="Y50" s="47">
        <v>218.64</v>
      </c>
      <c r="Z50" s="63"/>
      <c r="AA50" s="17">
        <f t="shared" si="8"/>
        <v>0</v>
      </c>
      <c r="AB50" s="17"/>
      <c r="AC50" s="48">
        <v>0.0</v>
      </c>
      <c r="AD50" s="50">
        <v>45403.0</v>
      </c>
      <c r="AE50" s="23"/>
    </row>
    <row r="51" ht="15.75" customHeight="1">
      <c r="A51" s="58" t="s">
        <v>109</v>
      </c>
      <c r="B51" s="58" t="s">
        <v>200</v>
      </c>
      <c r="C51" s="62"/>
      <c r="D51" s="62"/>
      <c r="E51" s="60"/>
      <c r="F51" s="17">
        <f t="shared" si="1"/>
        <v>0</v>
      </c>
      <c r="G51" s="17"/>
      <c r="H51" s="60"/>
      <c r="I51" s="17">
        <f t="shared" si="12"/>
        <v>0</v>
      </c>
      <c r="J51" s="17"/>
      <c r="K51" s="57"/>
      <c r="L51" s="17">
        <f t="shared" si="3"/>
        <v>0</v>
      </c>
      <c r="M51" s="17"/>
      <c r="N51" s="28"/>
      <c r="O51" s="17">
        <f t="shared" si="11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/>
      <c r="X51" s="17">
        <f t="shared" si="7"/>
        <v>0</v>
      </c>
      <c r="Y51" s="17"/>
      <c r="Z51" s="63"/>
      <c r="AA51" s="17">
        <f t="shared" si="8"/>
        <v>0</v>
      </c>
      <c r="AB51" s="17"/>
      <c r="AC51" s="48">
        <v>0.0</v>
      </c>
      <c r="AD51" s="26"/>
      <c r="AE51" s="23"/>
    </row>
    <row r="52" ht="15.75" customHeight="1">
      <c r="A52" s="58"/>
      <c r="B52" s="58"/>
      <c r="C52" s="62"/>
      <c r="D52" s="62"/>
      <c r="E52" s="60"/>
      <c r="F52" s="17">
        <f t="shared" si="1"/>
        <v>0</v>
      </c>
      <c r="G52" s="17"/>
      <c r="H52" s="60"/>
      <c r="I52" s="17">
        <f t="shared" si="12"/>
        <v>0</v>
      </c>
      <c r="J52" s="17"/>
      <c r="K52" s="57"/>
      <c r="L52" s="17">
        <f t="shared" si="3"/>
        <v>0</v>
      </c>
      <c r="M52" s="17"/>
      <c r="N52" s="28"/>
      <c r="O52" s="17">
        <f t="shared" si="11"/>
        <v>0</v>
      </c>
      <c r="P52" s="17"/>
      <c r="Q52" s="28"/>
      <c r="R52" s="97">
        <f t="shared" si="5"/>
        <v>0</v>
      </c>
      <c r="S52" s="17"/>
      <c r="T52" s="28"/>
      <c r="U52" s="17">
        <f t="shared" si="6"/>
        <v>0</v>
      </c>
      <c r="V52" s="17"/>
      <c r="W52" s="28"/>
      <c r="X52" s="17">
        <f t="shared" si="7"/>
        <v>0</v>
      </c>
      <c r="Y52" s="17"/>
      <c r="Z52" s="63"/>
      <c r="AA52" s="17">
        <f t="shared" si="8"/>
        <v>0</v>
      </c>
      <c r="AB52" s="17"/>
      <c r="AC52" s="48">
        <v>0.0</v>
      </c>
      <c r="AD52" s="26"/>
      <c r="AE52" s="23"/>
    </row>
    <row r="53" ht="15.75" customHeight="1">
      <c r="A53" s="58" t="s">
        <v>203</v>
      </c>
      <c r="B53" s="58" t="s">
        <v>204</v>
      </c>
      <c r="C53" s="62">
        <v>45393.0</v>
      </c>
      <c r="D53" s="62">
        <v>45393.0</v>
      </c>
      <c r="E53" s="60"/>
      <c r="F53" s="17">
        <f t="shared" si="1"/>
        <v>0</v>
      </c>
      <c r="G53" s="17"/>
      <c r="H53" s="60"/>
      <c r="I53" s="17">
        <f t="shared" si="12"/>
        <v>0</v>
      </c>
      <c r="J53" s="17"/>
      <c r="K53" s="57">
        <v>1.0</v>
      </c>
      <c r="L53" s="17">
        <f t="shared" si="3"/>
        <v>188.57</v>
      </c>
      <c r="M53" s="47">
        <v>188.57</v>
      </c>
      <c r="N53" s="28"/>
      <c r="O53" s="17">
        <f t="shared" si="11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28"/>
      <c r="X53" s="17">
        <f t="shared" si="7"/>
        <v>0</v>
      </c>
      <c r="Y53" s="17"/>
      <c r="Z53" s="63"/>
      <c r="AA53" s="17">
        <f t="shared" si="8"/>
        <v>0</v>
      </c>
      <c r="AB53" s="17"/>
      <c r="AC53" s="48">
        <v>0.0</v>
      </c>
      <c r="AD53" s="50">
        <v>45403.0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0</v>
      </c>
      <c r="G54" s="43">
        <f>SUM(G4:G44)</f>
        <v>428.44</v>
      </c>
      <c r="H54" s="42"/>
      <c r="I54" s="43">
        <f>SUM(I4:I53)</f>
        <v>3484.47</v>
      </c>
      <c r="J54" s="43">
        <f>SUM(J4:J44)</f>
        <v>3484.47</v>
      </c>
      <c r="K54" s="42"/>
      <c r="L54" s="43">
        <f t="shared" ref="L54:M54" si="13">SUM(L4:L44)</f>
        <v>29228.35</v>
      </c>
      <c r="M54" s="43">
        <f t="shared" si="13"/>
        <v>28285.5</v>
      </c>
      <c r="N54" s="42"/>
      <c r="O54" s="43">
        <f t="shared" ref="O54:P54" si="14">SUM(O4:O44)</f>
        <v>353.1</v>
      </c>
      <c r="P54" s="43">
        <f t="shared" si="14"/>
        <v>353.1</v>
      </c>
      <c r="Q54" s="42"/>
      <c r="R54" s="43">
        <f t="shared" ref="R54:S54" si="15">SUM(R4:R44)</f>
        <v>0</v>
      </c>
      <c r="S54" s="43">
        <f t="shared" si="15"/>
        <v>0</v>
      </c>
      <c r="T54" s="42"/>
      <c r="U54" s="43">
        <f t="shared" ref="U54:V54" si="16">SUM(U4:U44)</f>
        <v>750.36</v>
      </c>
      <c r="V54" s="43">
        <f t="shared" si="16"/>
        <v>648.96</v>
      </c>
      <c r="W54" s="42"/>
      <c r="X54" s="43">
        <f t="shared" ref="X54:Y54" si="17">SUM(X4:X44)</f>
        <v>1093.2</v>
      </c>
      <c r="Y54" s="43">
        <f t="shared" si="17"/>
        <v>965.66</v>
      </c>
      <c r="Z54" s="42"/>
      <c r="AA54" s="43">
        <f t="shared" ref="AA54:AC54" si="18">SUM(AA4:AA44)</f>
        <v>0</v>
      </c>
      <c r="AB54" s="43">
        <f t="shared" si="18"/>
        <v>0</v>
      </c>
      <c r="AC54" s="43">
        <f t="shared" si="18"/>
        <v>3017.12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227</v>
      </c>
      <c r="B4" s="61" t="s">
        <v>228</v>
      </c>
      <c r="C4" s="71"/>
      <c r="D4" s="71"/>
      <c r="E4" s="57"/>
      <c r="F4" s="17">
        <f t="shared" ref="F4:F53" si="1">PRODUCT(E4)*214.22</f>
        <v>0</v>
      </c>
      <c r="G4" s="47"/>
      <c r="H4" s="57"/>
      <c r="I4" s="17">
        <f t="shared" ref="I4:I40" si="2">PRODUCT(H4)*316.77</f>
        <v>0</v>
      </c>
      <c r="J4" s="17"/>
      <c r="K4" s="16"/>
      <c r="L4" s="17">
        <f t="shared" ref="L4:L53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21">
        <f t="shared" ref="AC4:AC5" si="9">SUM(F4+I4+L4+O4+R4)</f>
        <v>0</v>
      </c>
      <c r="AD4" s="26"/>
      <c r="AE4" s="23"/>
    </row>
    <row r="5">
      <c r="A5" s="61" t="s">
        <v>123</v>
      </c>
      <c r="B5" s="61" t="s">
        <v>229</v>
      </c>
      <c r="C5" s="62"/>
      <c r="D5" s="62"/>
      <c r="E5" s="57"/>
      <c r="F5" s="17">
        <f t="shared" si="1"/>
        <v>0</v>
      </c>
      <c r="G5" s="17"/>
      <c r="H5" s="16"/>
      <c r="I5" s="17">
        <f t="shared" si="2"/>
        <v>0</v>
      </c>
      <c r="J5" s="47"/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/>
      <c r="X5" s="17">
        <f t="shared" si="7"/>
        <v>0</v>
      </c>
      <c r="Y5" s="17"/>
      <c r="Z5" s="20"/>
      <c r="AA5" s="17">
        <f t="shared" si="8"/>
        <v>0</v>
      </c>
      <c r="AB5" s="17"/>
      <c r="AC5" s="21">
        <f t="shared" si="9"/>
        <v>0</v>
      </c>
      <c r="AD5" s="26"/>
      <c r="AE5" s="24"/>
    </row>
    <row r="6">
      <c r="A6" s="61" t="s">
        <v>61</v>
      </c>
      <c r="B6" s="61" t="s">
        <v>62</v>
      </c>
      <c r="C6" s="71">
        <v>45400.0</v>
      </c>
      <c r="D6" s="62">
        <v>45406.0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4.0</v>
      </c>
      <c r="O6" s="17">
        <f t="shared" si="4"/>
        <v>235.4</v>
      </c>
      <c r="P6" s="47">
        <v>235.4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50">
        <v>45410.0</v>
      </c>
      <c r="AE6" s="24"/>
    </row>
    <row r="7">
      <c r="A7" s="58" t="s">
        <v>71</v>
      </c>
      <c r="B7" s="58" t="s">
        <v>190</v>
      </c>
      <c r="C7" s="62">
        <v>45385.0</v>
      </c>
      <c r="D7" s="62">
        <v>45401.0</v>
      </c>
      <c r="E7" s="57"/>
      <c r="F7" s="17">
        <f t="shared" si="1"/>
        <v>0</v>
      </c>
      <c r="G7" s="17"/>
      <c r="H7" s="57">
        <v>17.0</v>
      </c>
      <c r="I7" s="17">
        <f t="shared" si="2"/>
        <v>5385.09</v>
      </c>
      <c r="J7" s="47">
        <v>5385.09</v>
      </c>
      <c r="K7" s="16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57">
        <v>20.0</v>
      </c>
      <c r="X7" s="17">
        <f t="shared" si="7"/>
        <v>364.4</v>
      </c>
      <c r="Y7" s="47">
        <v>364.4</v>
      </c>
      <c r="Z7" s="63"/>
      <c r="AA7" s="17">
        <f t="shared" si="8"/>
        <v>0</v>
      </c>
      <c r="AB7" s="17"/>
      <c r="AC7" s="48">
        <v>0.0</v>
      </c>
      <c r="AD7" s="50">
        <v>45410.0</v>
      </c>
      <c r="AE7" s="24"/>
    </row>
    <row r="8">
      <c r="A8" s="58" t="s">
        <v>215</v>
      </c>
      <c r="B8" s="58" t="s">
        <v>216</v>
      </c>
      <c r="C8" s="71"/>
      <c r="D8" s="62"/>
      <c r="E8" s="57"/>
      <c r="F8" s="17">
        <f t="shared" si="1"/>
        <v>0</v>
      </c>
      <c r="G8" s="17"/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21">
        <f>SUM(F8+I8+L8+O8+R8)</f>
        <v>0</v>
      </c>
      <c r="AD8" s="22"/>
      <c r="AE8" s="23"/>
    </row>
    <row r="9">
      <c r="A9" s="58" t="s">
        <v>230</v>
      </c>
      <c r="B9" s="58" t="s">
        <v>149</v>
      </c>
      <c r="C9" s="71">
        <v>45386.0</v>
      </c>
      <c r="D9" s="71">
        <v>45392.0</v>
      </c>
      <c r="E9" s="57"/>
      <c r="F9" s="17">
        <f t="shared" si="1"/>
        <v>0</v>
      </c>
      <c r="G9" s="17"/>
      <c r="H9" s="57">
        <v>7.0</v>
      </c>
      <c r="I9" s="17">
        <f t="shared" si="2"/>
        <v>2217.39</v>
      </c>
      <c r="J9" s="47">
        <v>2217.39</v>
      </c>
      <c r="K9" s="57">
        <v>2.0</v>
      </c>
      <c r="L9" s="17">
        <f t="shared" si="3"/>
        <v>377.14</v>
      </c>
      <c r="M9" s="47">
        <v>377.14</v>
      </c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17"/>
      <c r="Z9" s="20"/>
      <c r="AA9" s="17">
        <f t="shared" si="8"/>
        <v>0</v>
      </c>
      <c r="AB9" s="17"/>
      <c r="AC9" s="48">
        <v>0.0</v>
      </c>
      <c r="AD9" s="76">
        <v>45410.0</v>
      </c>
      <c r="AE9" s="23"/>
    </row>
    <row r="10">
      <c r="A10" s="61" t="s">
        <v>183</v>
      </c>
      <c r="B10" s="61" t="s">
        <v>184</v>
      </c>
      <c r="C10" s="71">
        <v>45384.0</v>
      </c>
      <c r="D10" s="71">
        <v>45400.0</v>
      </c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>
        <v>12.0</v>
      </c>
      <c r="L10" s="17">
        <f t="shared" si="3"/>
        <v>2262.84</v>
      </c>
      <c r="M10" s="47">
        <v>2262.84</v>
      </c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>
        <v>8.0</v>
      </c>
      <c r="U10" s="17">
        <f t="shared" si="6"/>
        <v>40.56</v>
      </c>
      <c r="V10" s="47">
        <v>40.56</v>
      </c>
      <c r="W10" s="57">
        <v>5.0</v>
      </c>
      <c r="X10" s="17">
        <f t="shared" si="7"/>
        <v>91.1</v>
      </c>
      <c r="Y10" s="47">
        <v>91.1</v>
      </c>
      <c r="Z10" s="20"/>
      <c r="AA10" s="17">
        <f t="shared" si="8"/>
        <v>0</v>
      </c>
      <c r="AB10" s="50"/>
      <c r="AC10" s="48">
        <v>0.0</v>
      </c>
      <c r="AD10" s="50">
        <v>45410.0</v>
      </c>
      <c r="AE10" s="23"/>
    </row>
    <row r="11">
      <c r="A11" s="58" t="s">
        <v>153</v>
      </c>
      <c r="B11" s="58" t="s">
        <v>154</v>
      </c>
      <c r="C11" s="71">
        <v>45404.0</v>
      </c>
      <c r="D11" s="99">
        <v>45407.0</v>
      </c>
      <c r="E11" s="16"/>
      <c r="F11" s="17">
        <f t="shared" si="1"/>
        <v>0</v>
      </c>
      <c r="G11" s="17"/>
      <c r="H11" s="57"/>
      <c r="I11" s="17">
        <f t="shared" si="2"/>
        <v>0</v>
      </c>
      <c r="J11" s="17"/>
      <c r="K11" s="57">
        <v>4.0</v>
      </c>
      <c r="L11" s="17">
        <f t="shared" si="3"/>
        <v>754.28</v>
      </c>
      <c r="M11" s="4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>
        <v>1.0</v>
      </c>
      <c r="X11" s="17">
        <f t="shared" si="7"/>
        <v>18.22</v>
      </c>
      <c r="Y11" s="47">
        <v>18.22</v>
      </c>
      <c r="Z11" s="20"/>
      <c r="AA11" s="17">
        <f t="shared" si="8"/>
        <v>0</v>
      </c>
      <c r="AB11" s="17"/>
      <c r="AC11" s="48">
        <v>0.0</v>
      </c>
      <c r="AD11" s="49">
        <v>45410.0</v>
      </c>
      <c r="AE11" s="23"/>
    </row>
    <row r="12">
      <c r="A12" s="58" t="s">
        <v>109</v>
      </c>
      <c r="B12" s="58" t="s">
        <v>219</v>
      </c>
      <c r="C12" s="71"/>
      <c r="D12" s="62"/>
      <c r="E12" s="16"/>
      <c r="F12" s="17">
        <f t="shared" si="1"/>
        <v>0</v>
      </c>
      <c r="G12" s="17"/>
      <c r="H12" s="57"/>
      <c r="I12" s="17">
        <f t="shared" si="2"/>
        <v>0</v>
      </c>
      <c r="J12" s="47"/>
      <c r="K12" s="57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17"/>
      <c r="Z12" s="63"/>
      <c r="AA12" s="17">
        <f t="shared" si="8"/>
        <v>0</v>
      </c>
      <c r="AB12" s="17"/>
      <c r="AC12" s="21">
        <f>SUM(F12+I12+L12+O12+R12)</f>
        <v>0</v>
      </c>
      <c r="AD12" s="22"/>
      <c r="AE12" s="89"/>
    </row>
    <row r="13">
      <c r="A13" s="58" t="s">
        <v>220</v>
      </c>
      <c r="B13" s="58" t="s">
        <v>221</v>
      </c>
      <c r="C13" s="62"/>
      <c r="D13" s="62"/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/>
      <c r="L13" s="17">
        <f t="shared" si="3"/>
        <v>0</v>
      </c>
      <c r="M13" s="4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57"/>
      <c r="U13" s="17">
        <f t="shared" si="6"/>
        <v>0</v>
      </c>
      <c r="V13" s="17"/>
      <c r="W13" s="57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/>
      <c r="AE13" s="23"/>
    </row>
    <row r="14">
      <c r="A14" s="58" t="s">
        <v>115</v>
      </c>
      <c r="B14" s="58" t="s">
        <v>150</v>
      </c>
      <c r="C14" s="62">
        <v>45404.0</v>
      </c>
      <c r="D14" s="62">
        <v>45407.0</v>
      </c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57">
        <v>4.0</v>
      </c>
      <c r="L14" s="17">
        <f t="shared" si="3"/>
        <v>754.28</v>
      </c>
      <c r="M14" s="47">
        <v>754.28</v>
      </c>
      <c r="N14" s="16"/>
      <c r="O14" s="17">
        <f t="shared" si="4"/>
        <v>0</v>
      </c>
      <c r="P14" s="17"/>
      <c r="Q14" s="57"/>
      <c r="R14" s="17">
        <f t="shared" si="5"/>
        <v>0</v>
      </c>
      <c r="S14" s="17"/>
      <c r="T14" s="57">
        <v>12.0</v>
      </c>
      <c r="U14" s="17">
        <f t="shared" si="6"/>
        <v>60.84</v>
      </c>
      <c r="V14" s="47">
        <v>60.84</v>
      </c>
      <c r="W14" s="57"/>
      <c r="X14" s="17">
        <f t="shared" si="7"/>
        <v>0</v>
      </c>
      <c r="Y14" s="17"/>
      <c r="Z14" s="20"/>
      <c r="AA14" s="17">
        <f t="shared" si="8"/>
        <v>0</v>
      </c>
      <c r="AB14" s="17"/>
      <c r="AC14" s="48">
        <v>0.0</v>
      </c>
      <c r="AD14" s="50">
        <v>45410.0</v>
      </c>
      <c r="AE14" s="23"/>
    </row>
    <row r="15">
      <c r="A15" s="58" t="s">
        <v>109</v>
      </c>
      <c r="B15" s="58" t="s">
        <v>206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47"/>
      <c r="K15" s="57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21">
        <f>SUM(F15+I15+L15+O15+R15)</f>
        <v>0</v>
      </c>
      <c r="AD15" s="26"/>
      <c r="AE15" s="23"/>
    </row>
    <row r="16">
      <c r="A16" s="58" t="s">
        <v>207</v>
      </c>
      <c r="B16" s="58" t="s">
        <v>208</v>
      </c>
      <c r="C16" s="62">
        <v>45400.0</v>
      </c>
      <c r="D16" s="62">
        <v>45404.0</v>
      </c>
      <c r="E16" s="57"/>
      <c r="F16" s="17">
        <f t="shared" si="1"/>
        <v>0</v>
      </c>
      <c r="G16" s="17"/>
      <c r="H16" s="57"/>
      <c r="I16" s="17">
        <f t="shared" si="2"/>
        <v>0</v>
      </c>
      <c r="J16" s="17"/>
      <c r="K16" s="57">
        <v>2.0</v>
      </c>
      <c r="L16" s="17">
        <f t="shared" si="3"/>
        <v>377.14</v>
      </c>
      <c r="M16" s="47">
        <v>377.14</v>
      </c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/>
      <c r="AE16" s="23"/>
    </row>
    <row r="17">
      <c r="A17" s="58" t="s">
        <v>109</v>
      </c>
      <c r="B17" s="58" t="s">
        <v>110</v>
      </c>
      <c r="C17" s="62">
        <v>45400.0</v>
      </c>
      <c r="D17" s="62">
        <v>45406.0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4.0</v>
      </c>
      <c r="L17" s="17">
        <f t="shared" si="3"/>
        <v>754.28</v>
      </c>
      <c r="M17" s="47">
        <v>754.28</v>
      </c>
      <c r="N17" s="16"/>
      <c r="O17" s="17">
        <f t="shared" si="4"/>
        <v>0</v>
      </c>
      <c r="P17" s="17"/>
      <c r="Q17" s="57"/>
      <c r="R17" s="17">
        <f t="shared" si="5"/>
        <v>0</v>
      </c>
      <c r="S17" s="17"/>
      <c r="T17" s="57"/>
      <c r="U17" s="17">
        <f t="shared" si="6"/>
        <v>0</v>
      </c>
      <c r="V17" s="17"/>
      <c r="W17" s="57">
        <v>4.0</v>
      </c>
      <c r="X17" s="17">
        <f t="shared" si="7"/>
        <v>72.88</v>
      </c>
      <c r="Y17" s="47">
        <v>72.88</v>
      </c>
      <c r="Z17" s="20"/>
      <c r="AA17" s="17">
        <f t="shared" si="8"/>
        <v>0</v>
      </c>
      <c r="AB17" s="17"/>
      <c r="AC17" s="48">
        <v>0.0</v>
      </c>
      <c r="AD17" s="49">
        <v>45410.0</v>
      </c>
      <c r="AE17" s="23"/>
    </row>
    <row r="18">
      <c r="A18" s="58" t="s">
        <v>53</v>
      </c>
      <c r="B18" s="58" t="s">
        <v>187</v>
      </c>
      <c r="C18" s="62">
        <v>45404.0</v>
      </c>
      <c r="D18" s="62">
        <v>45407.0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4.0</v>
      </c>
      <c r="L18" s="17">
        <f t="shared" si="3"/>
        <v>754.28</v>
      </c>
      <c r="M18" s="47">
        <v>754.28</v>
      </c>
      <c r="N18" s="16"/>
      <c r="O18" s="17">
        <f t="shared" ref="O18:O21" si="10">PRODUCT(N18)*188.57</f>
        <v>0</v>
      </c>
      <c r="P18" s="17"/>
      <c r="Q18" s="16"/>
      <c r="R18" s="17">
        <f t="shared" si="5"/>
        <v>0</v>
      </c>
      <c r="S18" s="17"/>
      <c r="T18" s="57">
        <v>8.0</v>
      </c>
      <c r="U18" s="17">
        <f t="shared" si="6"/>
        <v>40.56</v>
      </c>
      <c r="V18" s="47">
        <v>40.56</v>
      </c>
      <c r="W18" s="57">
        <v>1.0</v>
      </c>
      <c r="X18" s="17">
        <f t="shared" si="7"/>
        <v>18.22</v>
      </c>
      <c r="Y18" s="47">
        <v>18.22</v>
      </c>
      <c r="Z18" s="20"/>
      <c r="AA18" s="17">
        <f t="shared" si="8"/>
        <v>0</v>
      </c>
      <c r="AB18" s="17"/>
      <c r="AC18" s="48">
        <v>0.0</v>
      </c>
      <c r="AD18" s="50">
        <v>45410.0</v>
      </c>
      <c r="AE18" s="23"/>
    </row>
    <row r="19">
      <c r="A19" s="58" t="s">
        <v>119</v>
      </c>
      <c r="B19" s="58" t="s">
        <v>128</v>
      </c>
      <c r="C19" s="71">
        <v>45400.0</v>
      </c>
      <c r="D19" s="62">
        <v>45406.0</v>
      </c>
      <c r="E19" s="57"/>
      <c r="F19" s="17">
        <f t="shared" si="1"/>
        <v>0</v>
      </c>
      <c r="G19" s="17"/>
      <c r="H19" s="57"/>
      <c r="I19" s="17">
        <f t="shared" si="2"/>
        <v>0</v>
      </c>
      <c r="J19" s="17"/>
      <c r="K19" s="57">
        <v>4.0</v>
      </c>
      <c r="L19" s="17">
        <f t="shared" si="3"/>
        <v>754.28</v>
      </c>
      <c r="M19" s="47">
        <v>754.28</v>
      </c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20"/>
      <c r="AA19" s="17">
        <f t="shared" si="8"/>
        <v>0</v>
      </c>
      <c r="AB19" s="17"/>
      <c r="AC19" s="48">
        <v>0.0</v>
      </c>
      <c r="AD19" s="50">
        <v>45410.0</v>
      </c>
      <c r="AE19" s="23"/>
    </row>
    <row r="20">
      <c r="A20" s="58" t="s">
        <v>141</v>
      </c>
      <c r="B20" s="58" t="s">
        <v>188</v>
      </c>
      <c r="C20" s="62"/>
      <c r="D20" s="62"/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57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174</v>
      </c>
      <c r="B21" s="58" t="s">
        <v>189</v>
      </c>
      <c r="C21" s="62">
        <v>45401.0</v>
      </c>
      <c r="D21" s="62">
        <v>45402.0</v>
      </c>
      <c r="E21" s="16"/>
      <c r="F21" s="17">
        <f t="shared" si="1"/>
        <v>0</v>
      </c>
      <c r="G21" s="17"/>
      <c r="H21" s="57"/>
      <c r="I21" s="17">
        <f t="shared" si="2"/>
        <v>0</v>
      </c>
      <c r="J21" s="17"/>
      <c r="K21" s="57">
        <v>3.0</v>
      </c>
      <c r="L21" s="17">
        <f t="shared" si="3"/>
        <v>565.71</v>
      </c>
      <c r="M21" s="47">
        <v>565.71</v>
      </c>
      <c r="N21" s="16"/>
      <c r="O21" s="17">
        <f t="shared" si="10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57"/>
      <c r="X21" s="17">
        <f t="shared" si="7"/>
        <v>0</v>
      </c>
      <c r="Y21" s="17"/>
      <c r="Z21" s="63"/>
      <c r="AA21" s="17">
        <f t="shared" si="8"/>
        <v>0</v>
      </c>
      <c r="AB21" s="17"/>
      <c r="AC21" s="48">
        <v>0.0</v>
      </c>
      <c r="AD21" s="49">
        <v>45410.0</v>
      </c>
      <c r="AE21" s="23"/>
    </row>
    <row r="22">
      <c r="A22" s="95" t="s">
        <v>47</v>
      </c>
      <c r="B22" s="96" t="s">
        <v>48</v>
      </c>
      <c r="C22" s="62"/>
      <c r="D22" s="62"/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/>
      <c r="L22" s="17">
        <f t="shared" si="3"/>
        <v>0</v>
      </c>
      <c r="M22" s="47"/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16"/>
      <c r="U22" s="17">
        <f t="shared" si="6"/>
        <v>0</v>
      </c>
      <c r="V22" s="17"/>
      <c r="W22" s="57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/>
      <c r="AE22" s="23"/>
    </row>
    <row r="23">
      <c r="A23" s="58" t="s">
        <v>85</v>
      </c>
      <c r="B23" s="58" t="s">
        <v>86</v>
      </c>
      <c r="C23" s="71">
        <v>45400.0</v>
      </c>
      <c r="D23" s="71">
        <v>45406.0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>
        <v>4.0</v>
      </c>
      <c r="L23" s="17">
        <f t="shared" si="3"/>
        <v>754.28</v>
      </c>
      <c r="M23" s="47">
        <v>754.28</v>
      </c>
      <c r="N23" s="57"/>
      <c r="O23" s="17">
        <f t="shared" ref="O23:O53" si="11">PRODUCT(N23)*58.85</f>
        <v>0</v>
      </c>
      <c r="P23" s="17"/>
      <c r="Q23" s="16"/>
      <c r="R23" s="17">
        <f t="shared" si="5"/>
        <v>0</v>
      </c>
      <c r="S23" s="17"/>
      <c r="T23" s="57">
        <v>8.0</v>
      </c>
      <c r="U23" s="17">
        <f t="shared" si="6"/>
        <v>40.56</v>
      </c>
      <c r="V23" s="17"/>
      <c r="W23" s="57">
        <v>2.0</v>
      </c>
      <c r="X23" s="17">
        <f t="shared" si="7"/>
        <v>36.44</v>
      </c>
      <c r="Y23" s="17"/>
      <c r="Z23" s="20"/>
      <c r="AA23" s="17">
        <f t="shared" si="8"/>
        <v>0</v>
      </c>
      <c r="AB23" s="17"/>
      <c r="AC23" s="21">
        <f>SUM(F23+I23+L23+O23+R23)</f>
        <v>754.28</v>
      </c>
      <c r="AD23" s="22"/>
      <c r="AE23" s="23"/>
    </row>
    <row r="24">
      <c r="A24" s="58" t="s">
        <v>67</v>
      </c>
      <c r="B24" s="58" t="s">
        <v>68</v>
      </c>
      <c r="C24" s="71">
        <v>45404.0</v>
      </c>
      <c r="D24" s="62">
        <v>45407.0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4.0</v>
      </c>
      <c r="L24" s="17">
        <f t="shared" si="3"/>
        <v>754.28</v>
      </c>
      <c r="M24" s="47">
        <v>754.28</v>
      </c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>
        <v>24.0</v>
      </c>
      <c r="U24" s="17">
        <f t="shared" si="6"/>
        <v>121.68</v>
      </c>
      <c r="V24" s="47">
        <v>60.8</v>
      </c>
      <c r="W24" s="57">
        <v>1.0</v>
      </c>
      <c r="X24" s="17">
        <f t="shared" si="7"/>
        <v>18.22</v>
      </c>
      <c r="Y24" s="47">
        <v>18.22</v>
      </c>
      <c r="Z24" s="63"/>
      <c r="AA24" s="17">
        <f t="shared" si="8"/>
        <v>0</v>
      </c>
      <c r="AB24" s="17"/>
      <c r="AC24" s="48">
        <v>0.0</v>
      </c>
      <c r="AD24" s="50">
        <v>45410.0</v>
      </c>
      <c r="AE24" s="23"/>
    </row>
    <row r="25">
      <c r="A25" s="58" t="s">
        <v>71</v>
      </c>
      <c r="B25" s="58" t="s">
        <v>96</v>
      </c>
      <c r="C25" s="62"/>
      <c r="D25" s="62"/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/>
      <c r="L25" s="17">
        <f t="shared" si="3"/>
        <v>0</v>
      </c>
      <c r="M25" s="47"/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21">
        <f t="shared" ref="AC25:AC26" si="12">SUM(F25+I25+L25+O25+R25)</f>
        <v>0</v>
      </c>
      <c r="AD25" s="50"/>
      <c r="AE25" s="23"/>
    </row>
    <row r="26">
      <c r="A26" s="58" t="s">
        <v>99</v>
      </c>
      <c r="B26" s="58" t="s">
        <v>100</v>
      </c>
      <c r="C26" s="62"/>
      <c r="D26" s="62"/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/>
      <c r="L26" s="17">
        <f t="shared" si="3"/>
        <v>0</v>
      </c>
      <c r="M26" s="17"/>
      <c r="N26" s="16"/>
      <c r="O26" s="17">
        <f t="shared" si="11"/>
        <v>0</v>
      </c>
      <c r="P26" s="17"/>
      <c r="Q26" s="16"/>
      <c r="R26" s="17">
        <f t="shared" si="5"/>
        <v>0</v>
      </c>
      <c r="S26" s="17"/>
      <c r="T26" s="57"/>
      <c r="U26" s="17">
        <f t="shared" si="6"/>
        <v>0</v>
      </c>
      <c r="V26" s="17"/>
      <c r="W26" s="57"/>
      <c r="X26" s="17">
        <f t="shared" si="7"/>
        <v>0</v>
      </c>
      <c r="Y26" s="17"/>
      <c r="Z26" s="20"/>
      <c r="AA26" s="17">
        <f t="shared" si="8"/>
        <v>0</v>
      </c>
      <c r="AB26" s="17"/>
      <c r="AC26" s="21">
        <f t="shared" si="12"/>
        <v>0</v>
      </c>
      <c r="AD26" s="26"/>
      <c r="AE26" s="23"/>
    </row>
    <row r="27" ht="15.75" customHeight="1">
      <c r="A27" s="61" t="s">
        <v>113</v>
      </c>
      <c r="B27" s="61" t="s">
        <v>114</v>
      </c>
      <c r="C27" s="62">
        <v>45405.0</v>
      </c>
      <c r="D27" s="62">
        <v>45407.0</v>
      </c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>
        <v>2.0</v>
      </c>
      <c r="L27" s="17">
        <f t="shared" si="3"/>
        <v>377.14</v>
      </c>
      <c r="M27" s="47">
        <v>377.14</v>
      </c>
      <c r="N27" s="16"/>
      <c r="O27" s="17">
        <f t="shared" si="11"/>
        <v>0</v>
      </c>
      <c r="P27" s="17"/>
      <c r="Q27" s="57"/>
      <c r="R27" s="17">
        <f t="shared" si="5"/>
        <v>0</v>
      </c>
      <c r="S27" s="17"/>
      <c r="T27" s="57"/>
      <c r="U27" s="17">
        <f t="shared" si="6"/>
        <v>0</v>
      </c>
      <c r="V27" s="17"/>
      <c r="W27" s="57">
        <v>0.0</v>
      </c>
      <c r="X27" s="17">
        <f t="shared" si="7"/>
        <v>0</v>
      </c>
      <c r="Y27" s="47"/>
      <c r="Z27" s="20"/>
      <c r="AA27" s="17">
        <f t="shared" si="8"/>
        <v>0</v>
      </c>
      <c r="AB27" s="17"/>
      <c r="AC27" s="48">
        <v>0.0</v>
      </c>
      <c r="AD27" s="50">
        <v>45410.0</v>
      </c>
      <c r="AE27" s="23"/>
    </row>
    <row r="28" ht="15.75" customHeight="1">
      <c r="A28" s="58" t="s">
        <v>65</v>
      </c>
      <c r="B28" s="58" t="s">
        <v>160</v>
      </c>
      <c r="C28" s="62">
        <v>45400.0</v>
      </c>
      <c r="D28" s="62">
        <v>45400.0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>
        <v>1.0</v>
      </c>
      <c r="L28" s="17">
        <f t="shared" si="3"/>
        <v>188.57</v>
      </c>
      <c r="M28" s="47">
        <v>0.0</v>
      </c>
      <c r="N28" s="57"/>
      <c r="O28" s="17">
        <f t="shared" si="11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>
        <v>1.0</v>
      </c>
      <c r="X28" s="17">
        <f t="shared" si="7"/>
        <v>18.22</v>
      </c>
      <c r="Y28" s="47">
        <v>18.22</v>
      </c>
      <c r="Z28" s="63"/>
      <c r="AA28" s="17">
        <f t="shared" si="8"/>
        <v>0</v>
      </c>
      <c r="AB28" s="17"/>
      <c r="AC28" s="48">
        <v>0.0</v>
      </c>
      <c r="AD28" s="50">
        <v>45410.0</v>
      </c>
      <c r="AE28" s="23"/>
    </row>
    <row r="29" ht="15.75" customHeight="1">
      <c r="A29" s="58" t="s">
        <v>57</v>
      </c>
      <c r="B29" s="58" t="s">
        <v>58</v>
      </c>
      <c r="C29" s="62">
        <v>45404.0</v>
      </c>
      <c r="D29" s="62">
        <v>45407.0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>
        <v>4.0</v>
      </c>
      <c r="L29" s="17">
        <f t="shared" si="3"/>
        <v>754.28</v>
      </c>
      <c r="M29" s="47">
        <v>754.28</v>
      </c>
      <c r="N29" s="57"/>
      <c r="O29" s="17">
        <f t="shared" si="11"/>
        <v>0</v>
      </c>
      <c r="P29" s="17"/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48">
        <v>0.0</v>
      </c>
      <c r="AD29" s="49">
        <v>45410.0</v>
      </c>
      <c r="AE29" s="23"/>
    </row>
    <row r="30" ht="15.75" customHeight="1">
      <c r="A30" s="58" t="s">
        <v>121</v>
      </c>
      <c r="B30" s="58" t="s">
        <v>100</v>
      </c>
      <c r="C30" s="62"/>
      <c r="D30" s="62"/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/>
      <c r="L30" s="17">
        <f t="shared" si="3"/>
        <v>0</v>
      </c>
      <c r="M30" s="47"/>
      <c r="N30" s="60"/>
      <c r="O30" s="17">
        <f t="shared" si="11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60"/>
      <c r="X30" s="17">
        <f t="shared" si="7"/>
        <v>0</v>
      </c>
      <c r="Y30" s="17"/>
      <c r="Z30" s="63"/>
      <c r="AA30" s="17">
        <f t="shared" si="8"/>
        <v>0</v>
      </c>
      <c r="AB30" s="17"/>
      <c r="AC30" s="21">
        <f>SUM(F30+I30+L30+O30+R30)</f>
        <v>0</v>
      </c>
      <c r="AD30" s="22"/>
      <c r="AE30" s="23"/>
    </row>
    <row r="31" ht="15.75" customHeight="1">
      <c r="A31" s="58" t="s">
        <v>115</v>
      </c>
      <c r="B31" s="58" t="s">
        <v>116</v>
      </c>
      <c r="C31" s="62">
        <v>45404.0</v>
      </c>
      <c r="D31" s="62">
        <v>45407.0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>
        <v>4.0</v>
      </c>
      <c r="L31" s="17">
        <f t="shared" si="3"/>
        <v>754.28</v>
      </c>
      <c r="M31" s="47">
        <v>565.71</v>
      </c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60">
        <v>20.0</v>
      </c>
      <c r="U31" s="17">
        <f t="shared" si="6"/>
        <v>101.4</v>
      </c>
      <c r="V31" s="47">
        <v>60.84</v>
      </c>
      <c r="W31" s="60"/>
      <c r="X31" s="17">
        <f t="shared" si="7"/>
        <v>0</v>
      </c>
      <c r="Y31" s="17"/>
      <c r="Z31" s="20"/>
      <c r="AA31" s="17">
        <f t="shared" si="8"/>
        <v>0</v>
      </c>
      <c r="AB31" s="50"/>
      <c r="AC31" s="48">
        <v>0.0</v>
      </c>
      <c r="AD31" s="50">
        <v>45410.0</v>
      </c>
      <c r="AE31" s="23"/>
    </row>
    <row r="32" ht="15.75" customHeight="1">
      <c r="A32" s="58" t="s">
        <v>170</v>
      </c>
      <c r="B32" s="58" t="s">
        <v>171</v>
      </c>
      <c r="C32" s="62"/>
      <c r="D32" s="62"/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/>
      <c r="L32" s="17">
        <f t="shared" si="3"/>
        <v>0</v>
      </c>
      <c r="M32" s="47"/>
      <c r="N32" s="28"/>
      <c r="O32" s="17">
        <f t="shared" si="11"/>
        <v>0</v>
      </c>
      <c r="P32" s="17"/>
      <c r="Q32" s="28"/>
      <c r="R32" s="17">
        <f t="shared" si="5"/>
        <v>0</v>
      </c>
      <c r="S32" s="17"/>
      <c r="T32" s="60">
        <v>24.0</v>
      </c>
      <c r="U32" s="17">
        <f t="shared" si="6"/>
        <v>121.68</v>
      </c>
      <c r="V32" s="17"/>
      <c r="W32" s="60">
        <v>3.0</v>
      </c>
      <c r="X32" s="17">
        <f t="shared" si="7"/>
        <v>54.66</v>
      </c>
      <c r="Y32" s="17"/>
      <c r="Z32" s="20"/>
      <c r="AA32" s="17">
        <f t="shared" si="8"/>
        <v>0</v>
      </c>
      <c r="AB32" s="17"/>
      <c r="AC32" s="21">
        <f>SUM(F32+I32+L32+O32+R32)</f>
        <v>0</v>
      </c>
      <c r="AD32" s="22"/>
      <c r="AE32" s="23"/>
    </row>
    <row r="33" ht="15.75" customHeight="1">
      <c r="A33" s="58" t="s">
        <v>163</v>
      </c>
      <c r="B33" s="58" t="s">
        <v>164</v>
      </c>
      <c r="C33" s="62">
        <v>45402.0</v>
      </c>
      <c r="D33" s="62">
        <v>45407.0</v>
      </c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>
        <v>5.0</v>
      </c>
      <c r="L33" s="17">
        <f t="shared" si="3"/>
        <v>942.85</v>
      </c>
      <c r="M33" s="47">
        <v>942.85</v>
      </c>
      <c r="N33" s="28"/>
      <c r="O33" s="17">
        <f t="shared" si="11"/>
        <v>0</v>
      </c>
      <c r="P33" s="17"/>
      <c r="Q33" s="60"/>
      <c r="R33" s="17">
        <f t="shared" si="5"/>
        <v>0</v>
      </c>
      <c r="S33" s="17"/>
      <c r="T33" s="60">
        <v>12.0</v>
      </c>
      <c r="U33" s="17">
        <f t="shared" si="6"/>
        <v>60.84</v>
      </c>
      <c r="V33" s="47">
        <v>60.84</v>
      </c>
      <c r="W33" s="60">
        <v>2.0</v>
      </c>
      <c r="X33" s="17">
        <f t="shared" si="7"/>
        <v>36.44</v>
      </c>
      <c r="Y33" s="47">
        <v>36.44</v>
      </c>
      <c r="Z33" s="63"/>
      <c r="AA33" s="17">
        <f t="shared" si="8"/>
        <v>0</v>
      </c>
      <c r="AB33" s="17"/>
      <c r="AC33" s="48">
        <v>0.0</v>
      </c>
      <c r="AD33" s="49">
        <v>45410.0</v>
      </c>
      <c r="AE33" s="23"/>
    </row>
    <row r="34" ht="15.75" customHeight="1">
      <c r="A34" s="58" t="s">
        <v>41</v>
      </c>
      <c r="B34" s="58" t="s">
        <v>42</v>
      </c>
      <c r="C34" s="62">
        <v>45400.0</v>
      </c>
      <c r="D34" s="62">
        <v>45406.0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1"/>
        <v>0</v>
      </c>
      <c r="P34" s="17"/>
      <c r="Q34" s="28"/>
      <c r="R34" s="17">
        <f t="shared" si="5"/>
        <v>0</v>
      </c>
      <c r="S34" s="17"/>
      <c r="T34" s="60"/>
      <c r="U34" s="17">
        <f t="shared" si="6"/>
        <v>0</v>
      </c>
      <c r="V34" s="17"/>
      <c r="W34" s="60">
        <v>1.0</v>
      </c>
      <c r="X34" s="17">
        <f t="shared" si="7"/>
        <v>18.22</v>
      </c>
      <c r="Y34" s="47">
        <v>18.22</v>
      </c>
      <c r="Z34" s="20"/>
      <c r="AA34" s="17">
        <f t="shared" si="8"/>
        <v>0</v>
      </c>
      <c r="AB34" s="17"/>
      <c r="AC34" s="48">
        <v>0.0</v>
      </c>
      <c r="AD34" s="49">
        <v>45410.0</v>
      </c>
      <c r="AE34" s="23"/>
    </row>
    <row r="35" ht="15.75" customHeight="1">
      <c r="A35" s="58" t="s">
        <v>47</v>
      </c>
      <c r="B35" s="58" t="s">
        <v>84</v>
      </c>
      <c r="C35" s="62">
        <v>45400.0</v>
      </c>
      <c r="D35" s="62">
        <v>45406.0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/>
      <c r="L35" s="17">
        <f t="shared" si="3"/>
        <v>0</v>
      </c>
      <c r="M35" s="47"/>
      <c r="N35" s="60">
        <v>4.0</v>
      </c>
      <c r="O35" s="17">
        <f t="shared" si="11"/>
        <v>235.4</v>
      </c>
      <c r="P35" s="47">
        <v>235.4</v>
      </c>
      <c r="Q35" s="28"/>
      <c r="R35" s="17">
        <f t="shared" si="5"/>
        <v>0</v>
      </c>
      <c r="S35" s="17"/>
      <c r="T35" s="60">
        <v>4.0</v>
      </c>
      <c r="U35" s="17">
        <f t="shared" si="6"/>
        <v>20.28</v>
      </c>
      <c r="V35" s="47">
        <v>20.28</v>
      </c>
      <c r="W35" s="28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>
        <v>45410.0</v>
      </c>
      <c r="AE35" s="23"/>
    </row>
    <row r="36" ht="15.75" customHeight="1">
      <c r="A36" s="58" t="s">
        <v>69</v>
      </c>
      <c r="B36" s="58" t="s">
        <v>70</v>
      </c>
      <c r="C36" s="71">
        <v>45404.0</v>
      </c>
      <c r="D36" s="62">
        <v>45407.0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4.0</v>
      </c>
      <c r="L36" s="17">
        <f t="shared" si="3"/>
        <v>754.28</v>
      </c>
      <c r="M36" s="47">
        <v>754.28</v>
      </c>
      <c r="N36" s="60"/>
      <c r="O36" s="17">
        <f t="shared" si="11"/>
        <v>0</v>
      </c>
      <c r="P36" s="17"/>
      <c r="Q36" s="28"/>
      <c r="R36" s="17">
        <f t="shared" si="5"/>
        <v>0</v>
      </c>
      <c r="S36" s="17"/>
      <c r="T36" s="60">
        <v>16.0</v>
      </c>
      <c r="U36" s="17">
        <f t="shared" si="6"/>
        <v>81.12</v>
      </c>
      <c r="V36" s="17"/>
      <c r="W36" s="60">
        <v>1.0</v>
      </c>
      <c r="X36" s="17">
        <f t="shared" si="7"/>
        <v>18.22</v>
      </c>
      <c r="Y36" s="17"/>
      <c r="Z36" s="63"/>
      <c r="AA36" s="17">
        <f t="shared" si="8"/>
        <v>0</v>
      </c>
      <c r="AB36" s="17"/>
      <c r="AC36" s="48">
        <v>0.0</v>
      </c>
      <c r="AD36" s="49"/>
      <c r="AE36" s="23"/>
    </row>
    <row r="37" ht="15.75" customHeight="1">
      <c r="A37" s="58" t="s">
        <v>158</v>
      </c>
      <c r="B37" s="58" t="s">
        <v>159</v>
      </c>
      <c r="C37" s="71">
        <v>45358.0</v>
      </c>
      <c r="D37" s="62">
        <v>45407.0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10.0</v>
      </c>
      <c r="L37" s="17">
        <f t="shared" si="3"/>
        <v>1885.7</v>
      </c>
      <c r="M37" s="47">
        <v>1885.7</v>
      </c>
      <c r="N37" s="28"/>
      <c r="O37" s="17">
        <f t="shared" si="11"/>
        <v>0</v>
      </c>
      <c r="P37" s="17"/>
      <c r="Q37" s="28"/>
      <c r="R37" s="17">
        <f t="shared" si="5"/>
        <v>0</v>
      </c>
      <c r="S37" s="17"/>
      <c r="T37" s="60"/>
      <c r="U37" s="17">
        <f t="shared" si="6"/>
        <v>0</v>
      </c>
      <c r="V37" s="17"/>
      <c r="W37" s="60">
        <v>6.0</v>
      </c>
      <c r="X37" s="17">
        <f t="shared" si="7"/>
        <v>109.32</v>
      </c>
      <c r="Y37" s="47">
        <v>109.32</v>
      </c>
      <c r="Z37" s="63"/>
      <c r="AA37" s="17">
        <f t="shared" si="8"/>
        <v>0</v>
      </c>
      <c r="AB37" s="17"/>
      <c r="AC37" s="48">
        <v>0.0</v>
      </c>
      <c r="AD37" s="50">
        <v>45410.0</v>
      </c>
      <c r="AE37" s="23"/>
    </row>
    <row r="38" ht="15.75" customHeight="1">
      <c r="A38" s="58" t="s">
        <v>95</v>
      </c>
      <c r="B38" s="58" t="s">
        <v>58</v>
      </c>
      <c r="C38" s="71">
        <v>45404.0</v>
      </c>
      <c r="D38" s="62">
        <v>45407.0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4.0</v>
      </c>
      <c r="L38" s="17">
        <f t="shared" si="3"/>
        <v>754.28</v>
      </c>
      <c r="M38" s="47">
        <v>754.28</v>
      </c>
      <c r="N38" s="60"/>
      <c r="O38" s="17">
        <f t="shared" si="11"/>
        <v>0</v>
      </c>
      <c r="P38" s="17"/>
      <c r="Q38" s="28"/>
      <c r="R38" s="17">
        <f t="shared" si="5"/>
        <v>0</v>
      </c>
      <c r="S38" s="17"/>
      <c r="T38" s="60"/>
      <c r="U38" s="17">
        <f t="shared" si="6"/>
        <v>0</v>
      </c>
      <c r="V38" s="17"/>
      <c r="W38" s="60">
        <v>1.0</v>
      </c>
      <c r="X38" s="17">
        <f t="shared" si="7"/>
        <v>18.22</v>
      </c>
      <c r="Y38" s="47">
        <v>18.22</v>
      </c>
      <c r="Z38" s="20"/>
      <c r="AA38" s="17">
        <f t="shared" si="8"/>
        <v>0</v>
      </c>
      <c r="AB38" s="17"/>
      <c r="AC38" s="48">
        <v>0.0</v>
      </c>
      <c r="AD38" s="50">
        <v>45410.0</v>
      </c>
      <c r="AE38" s="23"/>
    </row>
    <row r="39" ht="15.75" customHeight="1">
      <c r="A39" s="58"/>
      <c r="B39" s="58"/>
      <c r="C39" s="71"/>
      <c r="D39" s="62"/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/>
      <c r="L39" s="17">
        <f t="shared" si="3"/>
        <v>0</v>
      </c>
      <c r="M39" s="47"/>
      <c r="N39" s="28"/>
      <c r="O39" s="17">
        <f t="shared" si="11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21">
        <f>SUM(F39+I39+L39+O39+R39)</f>
        <v>0</v>
      </c>
      <c r="AD39" s="50"/>
      <c r="AE39" s="23"/>
    </row>
    <row r="40" ht="15.75" customHeight="1">
      <c r="A40" s="58" t="s">
        <v>20</v>
      </c>
      <c r="B40" s="58" t="s">
        <v>21</v>
      </c>
      <c r="C40" s="71">
        <v>45402.0</v>
      </c>
      <c r="D40" s="71">
        <v>45407.0</v>
      </c>
      <c r="E40" s="60"/>
      <c r="F40" s="17">
        <f t="shared" si="1"/>
        <v>0</v>
      </c>
      <c r="G40" s="17"/>
      <c r="H40" s="28"/>
      <c r="I40" s="17">
        <f t="shared" si="2"/>
        <v>0</v>
      </c>
      <c r="J40" s="17"/>
      <c r="K40" s="57">
        <v>5.0</v>
      </c>
      <c r="L40" s="17">
        <f t="shared" si="3"/>
        <v>942.85</v>
      </c>
      <c r="M40" s="47">
        <v>942.85</v>
      </c>
      <c r="N40" s="60"/>
      <c r="O40" s="17">
        <f t="shared" si="11"/>
        <v>0</v>
      </c>
      <c r="P40" s="47"/>
      <c r="Q40" s="28"/>
      <c r="R40" s="17">
        <f t="shared" si="5"/>
        <v>0</v>
      </c>
      <c r="S40" s="17"/>
      <c r="T40" s="60"/>
      <c r="U40" s="17">
        <f t="shared" si="6"/>
        <v>0</v>
      </c>
      <c r="V40" s="47"/>
      <c r="W40" s="60">
        <v>1.0</v>
      </c>
      <c r="X40" s="17">
        <f t="shared" si="7"/>
        <v>18.22</v>
      </c>
      <c r="Y40" s="47">
        <v>18.22</v>
      </c>
      <c r="Z40" s="20"/>
      <c r="AA40" s="17">
        <f t="shared" si="8"/>
        <v>0</v>
      </c>
      <c r="AB40" s="50"/>
      <c r="AC40" s="48">
        <v>0.0</v>
      </c>
      <c r="AD40" s="50">
        <v>45410.0</v>
      </c>
      <c r="AE40" s="23"/>
      <c r="AF40" s="31"/>
    </row>
    <row r="41" ht="15.75" customHeight="1">
      <c r="A41" s="58" t="s">
        <v>136</v>
      </c>
      <c r="B41" s="58" t="s">
        <v>162</v>
      </c>
      <c r="C41" s="71">
        <v>45404.0</v>
      </c>
      <c r="D41" s="62">
        <v>45407.0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3.0</v>
      </c>
      <c r="L41" s="17">
        <f t="shared" si="3"/>
        <v>565.71</v>
      </c>
      <c r="M41" s="47">
        <v>565.71</v>
      </c>
      <c r="N41" s="28"/>
      <c r="O41" s="17">
        <f t="shared" si="11"/>
        <v>0</v>
      </c>
      <c r="P41" s="17"/>
      <c r="Q41" s="28"/>
      <c r="R41" s="97">
        <f t="shared" si="5"/>
        <v>0</v>
      </c>
      <c r="S41" s="17"/>
      <c r="T41" s="60">
        <v>16.0</v>
      </c>
      <c r="U41" s="17">
        <f t="shared" si="6"/>
        <v>81.12</v>
      </c>
      <c r="V41" s="17"/>
      <c r="W41" s="60">
        <v>0.0</v>
      </c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45410.0</v>
      </c>
      <c r="AE41" s="23"/>
    </row>
    <row r="42" ht="15.75" customHeight="1">
      <c r="A42" s="58" t="s">
        <v>177</v>
      </c>
      <c r="B42" s="58" t="s">
        <v>178</v>
      </c>
      <c r="C42" s="71">
        <v>45400.0</v>
      </c>
      <c r="D42" s="62">
        <v>45402.0</v>
      </c>
      <c r="E42" s="60"/>
      <c r="F42" s="17">
        <f t="shared" si="1"/>
        <v>0</v>
      </c>
      <c r="G42" s="17"/>
      <c r="H42" s="28"/>
      <c r="I42" s="17">
        <f t="shared" ref="I42:I53" si="13">PRODUCT(H42)*316.77</f>
        <v>0</v>
      </c>
      <c r="J42" s="17"/>
      <c r="K42" s="57"/>
      <c r="L42" s="17">
        <f t="shared" si="3"/>
        <v>0</v>
      </c>
      <c r="M42" s="17"/>
      <c r="N42" s="28"/>
      <c r="O42" s="17">
        <f t="shared" si="11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60">
        <v>6.0</v>
      </c>
      <c r="X42" s="17">
        <f t="shared" si="7"/>
        <v>109.32</v>
      </c>
      <c r="Y42" s="47">
        <v>109.32</v>
      </c>
      <c r="Z42" s="20"/>
      <c r="AA42" s="17">
        <f t="shared" si="8"/>
        <v>0</v>
      </c>
      <c r="AB42" s="17"/>
      <c r="AC42" s="21">
        <f t="shared" ref="AC42:AC43" si="14">SUM(F42+I43+L42+O42+R42)</f>
        <v>0</v>
      </c>
      <c r="AD42" s="49">
        <v>45410.0</v>
      </c>
      <c r="AE42" s="23"/>
    </row>
    <row r="43" ht="15.75" customHeight="1">
      <c r="A43" s="58" t="s">
        <v>71</v>
      </c>
      <c r="B43" s="58" t="s">
        <v>190</v>
      </c>
      <c r="C43" s="71"/>
      <c r="D43" s="62"/>
      <c r="E43" s="60"/>
      <c r="F43" s="17">
        <f t="shared" si="1"/>
        <v>0</v>
      </c>
      <c r="G43" s="17"/>
      <c r="H43" s="28"/>
      <c r="I43" s="17">
        <f t="shared" si="13"/>
        <v>0</v>
      </c>
      <c r="J43" s="17"/>
      <c r="K43" s="57"/>
      <c r="L43" s="17">
        <f t="shared" si="3"/>
        <v>0</v>
      </c>
      <c r="M43" s="17"/>
      <c r="N43" s="28"/>
      <c r="O43" s="17">
        <f t="shared" si="11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17"/>
      <c r="W43" s="60"/>
      <c r="X43" s="17">
        <f t="shared" si="7"/>
        <v>0</v>
      </c>
      <c r="Y43" s="17"/>
      <c r="Z43" s="20"/>
      <c r="AA43" s="17">
        <f t="shared" si="8"/>
        <v>0</v>
      </c>
      <c r="AB43" s="17"/>
      <c r="AC43" s="21">
        <f t="shared" si="14"/>
        <v>0</v>
      </c>
      <c r="AD43" s="22"/>
      <c r="AE43" s="23"/>
    </row>
    <row r="44" ht="15.75" customHeight="1">
      <c r="A44" s="58" t="s">
        <v>223</v>
      </c>
      <c r="B44" s="58" t="s">
        <v>224</v>
      </c>
      <c r="C44" s="71">
        <v>45404.0</v>
      </c>
      <c r="D44" s="62">
        <v>45407.0</v>
      </c>
      <c r="E44" s="60"/>
      <c r="F44" s="17">
        <f t="shared" si="1"/>
        <v>0</v>
      </c>
      <c r="G44" s="17"/>
      <c r="H44" s="28"/>
      <c r="I44" s="17">
        <f t="shared" si="13"/>
        <v>0</v>
      </c>
      <c r="J44" s="17"/>
      <c r="K44" s="57">
        <v>4.0</v>
      </c>
      <c r="L44" s="17">
        <f t="shared" si="3"/>
        <v>754.28</v>
      </c>
      <c r="M44" s="17"/>
      <c r="N44" s="28"/>
      <c r="O44" s="17">
        <f t="shared" si="11"/>
        <v>0</v>
      </c>
      <c r="P44" s="17"/>
      <c r="Q44" s="28"/>
      <c r="R44" s="97">
        <f t="shared" si="5"/>
        <v>0</v>
      </c>
      <c r="S44" s="17"/>
      <c r="T44" s="60"/>
      <c r="U44" s="17">
        <f t="shared" si="6"/>
        <v>0</v>
      </c>
      <c r="V44" s="17"/>
      <c r="W44" s="60"/>
      <c r="X44" s="17">
        <f t="shared" si="7"/>
        <v>0</v>
      </c>
      <c r="Y44" s="17"/>
      <c r="Z44" s="20"/>
      <c r="AA44" s="17">
        <f t="shared" si="8"/>
        <v>0</v>
      </c>
      <c r="AB44" s="17"/>
      <c r="AC44" s="21">
        <f>SUM(F44+I44+L44+O44+R44)</f>
        <v>754.28</v>
      </c>
      <c r="AD44" s="22"/>
      <c r="AE44" s="23"/>
    </row>
    <row r="45" ht="15.75" customHeight="1">
      <c r="A45" s="58" t="s">
        <v>193</v>
      </c>
      <c r="B45" s="58" t="s">
        <v>194</v>
      </c>
      <c r="C45" s="62">
        <v>45400.0</v>
      </c>
      <c r="D45" s="62">
        <v>45400.0</v>
      </c>
      <c r="E45" s="28"/>
      <c r="F45" s="17">
        <f t="shared" si="1"/>
        <v>0</v>
      </c>
      <c r="G45" s="47"/>
      <c r="H45" s="28"/>
      <c r="I45" s="17">
        <f t="shared" si="13"/>
        <v>0</v>
      </c>
      <c r="J45" s="17"/>
      <c r="K45" s="57">
        <v>1.0</v>
      </c>
      <c r="L45" s="17">
        <f t="shared" si="3"/>
        <v>188.57</v>
      </c>
      <c r="M45" s="47">
        <v>0.0</v>
      </c>
      <c r="N45" s="28"/>
      <c r="O45" s="17">
        <f t="shared" si="11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60">
        <v>4.0</v>
      </c>
      <c r="X45" s="17">
        <f t="shared" si="7"/>
        <v>72.88</v>
      </c>
      <c r="Y45" s="47">
        <v>72.88</v>
      </c>
      <c r="Z45" s="20"/>
      <c r="AA45" s="17">
        <f t="shared" si="8"/>
        <v>0</v>
      </c>
      <c r="AB45" s="17"/>
      <c r="AC45" s="48">
        <v>0.0</v>
      </c>
      <c r="AD45" s="49">
        <v>45410.0</v>
      </c>
      <c r="AE45" s="23"/>
    </row>
    <row r="46" ht="15.75" customHeight="1">
      <c r="A46" s="58" t="s">
        <v>225</v>
      </c>
      <c r="B46" s="58" t="s">
        <v>226</v>
      </c>
      <c r="C46" s="71">
        <v>45404.0</v>
      </c>
      <c r="D46" s="71">
        <v>45405.0</v>
      </c>
      <c r="E46" s="60"/>
      <c r="F46" s="17">
        <f t="shared" si="1"/>
        <v>0</v>
      </c>
      <c r="G46" s="17"/>
      <c r="H46" s="28"/>
      <c r="I46" s="17">
        <f t="shared" si="13"/>
        <v>0</v>
      </c>
      <c r="J46" s="47"/>
      <c r="K46" s="57">
        <v>2.0</v>
      </c>
      <c r="L46" s="17">
        <f t="shared" si="3"/>
        <v>377.14</v>
      </c>
      <c r="M46" s="47">
        <v>377.14</v>
      </c>
      <c r="N46" s="28"/>
      <c r="O46" s="17">
        <f t="shared" si="11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28"/>
      <c r="X46" s="17">
        <f t="shared" si="7"/>
        <v>0</v>
      </c>
      <c r="Y46" s="17"/>
      <c r="Z46" s="20"/>
      <c r="AA46" s="17">
        <f t="shared" si="8"/>
        <v>0</v>
      </c>
      <c r="AB46" s="17"/>
      <c r="AC46" s="48">
        <v>0.0</v>
      </c>
      <c r="AD46" s="49">
        <v>45410.0</v>
      </c>
      <c r="AE46" s="23"/>
    </row>
    <row r="47" ht="15.75" customHeight="1">
      <c r="A47" s="58" t="s">
        <v>198</v>
      </c>
      <c r="B47" s="58" t="s">
        <v>199</v>
      </c>
      <c r="C47" s="62">
        <v>45404.0</v>
      </c>
      <c r="D47" s="62">
        <v>45407.0</v>
      </c>
      <c r="E47" s="60"/>
      <c r="F47" s="17">
        <f t="shared" si="1"/>
        <v>0</v>
      </c>
      <c r="G47" s="17"/>
      <c r="H47" s="28"/>
      <c r="I47" s="17">
        <f t="shared" si="13"/>
        <v>0</v>
      </c>
      <c r="J47" s="17"/>
      <c r="K47" s="57">
        <v>4.0</v>
      </c>
      <c r="L47" s="17">
        <f t="shared" si="3"/>
        <v>754.28</v>
      </c>
      <c r="M47" s="47">
        <v>754.28</v>
      </c>
      <c r="N47" s="28"/>
      <c r="O47" s="17">
        <f t="shared" si="11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>
        <v>8.0</v>
      </c>
      <c r="X47" s="17">
        <f t="shared" si="7"/>
        <v>145.76</v>
      </c>
      <c r="Y47" s="47">
        <v>145.76</v>
      </c>
      <c r="Z47" s="63"/>
      <c r="AA47" s="17">
        <f t="shared" si="8"/>
        <v>0</v>
      </c>
      <c r="AB47" s="17"/>
      <c r="AC47" s="48">
        <v>0.0</v>
      </c>
      <c r="AD47" s="49">
        <v>45410.0</v>
      </c>
      <c r="AE47" s="23"/>
    </row>
    <row r="48" ht="15.75" customHeight="1">
      <c r="A48" s="58" t="s">
        <v>109</v>
      </c>
      <c r="B48" s="58" t="s">
        <v>200</v>
      </c>
      <c r="C48" s="62"/>
      <c r="D48" s="62"/>
      <c r="E48" s="28"/>
      <c r="F48" s="17">
        <f t="shared" si="1"/>
        <v>0</v>
      </c>
      <c r="G48" s="17"/>
      <c r="H48" s="28"/>
      <c r="I48" s="17">
        <f t="shared" si="13"/>
        <v>0</v>
      </c>
      <c r="J48" s="17"/>
      <c r="K48" s="57"/>
      <c r="L48" s="17">
        <f t="shared" si="3"/>
        <v>0</v>
      </c>
      <c r="M48" s="47"/>
      <c r="N48" s="28"/>
      <c r="O48" s="17">
        <f t="shared" si="11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/>
      <c r="X48" s="17">
        <f t="shared" si="7"/>
        <v>0</v>
      </c>
      <c r="Y48" s="17"/>
      <c r="Z48" s="63"/>
      <c r="AA48" s="17">
        <f t="shared" si="8"/>
        <v>0</v>
      </c>
      <c r="AB48" s="17"/>
      <c r="AC48" s="48">
        <v>0.0</v>
      </c>
      <c r="AD48" s="49"/>
      <c r="AE48" s="23"/>
    </row>
    <row r="49" ht="15.75" customHeight="1">
      <c r="A49" s="58" t="s">
        <v>203</v>
      </c>
      <c r="B49" s="58" t="s">
        <v>204</v>
      </c>
      <c r="C49" s="62">
        <v>45400.0</v>
      </c>
      <c r="D49" s="62">
        <v>45406.0</v>
      </c>
      <c r="E49" s="60"/>
      <c r="F49" s="17">
        <f t="shared" si="1"/>
        <v>0</v>
      </c>
      <c r="G49" s="17"/>
      <c r="H49" s="28"/>
      <c r="I49" s="17">
        <f t="shared" si="13"/>
        <v>0</v>
      </c>
      <c r="J49" s="17"/>
      <c r="K49" s="57">
        <v>3.0</v>
      </c>
      <c r="L49" s="17">
        <f t="shared" si="3"/>
        <v>565.71</v>
      </c>
      <c r="M49" s="47">
        <v>565.71</v>
      </c>
      <c r="N49" s="28"/>
      <c r="O49" s="17">
        <f t="shared" si="11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>
        <v>45410.0</v>
      </c>
      <c r="AE49" s="23"/>
    </row>
    <row r="50" ht="15.75" customHeight="1">
      <c r="A50" s="58" t="s">
        <v>212</v>
      </c>
      <c r="B50" s="58" t="s">
        <v>213</v>
      </c>
      <c r="C50" s="62">
        <v>45391.0</v>
      </c>
      <c r="D50" s="62">
        <v>45400.0</v>
      </c>
      <c r="E50" s="60"/>
      <c r="F50" s="17">
        <f t="shared" si="1"/>
        <v>0</v>
      </c>
      <c r="G50" s="17"/>
      <c r="H50" s="60">
        <v>5.0</v>
      </c>
      <c r="I50" s="17">
        <f t="shared" si="13"/>
        <v>1583.85</v>
      </c>
      <c r="J50" s="47">
        <v>1463.19</v>
      </c>
      <c r="K50" s="57"/>
      <c r="L50" s="17">
        <f t="shared" si="3"/>
        <v>0</v>
      </c>
      <c r="M50" s="17"/>
      <c r="N50" s="28"/>
      <c r="O50" s="17">
        <f t="shared" si="11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>
        <v>3.0</v>
      </c>
      <c r="X50" s="17">
        <f t="shared" si="7"/>
        <v>54.66</v>
      </c>
      <c r="Y50" s="17"/>
      <c r="Z50" s="63"/>
      <c r="AA50" s="17">
        <f t="shared" si="8"/>
        <v>0</v>
      </c>
      <c r="AB50" s="17"/>
      <c r="AC50" s="48">
        <v>0.0</v>
      </c>
      <c r="AD50" s="26"/>
      <c r="AE50" s="23"/>
    </row>
    <row r="51" ht="15.75" customHeight="1">
      <c r="A51" s="58" t="s">
        <v>214</v>
      </c>
      <c r="B51" s="58" t="s">
        <v>137</v>
      </c>
      <c r="C51" s="62">
        <v>45391.0</v>
      </c>
      <c r="D51" s="62">
        <v>45397.0</v>
      </c>
      <c r="E51" s="60"/>
      <c r="F51" s="17">
        <f t="shared" si="1"/>
        <v>0</v>
      </c>
      <c r="G51" s="17"/>
      <c r="H51" s="60">
        <v>7.0</v>
      </c>
      <c r="I51" s="17">
        <f t="shared" si="13"/>
        <v>2217.39</v>
      </c>
      <c r="J51" s="47">
        <v>2217.39</v>
      </c>
      <c r="K51" s="57"/>
      <c r="L51" s="17">
        <f t="shared" si="3"/>
        <v>0</v>
      </c>
      <c r="M51" s="17"/>
      <c r="N51" s="28"/>
      <c r="O51" s="17">
        <f t="shared" si="11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>
        <v>20.0</v>
      </c>
      <c r="X51" s="17">
        <f t="shared" si="7"/>
        <v>364.4</v>
      </c>
      <c r="Y51" s="47">
        <v>145.76</v>
      </c>
      <c r="Z51" s="63"/>
      <c r="AA51" s="17">
        <f t="shared" si="8"/>
        <v>0</v>
      </c>
      <c r="AB51" s="17"/>
      <c r="AC51" s="48">
        <v>0.0</v>
      </c>
      <c r="AD51" s="50">
        <v>45410.0</v>
      </c>
      <c r="AE51" s="23"/>
    </row>
    <row r="52" ht="15.75" customHeight="1">
      <c r="A52" s="90" t="s">
        <v>71</v>
      </c>
      <c r="B52" s="90" t="s">
        <v>190</v>
      </c>
      <c r="C52" s="62">
        <v>45387.0</v>
      </c>
      <c r="D52" s="62">
        <v>45401.0</v>
      </c>
      <c r="E52" s="60"/>
      <c r="F52" s="17">
        <f t="shared" si="1"/>
        <v>0</v>
      </c>
      <c r="G52" s="17"/>
      <c r="H52" s="60">
        <v>17.0</v>
      </c>
      <c r="I52" s="17">
        <f t="shared" si="13"/>
        <v>5385.09</v>
      </c>
      <c r="J52" s="47">
        <v>5385.09</v>
      </c>
      <c r="K52" s="57"/>
      <c r="L52" s="17">
        <f t="shared" si="3"/>
        <v>0</v>
      </c>
      <c r="M52" s="17"/>
      <c r="N52" s="28"/>
      <c r="O52" s="17">
        <f t="shared" si="11"/>
        <v>0</v>
      </c>
      <c r="P52" s="17"/>
      <c r="Q52" s="28"/>
      <c r="R52" s="97">
        <f t="shared" si="5"/>
        <v>0</v>
      </c>
      <c r="S52" s="17"/>
      <c r="T52" s="28"/>
      <c r="U52" s="17">
        <f t="shared" si="6"/>
        <v>0</v>
      </c>
      <c r="V52" s="17"/>
      <c r="W52" s="28"/>
      <c r="X52" s="17">
        <f t="shared" si="7"/>
        <v>0</v>
      </c>
      <c r="Y52" s="17"/>
      <c r="Z52" s="63"/>
      <c r="AA52" s="17">
        <f t="shared" si="8"/>
        <v>0</v>
      </c>
      <c r="AB52" s="17"/>
      <c r="AC52" s="48">
        <v>0.0</v>
      </c>
      <c r="AD52" s="50">
        <v>45410.0</v>
      </c>
      <c r="AE52" s="23"/>
    </row>
    <row r="53" ht="15.75" customHeight="1">
      <c r="A53" s="58" t="s">
        <v>181</v>
      </c>
      <c r="B53" s="58" t="s">
        <v>182</v>
      </c>
      <c r="C53" s="62">
        <v>45381.0</v>
      </c>
      <c r="D53" s="62">
        <v>45390.0</v>
      </c>
      <c r="E53" s="60"/>
      <c r="F53" s="17">
        <f t="shared" si="1"/>
        <v>0</v>
      </c>
      <c r="G53" s="17"/>
      <c r="H53" s="60">
        <v>10.0</v>
      </c>
      <c r="I53" s="17">
        <f t="shared" si="13"/>
        <v>3167.7</v>
      </c>
      <c r="J53" s="47">
        <v>3167.7</v>
      </c>
      <c r="K53" s="57">
        <v>1.0</v>
      </c>
      <c r="L53" s="17">
        <f t="shared" si="3"/>
        <v>188.57</v>
      </c>
      <c r="M53" s="47">
        <v>188.57</v>
      </c>
      <c r="N53" s="28"/>
      <c r="O53" s="17">
        <f t="shared" si="11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60">
        <v>14.0</v>
      </c>
      <c r="X53" s="17">
        <f t="shared" si="7"/>
        <v>255.08</v>
      </c>
      <c r="Y53" s="47">
        <v>255.08</v>
      </c>
      <c r="Z53" s="63"/>
      <c r="AA53" s="17">
        <f t="shared" si="8"/>
        <v>0</v>
      </c>
      <c r="AB53" s="17"/>
      <c r="AC53" s="48">
        <v>0.0</v>
      </c>
      <c r="AD53" s="50">
        <v>45410.0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0</v>
      </c>
      <c r="G54" s="43">
        <f>SUM(G4:G44)</f>
        <v>0</v>
      </c>
      <c r="H54" s="42"/>
      <c r="I54" s="43">
        <f>SUM(I4:I53)</f>
        <v>19956.51</v>
      </c>
      <c r="J54" s="43">
        <f>SUM(J4:J44)</f>
        <v>7602.48</v>
      </c>
      <c r="K54" s="42"/>
      <c r="L54" s="43">
        <f t="shared" ref="L54:M54" si="15">SUM(L4:L44)</f>
        <v>18291.29</v>
      </c>
      <c r="M54" s="43">
        <f t="shared" si="15"/>
        <v>17159.87</v>
      </c>
      <c r="N54" s="42"/>
      <c r="O54" s="43">
        <f t="shared" ref="O54:P54" si="16">SUM(O4:O44)</f>
        <v>470.8</v>
      </c>
      <c r="P54" s="43">
        <f t="shared" si="16"/>
        <v>470.8</v>
      </c>
      <c r="Q54" s="42"/>
      <c r="R54" s="43">
        <f t="shared" ref="R54:S54" si="17">SUM(R4:R44)</f>
        <v>0</v>
      </c>
      <c r="S54" s="43">
        <f t="shared" si="17"/>
        <v>0</v>
      </c>
      <c r="T54" s="42"/>
      <c r="U54" s="43">
        <f t="shared" ref="U54:V54" si="18">SUM(U4:U44)</f>
        <v>770.64</v>
      </c>
      <c r="V54" s="43">
        <f t="shared" si="18"/>
        <v>344.72</v>
      </c>
      <c r="W54" s="42"/>
      <c r="X54" s="43">
        <f t="shared" ref="X54:Y54" si="19">SUM(X4:X44)</f>
        <v>1020.32</v>
      </c>
      <c r="Y54" s="43">
        <f t="shared" si="19"/>
        <v>911</v>
      </c>
      <c r="Z54" s="42"/>
      <c r="AA54" s="43">
        <f t="shared" ref="AA54:AC54" si="20">SUM(AA4:AA44)</f>
        <v>0</v>
      </c>
      <c r="AB54" s="43">
        <f t="shared" si="20"/>
        <v>0</v>
      </c>
      <c r="AC54" s="43">
        <f t="shared" si="20"/>
        <v>1508.56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227</v>
      </c>
      <c r="B4" s="61" t="s">
        <v>228</v>
      </c>
      <c r="C4" s="71">
        <v>45395.0</v>
      </c>
      <c r="D4" s="71">
        <v>45411.0</v>
      </c>
      <c r="E4" s="57"/>
      <c r="F4" s="17">
        <f t="shared" ref="F4:F53" si="1">PRODUCT(E4)*214.22</f>
        <v>0</v>
      </c>
      <c r="G4" s="47"/>
      <c r="H4" s="57">
        <v>16.0</v>
      </c>
      <c r="I4" s="17">
        <f t="shared" ref="I4:I40" si="2">PRODUCT(H4)*316.77</f>
        <v>5068.32</v>
      </c>
      <c r="J4" s="47">
        <v>5068.32</v>
      </c>
      <c r="K4" s="16"/>
      <c r="L4" s="17">
        <f t="shared" ref="L4:L53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>
        <v>18.0</v>
      </c>
      <c r="X4" s="17">
        <f t="shared" ref="X4:X53" si="7">PRODUCT(W4)*18.22</f>
        <v>327.96</v>
      </c>
      <c r="Y4" s="47">
        <v>327.96</v>
      </c>
      <c r="Z4" s="63"/>
      <c r="AA4" s="17">
        <f t="shared" ref="AA4:AA53" si="8">PRODUCT(Z4)*33.37</f>
        <v>0</v>
      </c>
      <c r="AB4" s="17"/>
      <c r="AC4" s="48">
        <v>0.0</v>
      </c>
      <c r="AD4" s="50">
        <v>45417.0</v>
      </c>
      <c r="AE4" s="23"/>
    </row>
    <row r="5">
      <c r="A5" s="61" t="s">
        <v>231</v>
      </c>
      <c r="B5" s="61" t="s">
        <v>232</v>
      </c>
      <c r="C5" s="62">
        <v>45411.0</v>
      </c>
      <c r="D5" s="62">
        <v>45414.0</v>
      </c>
      <c r="E5" s="57">
        <v>1.0</v>
      </c>
      <c r="F5" s="17">
        <f t="shared" si="1"/>
        <v>214.22</v>
      </c>
      <c r="G5" s="47">
        <v>214.22</v>
      </c>
      <c r="H5" s="16"/>
      <c r="I5" s="17">
        <f t="shared" si="2"/>
        <v>0</v>
      </c>
      <c r="J5" s="47"/>
      <c r="K5" s="57">
        <v>3.0</v>
      </c>
      <c r="L5" s="17">
        <f t="shared" si="3"/>
        <v>565.71</v>
      </c>
      <c r="M5" s="47">
        <v>565.71</v>
      </c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/>
      <c r="X5" s="17">
        <f t="shared" si="7"/>
        <v>0</v>
      </c>
      <c r="Y5" s="17"/>
      <c r="Z5" s="20"/>
      <c r="AA5" s="17">
        <f t="shared" si="8"/>
        <v>0</v>
      </c>
      <c r="AB5" s="17"/>
      <c r="AC5" s="48">
        <v>0.0</v>
      </c>
      <c r="AD5" s="50">
        <v>45417.0</v>
      </c>
      <c r="AE5" s="24"/>
    </row>
    <row r="6">
      <c r="A6" s="61" t="s">
        <v>61</v>
      </c>
      <c r="B6" s="61" t="s">
        <v>62</v>
      </c>
      <c r="C6" s="71">
        <v>45407.0</v>
      </c>
      <c r="D6" s="62">
        <v>45414.0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4.0</v>
      </c>
      <c r="O6" s="17">
        <f t="shared" si="4"/>
        <v>235.4</v>
      </c>
      <c r="P6" s="47">
        <v>235.4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50">
        <v>45417.0</v>
      </c>
      <c r="AE6" s="24"/>
    </row>
    <row r="7">
      <c r="A7" s="58" t="s">
        <v>55</v>
      </c>
      <c r="B7" s="58" t="s">
        <v>233</v>
      </c>
      <c r="C7" s="62">
        <v>45411.0</v>
      </c>
      <c r="D7" s="62">
        <v>45414.0</v>
      </c>
      <c r="E7" s="57">
        <v>1.0</v>
      </c>
      <c r="F7" s="17">
        <f t="shared" si="1"/>
        <v>214.22</v>
      </c>
      <c r="G7" s="47">
        <v>214.22</v>
      </c>
      <c r="H7" s="57"/>
      <c r="I7" s="17">
        <f t="shared" si="2"/>
        <v>0</v>
      </c>
      <c r="J7" s="17"/>
      <c r="K7" s="57">
        <v>3.0</v>
      </c>
      <c r="L7" s="17">
        <f t="shared" si="3"/>
        <v>565.71</v>
      </c>
      <c r="M7" s="47">
        <v>565.71</v>
      </c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48">
        <v>0.0</v>
      </c>
      <c r="AD7" s="50">
        <v>45417.0</v>
      </c>
      <c r="AE7" s="24"/>
    </row>
    <row r="8">
      <c r="A8" s="58" t="s">
        <v>215</v>
      </c>
      <c r="B8" s="58" t="s">
        <v>216</v>
      </c>
      <c r="C8" s="71"/>
      <c r="D8" s="62"/>
      <c r="E8" s="57"/>
      <c r="F8" s="17">
        <f t="shared" si="1"/>
        <v>0</v>
      </c>
      <c r="G8" s="17"/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21">
        <f>SUM(F8+I8+L8+O8+R8)</f>
        <v>0</v>
      </c>
      <c r="AD8" s="22"/>
      <c r="AE8" s="23"/>
    </row>
    <row r="9">
      <c r="A9" s="58" t="s">
        <v>230</v>
      </c>
      <c r="B9" s="58" t="s">
        <v>149</v>
      </c>
      <c r="C9" s="71">
        <v>45407.0</v>
      </c>
      <c r="D9" s="71">
        <v>45407.0</v>
      </c>
      <c r="E9" s="57"/>
      <c r="F9" s="17">
        <f t="shared" si="1"/>
        <v>0</v>
      </c>
      <c r="G9" s="17"/>
      <c r="H9" s="57"/>
      <c r="I9" s="17">
        <f t="shared" si="2"/>
        <v>0</v>
      </c>
      <c r="J9" s="17"/>
      <c r="K9" s="57">
        <v>1.0</v>
      </c>
      <c r="L9" s="17">
        <f t="shared" si="3"/>
        <v>188.57</v>
      </c>
      <c r="M9" s="47">
        <v>188.57</v>
      </c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17"/>
      <c r="Z9" s="20"/>
      <c r="AA9" s="17">
        <f t="shared" si="8"/>
        <v>0</v>
      </c>
      <c r="AB9" s="17"/>
      <c r="AC9" s="48">
        <v>0.0</v>
      </c>
      <c r="AD9" s="76">
        <v>45417.0</v>
      </c>
      <c r="AE9" s="23"/>
    </row>
    <row r="10">
      <c r="A10" s="58" t="s">
        <v>183</v>
      </c>
      <c r="B10" s="58" t="s">
        <v>184</v>
      </c>
      <c r="C10" s="71"/>
      <c r="D10" s="71"/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57"/>
      <c r="X10" s="17">
        <f t="shared" si="7"/>
        <v>0</v>
      </c>
      <c r="Y10" s="17"/>
      <c r="Z10" s="20"/>
      <c r="AA10" s="17">
        <f t="shared" si="8"/>
        <v>0</v>
      </c>
      <c r="AB10" s="50"/>
      <c r="AC10" s="48">
        <v>0.0</v>
      </c>
      <c r="AD10" s="50"/>
      <c r="AE10" s="23"/>
    </row>
    <row r="11">
      <c r="A11" s="58" t="s">
        <v>153</v>
      </c>
      <c r="B11" s="58" t="s">
        <v>154</v>
      </c>
      <c r="C11" s="71">
        <v>45379.0</v>
      </c>
      <c r="D11" s="99">
        <v>45410.0</v>
      </c>
      <c r="E11" s="16"/>
      <c r="F11" s="17">
        <f t="shared" si="1"/>
        <v>0</v>
      </c>
      <c r="G11" s="17"/>
      <c r="H11" s="57"/>
      <c r="I11" s="17">
        <f t="shared" si="2"/>
        <v>0</v>
      </c>
      <c r="J11" s="17"/>
      <c r="K11" s="57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/>
      <c r="X11" s="17">
        <f t="shared" si="7"/>
        <v>0</v>
      </c>
      <c r="Y11" s="17"/>
      <c r="Z11" s="63">
        <v>32.0</v>
      </c>
      <c r="AA11" s="17">
        <f t="shared" si="8"/>
        <v>1067.84</v>
      </c>
      <c r="AB11" s="17"/>
      <c r="AC11" s="21">
        <f t="shared" ref="AC11:AC12" si="9">SUM(F11+I11+L11+O11+R11)</f>
        <v>0</v>
      </c>
      <c r="AD11" s="22"/>
      <c r="AE11" s="23"/>
    </row>
    <row r="12">
      <c r="A12" s="58" t="s">
        <v>109</v>
      </c>
      <c r="B12" s="58" t="s">
        <v>219</v>
      </c>
      <c r="C12" s="71"/>
      <c r="D12" s="62"/>
      <c r="E12" s="16"/>
      <c r="F12" s="17">
        <f t="shared" si="1"/>
        <v>0</v>
      </c>
      <c r="G12" s="17"/>
      <c r="H12" s="57"/>
      <c r="I12" s="17">
        <f t="shared" si="2"/>
        <v>0</v>
      </c>
      <c r="J12" s="47"/>
      <c r="K12" s="57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17"/>
      <c r="Z12" s="63"/>
      <c r="AA12" s="17">
        <f t="shared" si="8"/>
        <v>0</v>
      </c>
      <c r="AB12" s="17"/>
      <c r="AC12" s="21">
        <f t="shared" si="9"/>
        <v>0</v>
      </c>
      <c r="AD12" s="22"/>
      <c r="AE12" s="89"/>
    </row>
    <row r="13">
      <c r="A13" s="58" t="s">
        <v>220</v>
      </c>
      <c r="B13" s="58" t="s">
        <v>221</v>
      </c>
      <c r="C13" s="62"/>
      <c r="D13" s="62"/>
      <c r="E13" s="16"/>
      <c r="F13" s="17">
        <f t="shared" si="1"/>
        <v>0</v>
      </c>
      <c r="G13" s="17"/>
      <c r="H13" s="57"/>
      <c r="I13" s="17">
        <f t="shared" si="2"/>
        <v>0</v>
      </c>
      <c r="J13" s="17"/>
      <c r="K13" s="57"/>
      <c r="L13" s="17">
        <f t="shared" si="3"/>
        <v>0</v>
      </c>
      <c r="M13" s="47"/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57"/>
      <c r="U13" s="17">
        <f t="shared" si="6"/>
        <v>0</v>
      </c>
      <c r="V13" s="17"/>
      <c r="W13" s="57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/>
      <c r="AE13" s="23"/>
    </row>
    <row r="14">
      <c r="A14" s="58" t="s">
        <v>115</v>
      </c>
      <c r="B14" s="58" t="s">
        <v>150</v>
      </c>
      <c r="C14" s="62">
        <v>45400.0</v>
      </c>
      <c r="D14" s="62">
        <v>45414.0</v>
      </c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57">
        <v>5.0</v>
      </c>
      <c r="L14" s="17">
        <f t="shared" si="3"/>
        <v>942.85</v>
      </c>
      <c r="M14" s="47">
        <v>942.85</v>
      </c>
      <c r="N14" s="16"/>
      <c r="O14" s="17">
        <f t="shared" si="4"/>
        <v>0</v>
      </c>
      <c r="P14" s="17"/>
      <c r="Q14" s="57"/>
      <c r="R14" s="17">
        <f t="shared" si="5"/>
        <v>0</v>
      </c>
      <c r="S14" s="17"/>
      <c r="T14" s="57">
        <v>8.0</v>
      </c>
      <c r="U14" s="17">
        <f t="shared" si="6"/>
        <v>40.56</v>
      </c>
      <c r="V14" s="47">
        <v>40.56</v>
      </c>
      <c r="W14" s="57"/>
      <c r="X14" s="17">
        <f t="shared" si="7"/>
        <v>0</v>
      </c>
      <c r="Y14" s="17"/>
      <c r="Z14" s="63">
        <v>12.0</v>
      </c>
      <c r="AA14" s="17">
        <f t="shared" si="8"/>
        <v>400.44</v>
      </c>
      <c r="AB14" s="47">
        <v>400.44</v>
      </c>
      <c r="AC14" s="48">
        <v>0.0</v>
      </c>
      <c r="AD14" s="50">
        <v>45417.0</v>
      </c>
      <c r="AE14" s="23"/>
    </row>
    <row r="15">
      <c r="A15" s="58" t="s">
        <v>109</v>
      </c>
      <c r="B15" s="58" t="s">
        <v>206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47"/>
      <c r="K15" s="57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21">
        <f>SUM(F15+I15+L15+O15+R15)</f>
        <v>0</v>
      </c>
      <c r="AD15" s="26"/>
      <c r="AE15" s="23"/>
    </row>
    <row r="16">
      <c r="A16" s="58" t="s">
        <v>207</v>
      </c>
      <c r="B16" s="58" t="s">
        <v>208</v>
      </c>
      <c r="C16" s="62"/>
      <c r="D16" s="62"/>
      <c r="E16" s="57"/>
      <c r="F16" s="17">
        <f t="shared" si="1"/>
        <v>0</v>
      </c>
      <c r="G16" s="17"/>
      <c r="H16" s="57"/>
      <c r="I16" s="17">
        <f t="shared" si="2"/>
        <v>0</v>
      </c>
      <c r="J16" s="17"/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/>
      <c r="AE16" s="23"/>
    </row>
    <row r="17">
      <c r="A17" s="58" t="s">
        <v>109</v>
      </c>
      <c r="B17" s="58" t="s">
        <v>110</v>
      </c>
      <c r="C17" s="62">
        <v>45407.0</v>
      </c>
      <c r="D17" s="62">
        <v>45412.0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3.0</v>
      </c>
      <c r="L17" s="17">
        <f t="shared" si="3"/>
        <v>565.71</v>
      </c>
      <c r="M17" s="47">
        <v>565.71</v>
      </c>
      <c r="N17" s="16"/>
      <c r="O17" s="17">
        <f t="shared" si="4"/>
        <v>0</v>
      </c>
      <c r="P17" s="17"/>
      <c r="Q17" s="57"/>
      <c r="R17" s="17">
        <f t="shared" si="5"/>
        <v>0</v>
      </c>
      <c r="S17" s="17"/>
      <c r="T17" s="57"/>
      <c r="U17" s="17">
        <f t="shared" si="6"/>
        <v>0</v>
      </c>
      <c r="V17" s="17"/>
      <c r="W17" s="57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45417.0</v>
      </c>
      <c r="AE17" s="23"/>
    </row>
    <row r="18">
      <c r="A18" s="58" t="s">
        <v>53</v>
      </c>
      <c r="B18" s="58" t="s">
        <v>187</v>
      </c>
      <c r="C18" s="62">
        <v>45411.0</v>
      </c>
      <c r="D18" s="62">
        <v>45414.0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4.0</v>
      </c>
      <c r="L18" s="17">
        <f t="shared" si="3"/>
        <v>754.28</v>
      </c>
      <c r="M18" s="47">
        <v>754.28</v>
      </c>
      <c r="N18" s="16"/>
      <c r="O18" s="17">
        <f t="shared" ref="O18:O21" si="10">PRODUCT(N18)*188.57</f>
        <v>0</v>
      </c>
      <c r="P18" s="17"/>
      <c r="Q18" s="16"/>
      <c r="R18" s="17">
        <f t="shared" si="5"/>
        <v>0</v>
      </c>
      <c r="S18" s="17"/>
      <c r="T18" s="57">
        <v>16.0</v>
      </c>
      <c r="U18" s="17">
        <f t="shared" si="6"/>
        <v>81.12</v>
      </c>
      <c r="V18" s="47">
        <v>81.12</v>
      </c>
      <c r="W18" s="57">
        <v>2.0</v>
      </c>
      <c r="X18" s="17">
        <f t="shared" si="7"/>
        <v>36.44</v>
      </c>
      <c r="Y18" s="47">
        <v>0.0</v>
      </c>
      <c r="Z18" s="20"/>
      <c r="AA18" s="17">
        <f t="shared" si="8"/>
        <v>0</v>
      </c>
      <c r="AB18" s="17"/>
      <c r="AC18" s="48">
        <v>0.0</v>
      </c>
      <c r="AD18" s="50">
        <v>45417.0</v>
      </c>
      <c r="AE18" s="23"/>
    </row>
    <row r="19">
      <c r="A19" s="58" t="s">
        <v>119</v>
      </c>
      <c r="B19" s="58" t="s">
        <v>128</v>
      </c>
      <c r="C19" s="71">
        <v>45407.0</v>
      </c>
      <c r="D19" s="62">
        <v>45413.0</v>
      </c>
      <c r="E19" s="57"/>
      <c r="F19" s="17">
        <f t="shared" si="1"/>
        <v>0</v>
      </c>
      <c r="G19" s="17"/>
      <c r="H19" s="57"/>
      <c r="I19" s="17">
        <f t="shared" si="2"/>
        <v>0</v>
      </c>
      <c r="J19" s="17"/>
      <c r="K19" s="57">
        <v>4.0</v>
      </c>
      <c r="L19" s="17">
        <f t="shared" si="3"/>
        <v>754.28</v>
      </c>
      <c r="M19" s="47">
        <v>754.28</v>
      </c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63">
        <v>12.0</v>
      </c>
      <c r="AA19" s="17">
        <f t="shared" si="8"/>
        <v>400.44</v>
      </c>
      <c r="AB19" s="47">
        <v>400.44</v>
      </c>
      <c r="AC19" s="48">
        <v>0.0</v>
      </c>
      <c r="AD19" s="50">
        <v>45417.0</v>
      </c>
      <c r="AE19" s="23"/>
    </row>
    <row r="20">
      <c r="A20" s="58" t="s">
        <v>141</v>
      </c>
      <c r="B20" s="58" t="s">
        <v>188</v>
      </c>
      <c r="C20" s="62"/>
      <c r="D20" s="62"/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57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174</v>
      </c>
      <c r="B21" s="58" t="s">
        <v>189</v>
      </c>
      <c r="C21" s="62">
        <v>45408.0</v>
      </c>
      <c r="D21" s="62">
        <v>45413.0</v>
      </c>
      <c r="E21" s="16"/>
      <c r="F21" s="17">
        <f t="shared" si="1"/>
        <v>0</v>
      </c>
      <c r="G21" s="17"/>
      <c r="H21" s="57"/>
      <c r="I21" s="17">
        <f t="shared" si="2"/>
        <v>0</v>
      </c>
      <c r="J21" s="17"/>
      <c r="K21" s="57">
        <v>3.0</v>
      </c>
      <c r="L21" s="17">
        <f t="shared" si="3"/>
        <v>565.71</v>
      </c>
      <c r="M21" s="47">
        <v>565.71</v>
      </c>
      <c r="N21" s="16"/>
      <c r="O21" s="17">
        <f t="shared" si="10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57"/>
      <c r="X21" s="17">
        <f t="shared" si="7"/>
        <v>0</v>
      </c>
      <c r="Y21" s="17"/>
      <c r="Z21" s="63"/>
      <c r="AA21" s="17">
        <f t="shared" si="8"/>
        <v>0</v>
      </c>
      <c r="AB21" s="17"/>
      <c r="AC21" s="48">
        <v>0.0</v>
      </c>
      <c r="AD21" s="49">
        <v>45417.0</v>
      </c>
      <c r="AE21" s="23"/>
    </row>
    <row r="22">
      <c r="A22" s="95" t="s">
        <v>47</v>
      </c>
      <c r="B22" s="96" t="s">
        <v>48</v>
      </c>
      <c r="C22" s="62">
        <v>45390.0</v>
      </c>
      <c r="D22" s="62">
        <v>45414.0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16.0</v>
      </c>
      <c r="L22" s="17">
        <f t="shared" si="3"/>
        <v>3017.12</v>
      </c>
      <c r="M22" s="47">
        <v>3017.12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57">
        <v>40.0</v>
      </c>
      <c r="U22" s="17">
        <f t="shared" si="6"/>
        <v>202.8</v>
      </c>
      <c r="V22" s="47">
        <v>202.8</v>
      </c>
      <c r="W22" s="57">
        <v>32.0</v>
      </c>
      <c r="X22" s="17">
        <f t="shared" si="7"/>
        <v>583.04</v>
      </c>
      <c r="Y22" s="47">
        <v>583.04</v>
      </c>
      <c r="Z22" s="20"/>
      <c r="AA22" s="17">
        <f t="shared" si="8"/>
        <v>0</v>
      </c>
      <c r="AB22" s="17"/>
      <c r="AC22" s="48">
        <v>0.0</v>
      </c>
      <c r="AD22" s="50">
        <v>45417.0</v>
      </c>
      <c r="AE22" s="23"/>
    </row>
    <row r="23">
      <c r="A23" s="58" t="s">
        <v>85</v>
      </c>
      <c r="B23" s="58" t="s">
        <v>86</v>
      </c>
      <c r="C23" s="71">
        <v>45407.0</v>
      </c>
      <c r="D23" s="71">
        <v>45413.0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>
        <v>4.0</v>
      </c>
      <c r="L23" s="17">
        <f t="shared" si="3"/>
        <v>754.28</v>
      </c>
      <c r="M23" s="47">
        <v>754.28</v>
      </c>
      <c r="N23" s="57"/>
      <c r="O23" s="17">
        <f t="shared" ref="O23:O53" si="11">PRODUCT(N23)*58.85</f>
        <v>0</v>
      </c>
      <c r="P23" s="17"/>
      <c r="Q23" s="57"/>
      <c r="R23" s="17">
        <f t="shared" si="5"/>
        <v>0</v>
      </c>
      <c r="S23" s="17"/>
      <c r="T23" s="57">
        <v>28.0</v>
      </c>
      <c r="U23" s="17">
        <f t="shared" si="6"/>
        <v>141.96</v>
      </c>
      <c r="V23" s="47">
        <v>141.96</v>
      </c>
      <c r="W23" s="57"/>
      <c r="X23" s="17">
        <f t="shared" si="7"/>
        <v>0</v>
      </c>
      <c r="Y23" s="17"/>
      <c r="Z23" s="63">
        <v>14.0</v>
      </c>
      <c r="AA23" s="17">
        <f t="shared" si="8"/>
        <v>467.18</v>
      </c>
      <c r="AB23" s="17"/>
      <c r="AC23" s="48">
        <v>0.0</v>
      </c>
      <c r="AD23" s="49">
        <v>45417.0</v>
      </c>
      <c r="AE23" s="23"/>
    </row>
    <row r="24">
      <c r="A24" s="58" t="s">
        <v>67</v>
      </c>
      <c r="B24" s="58" t="s">
        <v>68</v>
      </c>
      <c r="C24" s="71">
        <v>45411.0</v>
      </c>
      <c r="D24" s="62">
        <v>45414.0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4.0</v>
      </c>
      <c r="L24" s="17">
        <f t="shared" si="3"/>
        <v>754.28</v>
      </c>
      <c r="M24" s="47">
        <v>565.71</v>
      </c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>
        <v>4.0</v>
      </c>
      <c r="U24" s="17">
        <f t="shared" si="6"/>
        <v>20.28</v>
      </c>
      <c r="V24" s="47">
        <v>20.28</v>
      </c>
      <c r="W24" s="57">
        <v>2.0</v>
      </c>
      <c r="X24" s="17">
        <f t="shared" si="7"/>
        <v>36.44</v>
      </c>
      <c r="Y24" s="47">
        <v>36.44</v>
      </c>
      <c r="Z24" s="63"/>
      <c r="AA24" s="17">
        <f t="shared" si="8"/>
        <v>0</v>
      </c>
      <c r="AB24" s="17"/>
      <c r="AC24" s="48">
        <v>0.0</v>
      </c>
      <c r="AD24" s="50">
        <v>45417.0</v>
      </c>
      <c r="AE24" s="23"/>
    </row>
    <row r="25">
      <c r="A25" s="58" t="s">
        <v>71</v>
      </c>
      <c r="B25" s="58" t="s">
        <v>96</v>
      </c>
      <c r="C25" s="62"/>
      <c r="D25" s="62"/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/>
      <c r="L25" s="17">
        <f t="shared" si="3"/>
        <v>0</v>
      </c>
      <c r="M25" s="47"/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16"/>
      <c r="X25" s="17">
        <f t="shared" si="7"/>
        <v>0</v>
      </c>
      <c r="Y25" s="17"/>
      <c r="Z25" s="20"/>
      <c r="AA25" s="17">
        <f t="shared" si="8"/>
        <v>0</v>
      </c>
      <c r="AB25" s="50"/>
      <c r="AC25" s="21">
        <f t="shared" ref="AC25:AC27" si="12">SUM(F25+I25+L25+O25+R25)</f>
        <v>0</v>
      </c>
      <c r="AD25" s="50"/>
      <c r="AE25" s="23"/>
    </row>
    <row r="26">
      <c r="A26" s="58" t="s">
        <v>99</v>
      </c>
      <c r="B26" s="58" t="s">
        <v>100</v>
      </c>
      <c r="C26" s="62">
        <v>45377.0</v>
      </c>
      <c r="D26" s="62">
        <v>45388.0</v>
      </c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/>
      <c r="L26" s="17">
        <f t="shared" si="3"/>
        <v>0</v>
      </c>
      <c r="M26" s="17"/>
      <c r="N26" s="16"/>
      <c r="O26" s="17">
        <f t="shared" si="11"/>
        <v>0</v>
      </c>
      <c r="P26" s="17"/>
      <c r="Q26" s="16"/>
      <c r="R26" s="17">
        <f t="shared" si="5"/>
        <v>0</v>
      </c>
      <c r="S26" s="17"/>
      <c r="T26" s="57"/>
      <c r="U26" s="17">
        <f t="shared" si="6"/>
        <v>0</v>
      </c>
      <c r="V26" s="17"/>
      <c r="W26" s="57"/>
      <c r="X26" s="17">
        <f t="shared" si="7"/>
        <v>0</v>
      </c>
      <c r="Y26" s="17"/>
      <c r="Z26" s="63">
        <v>12.0</v>
      </c>
      <c r="AA26" s="17">
        <f t="shared" si="8"/>
        <v>400.44</v>
      </c>
      <c r="AB26" s="17"/>
      <c r="AC26" s="21">
        <f t="shared" si="12"/>
        <v>0</v>
      </c>
      <c r="AD26" s="26"/>
      <c r="AE26" s="23"/>
    </row>
    <row r="27" ht="15.75" customHeight="1">
      <c r="A27" s="58" t="s">
        <v>113</v>
      </c>
      <c r="B27" s="58" t="s">
        <v>114</v>
      </c>
      <c r="C27" s="62"/>
      <c r="D27" s="62"/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/>
      <c r="L27" s="17">
        <f t="shared" si="3"/>
        <v>0</v>
      </c>
      <c r="M27" s="17"/>
      <c r="N27" s="16"/>
      <c r="O27" s="17">
        <f t="shared" si="11"/>
        <v>0</v>
      </c>
      <c r="P27" s="17"/>
      <c r="Q27" s="57"/>
      <c r="R27" s="17">
        <f t="shared" si="5"/>
        <v>0</v>
      </c>
      <c r="S27" s="17"/>
      <c r="T27" s="57"/>
      <c r="U27" s="17">
        <f t="shared" si="6"/>
        <v>0</v>
      </c>
      <c r="V27" s="17"/>
      <c r="W27" s="57"/>
      <c r="X27" s="17">
        <f t="shared" si="7"/>
        <v>0</v>
      </c>
      <c r="Y27" s="17"/>
      <c r="Z27" s="20"/>
      <c r="AA27" s="17">
        <f t="shared" si="8"/>
        <v>0</v>
      </c>
      <c r="AB27" s="17"/>
      <c r="AC27" s="21">
        <f t="shared" si="12"/>
        <v>0</v>
      </c>
      <c r="AD27" s="26"/>
      <c r="AE27" s="23"/>
    </row>
    <row r="28" ht="15.75" customHeight="1">
      <c r="A28" s="58" t="s">
        <v>65</v>
      </c>
      <c r="B28" s="58" t="s">
        <v>160</v>
      </c>
      <c r="C28" s="62">
        <v>45373.0</v>
      </c>
      <c r="D28" s="62">
        <v>45396.0</v>
      </c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/>
      <c r="L28" s="17">
        <f t="shared" si="3"/>
        <v>0</v>
      </c>
      <c r="M28" s="47"/>
      <c r="N28" s="57"/>
      <c r="O28" s="17">
        <f t="shared" si="11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>
        <v>24.0</v>
      </c>
      <c r="AA28" s="17">
        <f t="shared" si="8"/>
        <v>800.88</v>
      </c>
      <c r="AB28" s="17"/>
      <c r="AC28" s="48">
        <v>0.0</v>
      </c>
      <c r="AD28" s="50"/>
      <c r="AE28" s="23"/>
    </row>
    <row r="29" ht="15.75" customHeight="1">
      <c r="A29" s="58" t="s">
        <v>57</v>
      </c>
      <c r="B29" s="58" t="s">
        <v>58</v>
      </c>
      <c r="C29" s="62">
        <v>45411.0</v>
      </c>
      <c r="D29" s="62">
        <v>45414.0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/>
      <c r="L29" s="17">
        <f t="shared" si="3"/>
        <v>0</v>
      </c>
      <c r="M29" s="17"/>
      <c r="N29" s="57">
        <v>4.0</v>
      </c>
      <c r="O29" s="17">
        <f t="shared" si="11"/>
        <v>235.4</v>
      </c>
      <c r="P29" s="17"/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21">
        <f t="shared" ref="AC29:AC31" si="13">SUM(F29+I29+L29+O29+R29)</f>
        <v>235.4</v>
      </c>
      <c r="AD29" s="22"/>
      <c r="AE29" s="23"/>
    </row>
    <row r="30" ht="15.75" customHeight="1">
      <c r="A30" s="58" t="s">
        <v>121</v>
      </c>
      <c r="B30" s="58" t="s">
        <v>100</v>
      </c>
      <c r="C30" s="62">
        <v>45383.0</v>
      </c>
      <c r="D30" s="62">
        <v>45396.0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/>
      <c r="L30" s="17">
        <f t="shared" si="3"/>
        <v>0</v>
      </c>
      <c r="M30" s="47"/>
      <c r="N30" s="60"/>
      <c r="O30" s="17">
        <f t="shared" si="11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60"/>
      <c r="X30" s="17">
        <f t="shared" si="7"/>
        <v>0</v>
      </c>
      <c r="Y30" s="17"/>
      <c r="Z30" s="63">
        <v>14.0</v>
      </c>
      <c r="AA30" s="17">
        <f t="shared" si="8"/>
        <v>467.18</v>
      </c>
      <c r="AB30" s="17"/>
      <c r="AC30" s="21">
        <f t="shared" si="13"/>
        <v>0</v>
      </c>
      <c r="AD30" s="22"/>
      <c r="AE30" s="23"/>
    </row>
    <row r="31" ht="15.75" customHeight="1">
      <c r="A31" s="58" t="s">
        <v>115</v>
      </c>
      <c r="B31" s="58" t="s">
        <v>116</v>
      </c>
      <c r="C31" s="62">
        <v>45377.0</v>
      </c>
      <c r="D31" s="62">
        <v>45388.0</v>
      </c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/>
      <c r="L31" s="17">
        <f t="shared" si="3"/>
        <v>0</v>
      </c>
      <c r="M31" s="47"/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60"/>
      <c r="U31" s="17">
        <f t="shared" si="6"/>
        <v>0</v>
      </c>
      <c r="V31" s="17"/>
      <c r="W31" s="60"/>
      <c r="X31" s="17">
        <f t="shared" si="7"/>
        <v>0</v>
      </c>
      <c r="Y31" s="17"/>
      <c r="Z31" s="63">
        <v>12.0</v>
      </c>
      <c r="AA31" s="17">
        <f t="shared" si="8"/>
        <v>400.44</v>
      </c>
      <c r="AB31" s="50"/>
      <c r="AC31" s="21">
        <f t="shared" si="13"/>
        <v>0</v>
      </c>
      <c r="AD31" s="50"/>
      <c r="AE31" s="23"/>
    </row>
    <row r="32" ht="15.75" customHeight="1">
      <c r="A32" s="58" t="s">
        <v>234</v>
      </c>
      <c r="B32" s="58" t="s">
        <v>235</v>
      </c>
      <c r="C32" s="62">
        <v>45411.0</v>
      </c>
      <c r="D32" s="62">
        <v>45384.0</v>
      </c>
      <c r="E32" s="60">
        <v>1.0</v>
      </c>
      <c r="F32" s="17">
        <f t="shared" si="1"/>
        <v>214.22</v>
      </c>
      <c r="G32" s="47">
        <v>214.22</v>
      </c>
      <c r="H32" s="28"/>
      <c r="I32" s="17">
        <f t="shared" si="2"/>
        <v>0</v>
      </c>
      <c r="J32" s="17"/>
      <c r="K32" s="57">
        <v>3.0</v>
      </c>
      <c r="L32" s="17">
        <f t="shared" si="3"/>
        <v>565.71</v>
      </c>
      <c r="M32" s="47">
        <v>565.71</v>
      </c>
      <c r="N32" s="28"/>
      <c r="O32" s="17">
        <f t="shared" si="11"/>
        <v>0</v>
      </c>
      <c r="P32" s="17"/>
      <c r="Q32" s="28"/>
      <c r="R32" s="17">
        <f t="shared" si="5"/>
        <v>0</v>
      </c>
      <c r="S32" s="17"/>
      <c r="T32" s="60"/>
      <c r="U32" s="17">
        <f t="shared" si="6"/>
        <v>0</v>
      </c>
      <c r="V32" s="17"/>
      <c r="W32" s="60">
        <v>4.0</v>
      </c>
      <c r="X32" s="17">
        <f t="shared" si="7"/>
        <v>72.88</v>
      </c>
      <c r="Y32" s="47">
        <v>72.88</v>
      </c>
      <c r="Z32" s="20"/>
      <c r="AA32" s="17">
        <f t="shared" si="8"/>
        <v>0</v>
      </c>
      <c r="AB32" s="17"/>
      <c r="AC32" s="48">
        <v>0.0</v>
      </c>
      <c r="AD32" s="49">
        <v>45417.0</v>
      </c>
      <c r="AE32" s="23"/>
    </row>
    <row r="33" ht="15.75" customHeight="1">
      <c r="A33" s="58" t="s">
        <v>236</v>
      </c>
      <c r="B33" s="58" t="s">
        <v>237</v>
      </c>
      <c r="C33" s="62">
        <v>45411.0</v>
      </c>
      <c r="D33" s="62">
        <v>45413.0</v>
      </c>
      <c r="E33" s="60">
        <v>1.0</v>
      </c>
      <c r="F33" s="17">
        <f t="shared" si="1"/>
        <v>214.22</v>
      </c>
      <c r="G33" s="47">
        <v>214.22</v>
      </c>
      <c r="H33" s="28"/>
      <c r="I33" s="17">
        <f t="shared" si="2"/>
        <v>0</v>
      </c>
      <c r="J33" s="17"/>
      <c r="K33" s="57">
        <v>3.0</v>
      </c>
      <c r="L33" s="17">
        <f t="shared" si="3"/>
        <v>565.71</v>
      </c>
      <c r="M33" s="47">
        <v>565.71</v>
      </c>
      <c r="N33" s="28"/>
      <c r="O33" s="17">
        <f t="shared" si="11"/>
        <v>0</v>
      </c>
      <c r="P33" s="17"/>
      <c r="Q33" s="60"/>
      <c r="R33" s="17">
        <f t="shared" si="5"/>
        <v>0</v>
      </c>
      <c r="S33" s="17"/>
      <c r="T33" s="28"/>
      <c r="U33" s="17">
        <f t="shared" si="6"/>
        <v>0</v>
      </c>
      <c r="V33" s="17"/>
      <c r="W33" s="60"/>
      <c r="X33" s="17">
        <f t="shared" si="7"/>
        <v>0</v>
      </c>
      <c r="Y33" s="17"/>
      <c r="Z33" s="63"/>
      <c r="AA33" s="17">
        <f t="shared" si="8"/>
        <v>0</v>
      </c>
      <c r="AB33" s="17"/>
      <c r="AC33" s="48">
        <v>0.0</v>
      </c>
      <c r="AD33" s="49">
        <v>45417.0</v>
      </c>
      <c r="AE33" s="23"/>
    </row>
    <row r="34" ht="15.75" customHeight="1">
      <c r="A34" s="58" t="s">
        <v>41</v>
      </c>
      <c r="B34" s="58" t="s">
        <v>42</v>
      </c>
      <c r="C34" s="62">
        <v>45407.0</v>
      </c>
      <c r="D34" s="62">
        <v>45413.0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1"/>
        <v>0</v>
      </c>
      <c r="P34" s="17"/>
      <c r="Q34" s="28"/>
      <c r="R34" s="17">
        <f t="shared" si="5"/>
        <v>0</v>
      </c>
      <c r="S34" s="17"/>
      <c r="T34" s="60"/>
      <c r="U34" s="17">
        <f t="shared" si="6"/>
        <v>0</v>
      </c>
      <c r="V34" s="17"/>
      <c r="W34" s="60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45417.0</v>
      </c>
      <c r="AE34" s="23"/>
    </row>
    <row r="35" ht="15.75" customHeight="1">
      <c r="A35" s="58" t="s">
        <v>47</v>
      </c>
      <c r="B35" s="58" t="s">
        <v>84</v>
      </c>
      <c r="C35" s="62">
        <v>45404.0</v>
      </c>
      <c r="D35" s="62">
        <v>45413.0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/>
      <c r="L35" s="17">
        <f t="shared" si="3"/>
        <v>0</v>
      </c>
      <c r="M35" s="47"/>
      <c r="N35" s="60">
        <v>4.0</v>
      </c>
      <c r="O35" s="17">
        <f t="shared" si="11"/>
        <v>235.4</v>
      </c>
      <c r="P35" s="47">
        <v>176.55</v>
      </c>
      <c r="Q35" s="28"/>
      <c r="R35" s="17">
        <f t="shared" si="5"/>
        <v>0</v>
      </c>
      <c r="S35" s="17"/>
      <c r="T35" s="60">
        <v>8.0</v>
      </c>
      <c r="U35" s="17">
        <f t="shared" si="6"/>
        <v>40.56</v>
      </c>
      <c r="V35" s="47">
        <v>40.56</v>
      </c>
      <c r="W35" s="60">
        <v>2.0</v>
      </c>
      <c r="X35" s="17">
        <f t="shared" si="7"/>
        <v>36.44</v>
      </c>
      <c r="Y35" s="47">
        <v>36.44</v>
      </c>
      <c r="Z35" s="20"/>
      <c r="AA35" s="17">
        <f t="shared" si="8"/>
        <v>0</v>
      </c>
      <c r="AB35" s="17"/>
      <c r="AC35" s="48">
        <v>0.0</v>
      </c>
      <c r="AD35" s="50">
        <v>45417.0</v>
      </c>
      <c r="AE35" s="23"/>
    </row>
    <row r="36" ht="15.75" customHeight="1">
      <c r="A36" s="58" t="s">
        <v>69</v>
      </c>
      <c r="B36" s="58" t="s">
        <v>70</v>
      </c>
      <c r="C36" s="71">
        <v>45411.0</v>
      </c>
      <c r="D36" s="62">
        <v>45414.0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>
        <v>4.0</v>
      </c>
      <c r="L36" s="17">
        <f t="shared" si="3"/>
        <v>754.28</v>
      </c>
      <c r="M36" s="47">
        <v>565.71</v>
      </c>
      <c r="N36" s="60"/>
      <c r="O36" s="17">
        <f t="shared" si="11"/>
        <v>0</v>
      </c>
      <c r="P36" s="17"/>
      <c r="Q36" s="28"/>
      <c r="R36" s="17">
        <f t="shared" si="5"/>
        <v>0</v>
      </c>
      <c r="S36" s="17"/>
      <c r="T36" s="60"/>
      <c r="U36" s="17">
        <f t="shared" si="6"/>
        <v>0</v>
      </c>
      <c r="V36" s="17"/>
      <c r="W36" s="60">
        <v>2.0</v>
      </c>
      <c r="X36" s="17">
        <f t="shared" si="7"/>
        <v>36.44</v>
      </c>
      <c r="Y36" s="47">
        <v>36.44</v>
      </c>
      <c r="Z36" s="63"/>
      <c r="AA36" s="17">
        <f t="shared" si="8"/>
        <v>0</v>
      </c>
      <c r="AB36" s="17"/>
      <c r="AC36" s="48">
        <v>0.0</v>
      </c>
      <c r="AD36" s="49">
        <v>45417.0</v>
      </c>
      <c r="AE36" s="23"/>
    </row>
    <row r="37" ht="15.75" customHeight="1">
      <c r="A37" s="61" t="s">
        <v>158</v>
      </c>
      <c r="B37" s="61" t="s">
        <v>159</v>
      </c>
      <c r="C37" s="71">
        <v>45411.0</v>
      </c>
      <c r="D37" s="62">
        <v>45414.0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4.0</v>
      </c>
      <c r="L37" s="17">
        <f t="shared" si="3"/>
        <v>754.28</v>
      </c>
      <c r="M37" s="47">
        <v>754.28</v>
      </c>
      <c r="N37" s="28"/>
      <c r="O37" s="17">
        <f t="shared" si="11"/>
        <v>0</v>
      </c>
      <c r="P37" s="17"/>
      <c r="Q37" s="28"/>
      <c r="R37" s="17">
        <f t="shared" si="5"/>
        <v>0</v>
      </c>
      <c r="S37" s="17"/>
      <c r="T37" s="60">
        <v>20.0</v>
      </c>
      <c r="U37" s="17">
        <f t="shared" si="6"/>
        <v>101.4</v>
      </c>
      <c r="V37" s="47">
        <v>101.4</v>
      </c>
      <c r="W37" s="28"/>
      <c r="X37" s="17">
        <f t="shared" si="7"/>
        <v>0</v>
      </c>
      <c r="Y37" s="17"/>
      <c r="Z37" s="63">
        <v>14.0</v>
      </c>
      <c r="AA37" s="17">
        <f t="shared" si="8"/>
        <v>467.18</v>
      </c>
      <c r="AB37" s="47">
        <v>467.18</v>
      </c>
      <c r="AC37" s="48">
        <v>0.0</v>
      </c>
      <c r="AD37" s="50">
        <v>45417.0</v>
      </c>
      <c r="AE37" s="23"/>
    </row>
    <row r="38" ht="15.75" customHeight="1">
      <c r="A38" s="58" t="s">
        <v>95</v>
      </c>
      <c r="B38" s="58" t="s">
        <v>58</v>
      </c>
      <c r="C38" s="71">
        <v>45411.0</v>
      </c>
      <c r="D38" s="62">
        <v>45414.0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4.0</v>
      </c>
      <c r="L38" s="17">
        <f t="shared" si="3"/>
        <v>754.28</v>
      </c>
      <c r="M38" s="47">
        <v>754.28</v>
      </c>
      <c r="N38" s="60"/>
      <c r="O38" s="17">
        <f t="shared" si="11"/>
        <v>0</v>
      </c>
      <c r="P38" s="17"/>
      <c r="Q38" s="28"/>
      <c r="R38" s="17">
        <f t="shared" si="5"/>
        <v>0</v>
      </c>
      <c r="S38" s="17"/>
      <c r="T38" s="60"/>
      <c r="U38" s="17">
        <f t="shared" si="6"/>
        <v>0</v>
      </c>
      <c r="V38" s="17"/>
      <c r="W38" s="60"/>
      <c r="X38" s="17">
        <f t="shared" si="7"/>
        <v>0</v>
      </c>
      <c r="Y38" s="17"/>
      <c r="Z38" s="20"/>
      <c r="AA38" s="17">
        <f t="shared" si="8"/>
        <v>0</v>
      </c>
      <c r="AB38" s="17"/>
      <c r="AC38" s="48">
        <v>0.0</v>
      </c>
      <c r="AD38" s="50">
        <v>45417.0</v>
      </c>
      <c r="AE38" s="23"/>
    </row>
    <row r="39" ht="15.75" customHeight="1">
      <c r="A39" s="58" t="s">
        <v>20</v>
      </c>
      <c r="B39" s="58" t="s">
        <v>21</v>
      </c>
      <c r="C39" s="71">
        <v>45411.0</v>
      </c>
      <c r="D39" s="62">
        <v>45414.0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4.0</v>
      </c>
      <c r="L39" s="17">
        <f t="shared" si="3"/>
        <v>754.28</v>
      </c>
      <c r="M39" s="47">
        <v>754.28</v>
      </c>
      <c r="N39" s="28"/>
      <c r="O39" s="17">
        <f t="shared" si="11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45417.0</v>
      </c>
      <c r="AE39" s="23"/>
    </row>
    <row r="40" ht="15.75" customHeight="1">
      <c r="A40" s="58" t="s">
        <v>136</v>
      </c>
      <c r="B40" s="58" t="s">
        <v>162</v>
      </c>
      <c r="C40" s="71">
        <v>45411.0</v>
      </c>
      <c r="D40" s="71">
        <v>45414.0</v>
      </c>
      <c r="E40" s="60"/>
      <c r="F40" s="17">
        <f t="shared" si="1"/>
        <v>0</v>
      </c>
      <c r="G40" s="17"/>
      <c r="H40" s="28"/>
      <c r="I40" s="17">
        <f t="shared" si="2"/>
        <v>0</v>
      </c>
      <c r="J40" s="17"/>
      <c r="K40" s="57">
        <v>4.0</v>
      </c>
      <c r="L40" s="17">
        <f t="shared" si="3"/>
        <v>754.28</v>
      </c>
      <c r="M40" s="47">
        <v>754.28</v>
      </c>
      <c r="N40" s="60"/>
      <c r="O40" s="17">
        <f t="shared" si="11"/>
        <v>0</v>
      </c>
      <c r="P40" s="47"/>
      <c r="Q40" s="28"/>
      <c r="R40" s="17">
        <f t="shared" si="5"/>
        <v>0</v>
      </c>
      <c r="S40" s="17"/>
      <c r="T40" s="60">
        <v>12.0</v>
      </c>
      <c r="U40" s="17">
        <f t="shared" si="6"/>
        <v>60.84</v>
      </c>
      <c r="V40" s="47">
        <v>60.84</v>
      </c>
      <c r="W40" s="60"/>
      <c r="X40" s="17">
        <f t="shared" si="7"/>
        <v>0</v>
      </c>
      <c r="Y40" s="17"/>
      <c r="Z40" s="63">
        <v>12.0</v>
      </c>
      <c r="AA40" s="17">
        <f t="shared" si="8"/>
        <v>400.44</v>
      </c>
      <c r="AB40" s="58">
        <v>400.44</v>
      </c>
      <c r="AC40" s="48">
        <v>0.0</v>
      </c>
      <c r="AD40" s="50">
        <v>45417.0</v>
      </c>
      <c r="AE40" s="23"/>
      <c r="AF40" s="31"/>
    </row>
    <row r="41" ht="15.75" customHeight="1">
      <c r="A41" s="58" t="s">
        <v>225</v>
      </c>
      <c r="B41" s="58" t="s">
        <v>226</v>
      </c>
      <c r="C41" s="71">
        <v>45411.0</v>
      </c>
      <c r="D41" s="62">
        <v>45413.0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2.0</v>
      </c>
      <c r="L41" s="17">
        <f t="shared" si="3"/>
        <v>377.14</v>
      </c>
      <c r="M41" s="47">
        <v>377.14</v>
      </c>
      <c r="N41" s="28"/>
      <c r="O41" s="17">
        <f t="shared" si="11"/>
        <v>0</v>
      </c>
      <c r="P41" s="17"/>
      <c r="Q41" s="28"/>
      <c r="R41" s="97">
        <f t="shared" si="5"/>
        <v>0</v>
      </c>
      <c r="S41" s="17"/>
      <c r="T41" s="60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45417.0</v>
      </c>
      <c r="AE41" s="23"/>
    </row>
    <row r="42" ht="15.75" customHeight="1">
      <c r="A42" s="58" t="s">
        <v>71</v>
      </c>
      <c r="B42" s="58" t="s">
        <v>190</v>
      </c>
      <c r="C42" s="71">
        <v>45383.0</v>
      </c>
      <c r="D42" s="62">
        <v>45394.0</v>
      </c>
      <c r="E42" s="60"/>
      <c r="F42" s="17">
        <f t="shared" si="1"/>
        <v>0</v>
      </c>
      <c r="G42" s="17"/>
      <c r="H42" s="28"/>
      <c r="I42" s="17">
        <f t="shared" ref="I42:I53" si="14">PRODUCT(H42)*316.77</f>
        <v>0</v>
      </c>
      <c r="J42" s="17"/>
      <c r="K42" s="57"/>
      <c r="L42" s="17">
        <f t="shared" si="3"/>
        <v>0</v>
      </c>
      <c r="M42" s="17"/>
      <c r="N42" s="28"/>
      <c r="O42" s="17">
        <f t="shared" si="11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63">
        <v>12.0</v>
      </c>
      <c r="AA42" s="17">
        <f t="shared" si="8"/>
        <v>400.44</v>
      </c>
      <c r="AB42" s="17"/>
      <c r="AC42" s="21">
        <f>SUM(F42+I43+L42+O42+R42)</f>
        <v>0</v>
      </c>
      <c r="AD42" s="22"/>
      <c r="AE42" s="23"/>
    </row>
    <row r="43" ht="15.75" customHeight="1">
      <c r="A43" s="61" t="s">
        <v>223</v>
      </c>
      <c r="B43" s="61" t="s">
        <v>224</v>
      </c>
      <c r="C43" s="71">
        <v>45411.0</v>
      </c>
      <c r="D43" s="62">
        <v>45414.0</v>
      </c>
      <c r="E43" s="60"/>
      <c r="F43" s="17">
        <f t="shared" si="1"/>
        <v>0</v>
      </c>
      <c r="G43" s="17"/>
      <c r="H43" s="28"/>
      <c r="I43" s="17">
        <f t="shared" si="14"/>
        <v>0</v>
      </c>
      <c r="J43" s="17"/>
      <c r="K43" s="57">
        <v>4.0</v>
      </c>
      <c r="L43" s="17">
        <f t="shared" si="3"/>
        <v>754.28</v>
      </c>
      <c r="M43" s="47">
        <v>754.28</v>
      </c>
      <c r="N43" s="28"/>
      <c r="O43" s="17">
        <f t="shared" si="11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17"/>
      <c r="W43" s="60"/>
      <c r="X43" s="17">
        <f t="shared" si="7"/>
        <v>0</v>
      </c>
      <c r="Y43" s="17"/>
      <c r="Z43" s="20"/>
      <c r="AA43" s="17">
        <f t="shared" si="8"/>
        <v>0</v>
      </c>
      <c r="AB43" s="17"/>
      <c r="AC43" s="48">
        <v>0.0</v>
      </c>
      <c r="AD43" s="49">
        <v>45417.0</v>
      </c>
      <c r="AE43" s="23"/>
    </row>
    <row r="44" ht="15.75" customHeight="1">
      <c r="A44" s="58" t="s">
        <v>193</v>
      </c>
      <c r="B44" s="58" t="s">
        <v>194</v>
      </c>
      <c r="C44" s="71">
        <v>45414.0</v>
      </c>
      <c r="D44" s="62">
        <v>45414.0</v>
      </c>
      <c r="E44" s="60"/>
      <c r="F44" s="17">
        <f t="shared" si="1"/>
        <v>0</v>
      </c>
      <c r="G44" s="17"/>
      <c r="H44" s="28"/>
      <c r="I44" s="17">
        <f t="shared" si="14"/>
        <v>0</v>
      </c>
      <c r="J44" s="17"/>
      <c r="K44" s="57">
        <v>1.0</v>
      </c>
      <c r="L44" s="17">
        <f t="shared" si="3"/>
        <v>188.57</v>
      </c>
      <c r="M44" s="47">
        <v>188.57</v>
      </c>
      <c r="N44" s="28"/>
      <c r="O44" s="17">
        <f t="shared" si="11"/>
        <v>0</v>
      </c>
      <c r="P44" s="17"/>
      <c r="Q44" s="28"/>
      <c r="R44" s="97">
        <f t="shared" si="5"/>
        <v>0</v>
      </c>
      <c r="S44" s="17"/>
      <c r="T44" s="60">
        <v>4.0</v>
      </c>
      <c r="U44" s="17">
        <f t="shared" si="6"/>
        <v>20.28</v>
      </c>
      <c r="V44" s="47">
        <v>20.28</v>
      </c>
      <c r="W44" s="60"/>
      <c r="X44" s="17">
        <f t="shared" si="7"/>
        <v>0</v>
      </c>
      <c r="Y44" s="17"/>
      <c r="Z44" s="20"/>
      <c r="AA44" s="17">
        <f t="shared" si="8"/>
        <v>0</v>
      </c>
      <c r="AB44" s="17"/>
      <c r="AC44" s="48">
        <v>0.0</v>
      </c>
      <c r="AD44" s="49">
        <v>45417.0</v>
      </c>
      <c r="AE44" s="23"/>
    </row>
    <row r="45" ht="15.75" customHeight="1">
      <c r="A45" s="58" t="s">
        <v>49</v>
      </c>
      <c r="B45" s="58" t="s">
        <v>50</v>
      </c>
      <c r="C45" s="62">
        <v>45390.0</v>
      </c>
      <c r="D45" s="62">
        <v>45414.0</v>
      </c>
      <c r="E45" s="28"/>
      <c r="F45" s="17">
        <f t="shared" si="1"/>
        <v>0</v>
      </c>
      <c r="G45" s="47"/>
      <c r="H45" s="28"/>
      <c r="I45" s="17">
        <f t="shared" si="14"/>
        <v>0</v>
      </c>
      <c r="J45" s="17"/>
      <c r="K45" s="57">
        <v>16.0</v>
      </c>
      <c r="L45" s="17">
        <f t="shared" si="3"/>
        <v>3017.12</v>
      </c>
      <c r="M45" s="47">
        <v>3017.12</v>
      </c>
      <c r="N45" s="28"/>
      <c r="O45" s="17">
        <f t="shared" si="11"/>
        <v>0</v>
      </c>
      <c r="P45" s="17"/>
      <c r="Q45" s="28"/>
      <c r="R45" s="97">
        <f t="shared" si="5"/>
        <v>0</v>
      </c>
      <c r="S45" s="17"/>
      <c r="T45" s="60">
        <v>24.0</v>
      </c>
      <c r="U45" s="17">
        <f t="shared" si="6"/>
        <v>121.68</v>
      </c>
      <c r="V45" s="47">
        <v>121.68</v>
      </c>
      <c r="W45" s="60">
        <v>7.0</v>
      </c>
      <c r="X45" s="17">
        <f t="shared" si="7"/>
        <v>127.54</v>
      </c>
      <c r="Y45" s="47">
        <v>127.54</v>
      </c>
      <c r="Z45" s="20"/>
      <c r="AA45" s="17">
        <f t="shared" si="8"/>
        <v>0</v>
      </c>
      <c r="AB45" s="17"/>
      <c r="AC45" s="48">
        <v>0.0</v>
      </c>
      <c r="AD45" s="49">
        <v>45417.0</v>
      </c>
      <c r="AE45" s="23"/>
    </row>
    <row r="46" ht="15.75" customHeight="1">
      <c r="A46" s="58" t="s">
        <v>198</v>
      </c>
      <c r="B46" s="58" t="s">
        <v>199</v>
      </c>
      <c r="C46" s="71">
        <v>45411.0</v>
      </c>
      <c r="D46" s="71">
        <v>45414.0</v>
      </c>
      <c r="E46" s="60"/>
      <c r="F46" s="17">
        <f t="shared" si="1"/>
        <v>0</v>
      </c>
      <c r="G46" s="17"/>
      <c r="H46" s="28"/>
      <c r="I46" s="17">
        <f t="shared" si="14"/>
        <v>0</v>
      </c>
      <c r="J46" s="47"/>
      <c r="K46" s="57">
        <v>4.0</v>
      </c>
      <c r="L46" s="17">
        <f t="shared" si="3"/>
        <v>754.28</v>
      </c>
      <c r="M46" s="47">
        <v>754.28</v>
      </c>
      <c r="N46" s="28"/>
      <c r="O46" s="17">
        <f t="shared" si="11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60">
        <v>1.0</v>
      </c>
      <c r="X46" s="17">
        <f t="shared" si="7"/>
        <v>18.22</v>
      </c>
      <c r="Y46" s="47">
        <v>18.22</v>
      </c>
      <c r="Z46" s="63">
        <v>12.0</v>
      </c>
      <c r="AA46" s="17">
        <f t="shared" si="8"/>
        <v>400.44</v>
      </c>
      <c r="AB46" s="47">
        <v>400.44</v>
      </c>
      <c r="AC46" s="48">
        <v>0.0</v>
      </c>
      <c r="AD46" s="49">
        <v>45417.0</v>
      </c>
      <c r="AE46" s="23"/>
    </row>
    <row r="47" ht="15.75" customHeight="1">
      <c r="A47" s="58" t="s">
        <v>109</v>
      </c>
      <c r="B47" s="58" t="s">
        <v>200</v>
      </c>
      <c r="C47" s="62"/>
      <c r="D47" s="62"/>
      <c r="E47" s="60"/>
      <c r="F47" s="17">
        <f t="shared" si="1"/>
        <v>0</v>
      </c>
      <c r="G47" s="17"/>
      <c r="H47" s="28"/>
      <c r="I47" s="17">
        <f t="shared" si="14"/>
        <v>0</v>
      </c>
      <c r="J47" s="17"/>
      <c r="K47" s="57"/>
      <c r="L47" s="17">
        <f t="shared" si="3"/>
        <v>0</v>
      </c>
      <c r="M47" s="47"/>
      <c r="N47" s="28"/>
      <c r="O47" s="17">
        <f t="shared" si="11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/>
      <c r="AE47" s="23"/>
    </row>
    <row r="48" ht="15.75" customHeight="1">
      <c r="A48" s="58" t="s">
        <v>203</v>
      </c>
      <c r="B48" s="58" t="s">
        <v>204</v>
      </c>
      <c r="C48" s="62">
        <v>45407.0</v>
      </c>
      <c r="D48" s="62">
        <v>45412.0</v>
      </c>
      <c r="E48" s="28"/>
      <c r="F48" s="17">
        <f t="shared" si="1"/>
        <v>0</v>
      </c>
      <c r="G48" s="17"/>
      <c r="H48" s="28"/>
      <c r="I48" s="17">
        <f t="shared" si="14"/>
        <v>0</v>
      </c>
      <c r="J48" s="17"/>
      <c r="K48" s="57">
        <v>2.0</v>
      </c>
      <c r="L48" s="17">
        <f t="shared" si="3"/>
        <v>377.14</v>
      </c>
      <c r="M48" s="47">
        <v>377.14</v>
      </c>
      <c r="N48" s="28"/>
      <c r="O48" s="17">
        <f t="shared" si="11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/>
      <c r="X48" s="17">
        <f t="shared" si="7"/>
        <v>0</v>
      </c>
      <c r="Y48" s="17"/>
      <c r="Z48" s="63"/>
      <c r="AA48" s="17">
        <f t="shared" si="8"/>
        <v>0</v>
      </c>
      <c r="AB48" s="17"/>
      <c r="AC48" s="48">
        <v>0.0</v>
      </c>
      <c r="AD48" s="49"/>
      <c r="AE48" s="23"/>
    </row>
    <row r="49" ht="15.75" customHeight="1">
      <c r="A49" s="58" t="s">
        <v>212</v>
      </c>
      <c r="B49" s="58" t="s">
        <v>213</v>
      </c>
      <c r="C49" s="62">
        <v>45399.0</v>
      </c>
      <c r="D49" s="62">
        <v>45407.0</v>
      </c>
      <c r="E49" s="60"/>
      <c r="F49" s="17">
        <f t="shared" si="1"/>
        <v>0</v>
      </c>
      <c r="G49" s="17"/>
      <c r="H49" s="60">
        <v>5.0</v>
      </c>
      <c r="I49" s="17">
        <f t="shared" si="14"/>
        <v>1583.85</v>
      </c>
      <c r="J49" s="47">
        <v>633.54</v>
      </c>
      <c r="K49" s="57"/>
      <c r="L49" s="17">
        <f t="shared" si="3"/>
        <v>0</v>
      </c>
      <c r="M49" s="47"/>
      <c r="N49" s="28"/>
      <c r="O49" s="17">
        <f t="shared" si="11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/>
      <c r="AE49" s="23"/>
    </row>
    <row r="50" ht="15.75" customHeight="1">
      <c r="A50" s="58" t="s">
        <v>238</v>
      </c>
      <c r="B50" s="58" t="s">
        <v>80</v>
      </c>
      <c r="C50" s="62">
        <v>45391.0</v>
      </c>
      <c r="D50" s="62">
        <v>45413.0</v>
      </c>
      <c r="E50" s="60"/>
      <c r="F50" s="17">
        <f t="shared" si="1"/>
        <v>0</v>
      </c>
      <c r="G50" s="17"/>
      <c r="H50" s="60"/>
      <c r="I50" s="17">
        <f t="shared" si="14"/>
        <v>0</v>
      </c>
      <c r="J50" s="17"/>
      <c r="K50" s="57">
        <v>8.0</v>
      </c>
      <c r="L50" s="17">
        <f t="shared" si="3"/>
        <v>1508.56</v>
      </c>
      <c r="M50" s="47">
        <v>1508.56</v>
      </c>
      <c r="N50" s="28"/>
      <c r="O50" s="17">
        <f t="shared" si="11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/>
      <c r="X50" s="17">
        <f t="shared" si="7"/>
        <v>0</v>
      </c>
      <c r="Y50" s="17"/>
      <c r="Z50" s="63"/>
      <c r="AA50" s="17">
        <f t="shared" si="8"/>
        <v>0</v>
      </c>
      <c r="AB50" s="17"/>
      <c r="AC50" s="48">
        <v>0.0</v>
      </c>
      <c r="AD50" s="50">
        <v>45417.0</v>
      </c>
      <c r="AE50" s="23"/>
    </row>
    <row r="51" ht="15.75" customHeight="1">
      <c r="A51" s="58" t="s">
        <v>71</v>
      </c>
      <c r="B51" s="58" t="s">
        <v>190</v>
      </c>
      <c r="C51" s="62"/>
      <c r="D51" s="62"/>
      <c r="E51" s="60"/>
      <c r="F51" s="17">
        <f t="shared" si="1"/>
        <v>0</v>
      </c>
      <c r="G51" s="17"/>
      <c r="H51" s="60"/>
      <c r="I51" s="17">
        <f t="shared" si="14"/>
        <v>0</v>
      </c>
      <c r="J51" s="17"/>
      <c r="K51" s="57"/>
      <c r="L51" s="17">
        <f t="shared" si="3"/>
        <v>0</v>
      </c>
      <c r="M51" s="17"/>
      <c r="N51" s="28"/>
      <c r="O51" s="17">
        <f t="shared" si="11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/>
      <c r="X51" s="17">
        <f t="shared" si="7"/>
        <v>0</v>
      </c>
      <c r="Y51" s="17"/>
      <c r="Z51" s="63"/>
      <c r="AA51" s="17">
        <f t="shared" si="8"/>
        <v>0</v>
      </c>
      <c r="AB51" s="17"/>
      <c r="AC51" s="48">
        <v>0.0</v>
      </c>
      <c r="AD51" s="26"/>
      <c r="AE51" s="23"/>
    </row>
    <row r="52" ht="15.75" customHeight="1">
      <c r="A52" s="58" t="s">
        <v>181</v>
      </c>
      <c r="B52" s="58" t="s">
        <v>182</v>
      </c>
      <c r="C52" s="62">
        <v>45412.0</v>
      </c>
      <c r="D52" s="62">
        <v>45412.0</v>
      </c>
      <c r="E52" s="60"/>
      <c r="F52" s="17">
        <f t="shared" si="1"/>
        <v>0</v>
      </c>
      <c r="G52" s="17"/>
      <c r="H52" s="60"/>
      <c r="I52" s="17">
        <f t="shared" si="14"/>
        <v>0</v>
      </c>
      <c r="J52" s="17"/>
      <c r="K52" s="57"/>
      <c r="L52" s="17">
        <f t="shared" si="3"/>
        <v>0</v>
      </c>
      <c r="M52" s="17"/>
      <c r="N52" s="60"/>
      <c r="O52" s="17">
        <f t="shared" si="11"/>
        <v>0</v>
      </c>
      <c r="P52" s="17"/>
      <c r="Q52" s="60"/>
      <c r="R52" s="97">
        <f t="shared" si="5"/>
        <v>0</v>
      </c>
      <c r="S52" s="17"/>
      <c r="T52" s="60"/>
      <c r="U52" s="17">
        <f t="shared" si="6"/>
        <v>0</v>
      </c>
      <c r="V52" s="17"/>
      <c r="W52" s="60">
        <v>9.0</v>
      </c>
      <c r="X52" s="17">
        <f t="shared" si="7"/>
        <v>163.98</v>
      </c>
      <c r="Y52" s="47">
        <v>163.98</v>
      </c>
      <c r="Z52" s="63"/>
      <c r="AA52" s="17">
        <f t="shared" si="8"/>
        <v>0</v>
      </c>
      <c r="AB52" s="17"/>
      <c r="AC52" s="48">
        <v>0.0</v>
      </c>
      <c r="AD52" s="50">
        <v>45417.0</v>
      </c>
      <c r="AE52" s="23"/>
    </row>
    <row r="53" ht="15.75" customHeight="1">
      <c r="A53" s="61" t="s">
        <v>69</v>
      </c>
      <c r="B53" s="61" t="s">
        <v>129</v>
      </c>
      <c r="C53" s="62">
        <v>45390.0</v>
      </c>
      <c r="D53" s="62">
        <v>45413.0</v>
      </c>
      <c r="E53" s="60"/>
      <c r="F53" s="17">
        <f t="shared" si="1"/>
        <v>0</v>
      </c>
      <c r="G53" s="17"/>
      <c r="H53" s="60"/>
      <c r="I53" s="17">
        <f t="shared" si="14"/>
        <v>0</v>
      </c>
      <c r="J53" s="17"/>
      <c r="K53" s="57">
        <v>15.0</v>
      </c>
      <c r="L53" s="17">
        <f t="shared" si="3"/>
        <v>2828.55</v>
      </c>
      <c r="M53" s="47">
        <v>2828.55</v>
      </c>
      <c r="N53" s="28"/>
      <c r="O53" s="17">
        <f t="shared" si="11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60"/>
      <c r="X53" s="17">
        <f t="shared" si="7"/>
        <v>0</v>
      </c>
      <c r="Y53" s="17"/>
      <c r="Z53" s="63"/>
      <c r="AA53" s="17">
        <f t="shared" si="8"/>
        <v>0</v>
      </c>
      <c r="AB53" s="17"/>
      <c r="AC53" s="48">
        <v>0.0</v>
      </c>
      <c r="AD53" s="50">
        <v>45417.0</v>
      </c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428.44</v>
      </c>
      <c r="G54" s="43">
        <f>SUM(G4:G44)</f>
        <v>856.88</v>
      </c>
      <c r="H54" s="42"/>
      <c r="I54" s="43">
        <f>SUM(I4:I53)</f>
        <v>6652.17</v>
      </c>
      <c r="J54" s="43">
        <f>SUM(J4:J44)</f>
        <v>5068.32</v>
      </c>
      <c r="K54" s="42"/>
      <c r="L54" s="43">
        <f t="shared" ref="L54:M54" si="15">SUM(L4:L44)</f>
        <v>16405.59</v>
      </c>
      <c r="M54" s="43">
        <f t="shared" si="15"/>
        <v>16028.45</v>
      </c>
      <c r="N54" s="42"/>
      <c r="O54" s="43">
        <f t="shared" ref="O54:P54" si="16">SUM(O4:O44)</f>
        <v>706.2</v>
      </c>
      <c r="P54" s="43">
        <f t="shared" si="16"/>
        <v>411.95</v>
      </c>
      <c r="Q54" s="42"/>
      <c r="R54" s="43">
        <f t="shared" ref="R54:S54" si="17">SUM(R4:R44)</f>
        <v>0</v>
      </c>
      <c r="S54" s="43">
        <f t="shared" si="17"/>
        <v>0</v>
      </c>
      <c r="T54" s="42"/>
      <c r="U54" s="43">
        <f t="shared" ref="U54:V54" si="18">SUM(U4:U44)</f>
        <v>709.8</v>
      </c>
      <c r="V54" s="43">
        <f t="shared" si="18"/>
        <v>709.8</v>
      </c>
      <c r="W54" s="42"/>
      <c r="X54" s="43">
        <f t="shared" ref="X54:Y54" si="19">SUM(X4:X44)</f>
        <v>1129.64</v>
      </c>
      <c r="Y54" s="43">
        <f t="shared" si="19"/>
        <v>1093.2</v>
      </c>
      <c r="Z54" s="42"/>
      <c r="AA54" s="43">
        <f t="shared" ref="AA54:AC54" si="20">SUM(AA4:AA44)</f>
        <v>5672.9</v>
      </c>
      <c r="AB54" s="43">
        <f t="shared" si="20"/>
        <v>1668.5</v>
      </c>
      <c r="AC54" s="43">
        <f t="shared" si="20"/>
        <v>235.4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4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3.86"/>
    <col customWidth="1" min="25" max="25" width="12.43"/>
    <col customWidth="1" min="26" max="26" width="7.14"/>
    <col customWidth="1" min="27" max="27" width="13.86"/>
    <col customWidth="1" min="28" max="28" width="12.43"/>
    <col customWidth="1" min="29" max="29" width="17.29"/>
    <col customWidth="1" min="30" max="30" width="15.86"/>
    <col customWidth="1" min="31" max="31" width="63.29"/>
    <col customWidth="1" min="32" max="32" width="8.71"/>
  </cols>
  <sheetData>
    <row r="1">
      <c r="E1" s="1"/>
      <c r="H1" s="1"/>
      <c r="K1" s="1"/>
      <c r="N1" s="1"/>
      <c r="Q1" s="1"/>
      <c r="T1" s="1"/>
      <c r="W1" s="1"/>
      <c r="Z1" s="1"/>
      <c r="AC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4"/>
      <c r="Z2" s="7"/>
      <c r="AA2" s="4"/>
      <c r="AB2" s="4"/>
      <c r="AC2" s="4"/>
      <c r="AD2" s="4"/>
      <c r="AE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4" t="s">
        <v>7</v>
      </c>
      <c r="Z3" s="12" t="s">
        <v>14</v>
      </c>
      <c r="AA3" s="4" t="s">
        <v>6</v>
      </c>
      <c r="AB3" s="4" t="s">
        <v>7</v>
      </c>
      <c r="AC3" s="38" t="s">
        <v>15</v>
      </c>
      <c r="AD3" s="4" t="s">
        <v>16</v>
      </c>
      <c r="AE3" s="4" t="s">
        <v>17</v>
      </c>
    </row>
    <row r="4">
      <c r="A4" s="61" t="s">
        <v>227</v>
      </c>
      <c r="B4" s="61" t="s">
        <v>228</v>
      </c>
      <c r="C4" s="71"/>
      <c r="D4" s="71"/>
      <c r="E4" s="57"/>
      <c r="F4" s="17">
        <f t="shared" ref="F4:F53" si="1">PRODUCT(E4)*214.22</f>
        <v>0</v>
      </c>
      <c r="G4" s="47"/>
      <c r="H4" s="57"/>
      <c r="I4" s="17">
        <f t="shared" ref="I4:I40" si="2">PRODUCT(H4)*316.77</f>
        <v>0</v>
      </c>
      <c r="J4" s="17"/>
      <c r="K4" s="16"/>
      <c r="L4" s="17">
        <f t="shared" ref="L4:L53" si="3">PRODUCT(K4)*188.57</f>
        <v>0</v>
      </c>
      <c r="M4" s="17"/>
      <c r="N4" s="57"/>
      <c r="O4" s="17">
        <f t="shared" ref="O4:O17" si="4">PRODUCT(N4)*58.85</f>
        <v>0</v>
      </c>
      <c r="P4" s="17"/>
      <c r="Q4" s="16"/>
      <c r="R4" s="17">
        <f t="shared" ref="R4:R53" si="5">PRODUCT(Q4)*30.16</f>
        <v>0</v>
      </c>
      <c r="S4" s="17"/>
      <c r="T4" s="16"/>
      <c r="U4" s="17">
        <f t="shared" ref="U4:U53" si="6">PRODUCT(T4)*5.07</f>
        <v>0</v>
      </c>
      <c r="V4" s="17"/>
      <c r="W4" s="57"/>
      <c r="X4" s="17">
        <f t="shared" ref="X4:X53" si="7">PRODUCT(W4)*18.22</f>
        <v>0</v>
      </c>
      <c r="Y4" s="17"/>
      <c r="Z4" s="63"/>
      <c r="AA4" s="17">
        <f t="shared" ref="AA4:AA53" si="8">PRODUCT(Z4)*33.37</f>
        <v>0</v>
      </c>
      <c r="AB4" s="17"/>
      <c r="AC4" s="21">
        <f t="shared" ref="AC4:AC5" si="9">SUM(F4+I4+L4+O4+R4)</f>
        <v>0</v>
      </c>
      <c r="AD4" s="26"/>
      <c r="AE4" s="23"/>
    </row>
    <row r="5">
      <c r="A5" s="61" t="s">
        <v>231</v>
      </c>
      <c r="B5" s="61" t="s">
        <v>232</v>
      </c>
      <c r="C5" s="62">
        <v>45419.0</v>
      </c>
      <c r="D5" s="62">
        <v>45421.0</v>
      </c>
      <c r="E5" s="57"/>
      <c r="F5" s="17">
        <f t="shared" si="1"/>
        <v>0</v>
      </c>
      <c r="G5" s="17"/>
      <c r="H5" s="16"/>
      <c r="I5" s="17">
        <f t="shared" si="2"/>
        <v>0</v>
      </c>
      <c r="J5" s="47"/>
      <c r="K5" s="57">
        <v>3.0</v>
      </c>
      <c r="L5" s="17">
        <f t="shared" si="3"/>
        <v>565.71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/>
      <c r="X5" s="17">
        <f t="shared" si="7"/>
        <v>0</v>
      </c>
      <c r="Y5" s="17"/>
      <c r="Z5" s="20"/>
      <c r="AA5" s="17">
        <f t="shared" si="8"/>
        <v>0</v>
      </c>
      <c r="AB5" s="17"/>
      <c r="AC5" s="21">
        <f t="shared" si="9"/>
        <v>565.71</v>
      </c>
      <c r="AD5" s="26"/>
      <c r="AE5" s="24"/>
    </row>
    <row r="6">
      <c r="A6" s="61" t="s">
        <v>61</v>
      </c>
      <c r="B6" s="61" t="s">
        <v>62</v>
      </c>
      <c r="C6" s="71">
        <v>45414.0</v>
      </c>
      <c r="D6" s="62">
        <v>45414.0</v>
      </c>
      <c r="E6" s="16"/>
      <c r="F6" s="17">
        <f t="shared" si="1"/>
        <v>0</v>
      </c>
      <c r="G6" s="17"/>
      <c r="H6" s="16"/>
      <c r="I6" s="17">
        <f t="shared" si="2"/>
        <v>0</v>
      </c>
      <c r="J6" s="17"/>
      <c r="K6" s="16"/>
      <c r="L6" s="17">
        <f t="shared" si="3"/>
        <v>0</v>
      </c>
      <c r="M6" s="17"/>
      <c r="N6" s="57">
        <v>1.0</v>
      </c>
      <c r="O6" s="17">
        <f t="shared" si="4"/>
        <v>58.85</v>
      </c>
      <c r="P6" s="47">
        <v>58.85</v>
      </c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17"/>
      <c r="Z6" s="63"/>
      <c r="AA6" s="17">
        <f t="shared" si="8"/>
        <v>0</v>
      </c>
      <c r="AB6" s="17"/>
      <c r="AC6" s="48">
        <v>0.0</v>
      </c>
      <c r="AD6" s="50">
        <v>45424.0</v>
      </c>
      <c r="AE6" s="24"/>
    </row>
    <row r="7">
      <c r="A7" s="58" t="s">
        <v>55</v>
      </c>
      <c r="B7" s="58" t="s">
        <v>233</v>
      </c>
      <c r="C7" s="62">
        <v>45418.0</v>
      </c>
      <c r="D7" s="62">
        <v>45421.0</v>
      </c>
      <c r="E7" s="57"/>
      <c r="F7" s="17">
        <f t="shared" si="1"/>
        <v>0</v>
      </c>
      <c r="G7" s="17"/>
      <c r="H7" s="57"/>
      <c r="I7" s="17">
        <f t="shared" si="2"/>
        <v>0</v>
      </c>
      <c r="J7" s="17"/>
      <c r="K7" s="57">
        <v>4.0</v>
      </c>
      <c r="L7" s="17">
        <f t="shared" si="3"/>
        <v>754.28</v>
      </c>
      <c r="M7" s="47">
        <v>754.28</v>
      </c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16"/>
      <c r="U7" s="17">
        <f t="shared" si="6"/>
        <v>0</v>
      </c>
      <c r="V7" s="17"/>
      <c r="W7" s="16"/>
      <c r="X7" s="17">
        <f t="shared" si="7"/>
        <v>0</v>
      </c>
      <c r="Y7" s="17"/>
      <c r="Z7" s="63"/>
      <c r="AA7" s="17">
        <f t="shared" si="8"/>
        <v>0</v>
      </c>
      <c r="AB7" s="17"/>
      <c r="AC7" s="48">
        <v>0.0</v>
      </c>
      <c r="AD7" s="50">
        <v>45424.0</v>
      </c>
      <c r="AE7" s="24"/>
    </row>
    <row r="8">
      <c r="A8" s="58" t="s">
        <v>215</v>
      </c>
      <c r="B8" s="58" t="s">
        <v>216</v>
      </c>
      <c r="C8" s="71"/>
      <c r="D8" s="62"/>
      <c r="E8" s="57"/>
      <c r="F8" s="17">
        <f t="shared" si="1"/>
        <v>0</v>
      </c>
      <c r="G8" s="17"/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17"/>
      <c r="Z8" s="20"/>
      <c r="AA8" s="17">
        <f t="shared" si="8"/>
        <v>0</v>
      </c>
      <c r="AB8" s="17"/>
      <c r="AC8" s="21">
        <f t="shared" ref="AC8:AC9" si="10">SUM(F8+I8+L8+O8+R8)</f>
        <v>0</v>
      </c>
      <c r="AD8" s="22"/>
      <c r="AE8" s="23"/>
    </row>
    <row r="9">
      <c r="A9" s="58" t="s">
        <v>230</v>
      </c>
      <c r="B9" s="58" t="s">
        <v>149</v>
      </c>
      <c r="C9" s="71">
        <v>45419.0</v>
      </c>
      <c r="D9" s="71">
        <v>45421.0</v>
      </c>
      <c r="E9" s="57"/>
      <c r="F9" s="17">
        <f t="shared" si="1"/>
        <v>0</v>
      </c>
      <c r="G9" s="17"/>
      <c r="H9" s="57"/>
      <c r="I9" s="17">
        <f t="shared" si="2"/>
        <v>0</v>
      </c>
      <c r="J9" s="17"/>
      <c r="K9" s="57">
        <v>3.0</v>
      </c>
      <c r="L9" s="17">
        <f t="shared" si="3"/>
        <v>565.71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17"/>
      <c r="Z9" s="20"/>
      <c r="AA9" s="17">
        <f t="shared" si="8"/>
        <v>0</v>
      </c>
      <c r="AB9" s="17"/>
      <c r="AC9" s="21">
        <f t="shared" si="10"/>
        <v>565.71</v>
      </c>
      <c r="AD9" s="45"/>
      <c r="AE9" s="23"/>
    </row>
    <row r="10">
      <c r="A10" s="58" t="s">
        <v>183</v>
      </c>
      <c r="B10" s="58" t="s">
        <v>184</v>
      </c>
      <c r="C10" s="71">
        <v>45407.0</v>
      </c>
      <c r="D10" s="71">
        <v>45416.0</v>
      </c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/>
      <c r="L10" s="17">
        <f t="shared" si="3"/>
        <v>0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57">
        <v>40.0</v>
      </c>
      <c r="X10" s="17">
        <f t="shared" si="7"/>
        <v>728.8</v>
      </c>
      <c r="Y10" s="17"/>
      <c r="Z10" s="20"/>
      <c r="AA10" s="17">
        <f t="shared" si="8"/>
        <v>0</v>
      </c>
      <c r="AB10" s="50"/>
      <c r="AC10" s="48">
        <v>0.0</v>
      </c>
      <c r="AD10" s="50"/>
      <c r="AE10" s="23"/>
    </row>
    <row r="11">
      <c r="A11" s="58" t="s">
        <v>153</v>
      </c>
      <c r="B11" s="58" t="s">
        <v>154</v>
      </c>
      <c r="C11" s="71"/>
      <c r="D11" s="99"/>
      <c r="E11" s="16"/>
      <c r="F11" s="17">
        <f t="shared" si="1"/>
        <v>0</v>
      </c>
      <c r="G11" s="17"/>
      <c r="H11" s="57"/>
      <c r="I11" s="17">
        <f t="shared" si="2"/>
        <v>0</v>
      </c>
      <c r="J11" s="17"/>
      <c r="K11" s="57"/>
      <c r="L11" s="17">
        <f t="shared" si="3"/>
        <v>0</v>
      </c>
      <c r="M11" s="1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16"/>
      <c r="U11" s="17">
        <f t="shared" si="6"/>
        <v>0</v>
      </c>
      <c r="V11" s="17"/>
      <c r="W11" s="57"/>
      <c r="X11" s="17">
        <f t="shared" si="7"/>
        <v>0</v>
      </c>
      <c r="Y11" s="17"/>
      <c r="Z11" s="63"/>
      <c r="AA11" s="17">
        <f t="shared" si="8"/>
        <v>0</v>
      </c>
      <c r="AB11" s="17"/>
      <c r="AC11" s="21">
        <f>SUM(F11+I11+L11+O11+R11)</f>
        <v>0</v>
      </c>
      <c r="AD11" s="22"/>
      <c r="AE11" s="23"/>
    </row>
    <row r="12">
      <c r="A12" s="58" t="s">
        <v>239</v>
      </c>
      <c r="B12" s="58" t="s">
        <v>25</v>
      </c>
      <c r="C12" s="71">
        <v>45404.0</v>
      </c>
      <c r="D12" s="62">
        <v>45405.0</v>
      </c>
      <c r="E12" s="16"/>
      <c r="F12" s="17">
        <f t="shared" si="1"/>
        <v>0</v>
      </c>
      <c r="G12" s="17"/>
      <c r="H12" s="57">
        <v>1.0</v>
      </c>
      <c r="I12" s="17">
        <f t="shared" si="2"/>
        <v>316.77</v>
      </c>
      <c r="J12" s="47">
        <v>316.77</v>
      </c>
      <c r="K12" s="57"/>
      <c r="L12" s="17">
        <f t="shared" si="3"/>
        <v>0</v>
      </c>
      <c r="M12" s="1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17"/>
      <c r="Z12" s="63"/>
      <c r="AA12" s="17">
        <f t="shared" si="8"/>
        <v>0</v>
      </c>
      <c r="AB12" s="17"/>
      <c r="AC12" s="48">
        <v>0.0</v>
      </c>
      <c r="AD12" s="49">
        <v>45424.0</v>
      </c>
      <c r="AE12" s="89"/>
    </row>
    <row r="13">
      <c r="A13" s="58" t="s">
        <v>177</v>
      </c>
      <c r="B13" s="58" t="s">
        <v>178</v>
      </c>
      <c r="C13" s="62">
        <v>45401.0</v>
      </c>
      <c r="D13" s="62">
        <v>45411.0</v>
      </c>
      <c r="E13" s="16"/>
      <c r="F13" s="17">
        <f t="shared" si="1"/>
        <v>0</v>
      </c>
      <c r="G13" s="17"/>
      <c r="H13" s="57">
        <v>8.0</v>
      </c>
      <c r="I13" s="17">
        <f t="shared" si="2"/>
        <v>2534.16</v>
      </c>
      <c r="J13" s="47">
        <v>2290.2</v>
      </c>
      <c r="K13" s="57">
        <v>4.0</v>
      </c>
      <c r="L13" s="66">
        <f t="shared" si="3"/>
        <v>754.28</v>
      </c>
      <c r="M13" s="47">
        <v>0.0</v>
      </c>
      <c r="N13" s="16"/>
      <c r="O13" s="17">
        <f t="shared" si="4"/>
        <v>0</v>
      </c>
      <c r="P13" s="17"/>
      <c r="Q13" s="16"/>
      <c r="R13" s="17">
        <f t="shared" si="5"/>
        <v>0</v>
      </c>
      <c r="S13" s="17"/>
      <c r="T13" s="57"/>
      <c r="U13" s="17">
        <f t="shared" si="6"/>
        <v>0</v>
      </c>
      <c r="V13" s="17"/>
      <c r="W13" s="57"/>
      <c r="X13" s="17">
        <f t="shared" si="7"/>
        <v>0</v>
      </c>
      <c r="Y13" s="17"/>
      <c r="Z13" s="20"/>
      <c r="AA13" s="17">
        <f t="shared" si="8"/>
        <v>0</v>
      </c>
      <c r="AB13" s="17"/>
      <c r="AC13" s="48">
        <v>0.0</v>
      </c>
      <c r="AD13" s="50">
        <v>45424.0</v>
      </c>
      <c r="AE13" s="23"/>
    </row>
    <row r="14">
      <c r="A14" s="58" t="s">
        <v>115</v>
      </c>
      <c r="B14" s="58" t="s">
        <v>150</v>
      </c>
      <c r="C14" s="62">
        <v>45418.0</v>
      </c>
      <c r="D14" s="62">
        <v>45421.0</v>
      </c>
      <c r="E14" s="16"/>
      <c r="F14" s="17">
        <f t="shared" si="1"/>
        <v>0</v>
      </c>
      <c r="G14" s="47"/>
      <c r="H14" s="57"/>
      <c r="I14" s="17">
        <f t="shared" si="2"/>
        <v>0</v>
      </c>
      <c r="J14" s="17"/>
      <c r="K14" s="57">
        <v>4.0</v>
      </c>
      <c r="L14" s="17">
        <f t="shared" si="3"/>
        <v>754.28</v>
      </c>
      <c r="M14" s="17"/>
      <c r="N14" s="16"/>
      <c r="O14" s="17">
        <f t="shared" si="4"/>
        <v>0</v>
      </c>
      <c r="P14" s="17"/>
      <c r="Q14" s="57"/>
      <c r="R14" s="17">
        <f t="shared" si="5"/>
        <v>0</v>
      </c>
      <c r="S14" s="17"/>
      <c r="T14" s="57"/>
      <c r="U14" s="17">
        <f t="shared" si="6"/>
        <v>0</v>
      </c>
      <c r="V14" s="17"/>
      <c r="W14" s="57"/>
      <c r="X14" s="17">
        <f t="shared" si="7"/>
        <v>0</v>
      </c>
      <c r="Y14" s="17"/>
      <c r="Z14" s="63"/>
      <c r="AA14" s="17">
        <f t="shared" si="8"/>
        <v>0</v>
      </c>
      <c r="AB14" s="17"/>
      <c r="AC14" s="48">
        <v>0.0</v>
      </c>
      <c r="AD14" s="50">
        <v>45424.0</v>
      </c>
      <c r="AE14" s="23"/>
    </row>
    <row r="15">
      <c r="A15" s="58" t="s">
        <v>109</v>
      </c>
      <c r="B15" s="58" t="s">
        <v>206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47"/>
      <c r="K15" s="57"/>
      <c r="L15" s="17">
        <f t="shared" si="3"/>
        <v>0</v>
      </c>
      <c r="M15" s="1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16"/>
      <c r="U15" s="17">
        <f t="shared" si="6"/>
        <v>0</v>
      </c>
      <c r="V15" s="17"/>
      <c r="W15" s="16"/>
      <c r="X15" s="17">
        <f t="shared" si="7"/>
        <v>0</v>
      </c>
      <c r="Y15" s="17"/>
      <c r="Z15" s="63"/>
      <c r="AA15" s="17">
        <f t="shared" si="8"/>
        <v>0</v>
      </c>
      <c r="AB15" s="17"/>
      <c r="AC15" s="21">
        <f>SUM(F15+I15+L15+O15+R15)</f>
        <v>0</v>
      </c>
      <c r="AD15" s="26"/>
      <c r="AE15" s="23"/>
    </row>
    <row r="16">
      <c r="A16" s="58" t="s">
        <v>207</v>
      </c>
      <c r="B16" s="58" t="s">
        <v>208</v>
      </c>
      <c r="C16" s="62"/>
      <c r="D16" s="62"/>
      <c r="E16" s="57"/>
      <c r="F16" s="17">
        <f t="shared" si="1"/>
        <v>0</v>
      </c>
      <c r="G16" s="17"/>
      <c r="H16" s="57"/>
      <c r="I16" s="17">
        <f t="shared" si="2"/>
        <v>0</v>
      </c>
      <c r="J16" s="17"/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16"/>
      <c r="R16" s="17">
        <f t="shared" si="5"/>
        <v>0</v>
      </c>
      <c r="S16" s="17"/>
      <c r="T16" s="57"/>
      <c r="U16" s="17">
        <f t="shared" si="6"/>
        <v>0</v>
      </c>
      <c r="V16" s="17"/>
      <c r="W16" s="16"/>
      <c r="X16" s="17">
        <f t="shared" si="7"/>
        <v>0</v>
      </c>
      <c r="Y16" s="17"/>
      <c r="Z16" s="63"/>
      <c r="AA16" s="17">
        <f t="shared" si="8"/>
        <v>0</v>
      </c>
      <c r="AB16" s="17"/>
      <c r="AC16" s="48">
        <v>0.0</v>
      </c>
      <c r="AD16" s="50"/>
      <c r="AE16" s="23"/>
    </row>
    <row r="17">
      <c r="A17" s="58" t="s">
        <v>109</v>
      </c>
      <c r="B17" s="58" t="s">
        <v>110</v>
      </c>
      <c r="C17" s="62">
        <v>45414.0</v>
      </c>
      <c r="D17" s="62">
        <v>45420.0</v>
      </c>
      <c r="E17" s="16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4.0</v>
      </c>
      <c r="L17" s="17">
        <f t="shared" si="3"/>
        <v>754.28</v>
      </c>
      <c r="M17" s="47">
        <v>754.28</v>
      </c>
      <c r="N17" s="16"/>
      <c r="O17" s="17">
        <f t="shared" si="4"/>
        <v>0</v>
      </c>
      <c r="P17" s="17"/>
      <c r="Q17" s="57"/>
      <c r="R17" s="17">
        <f t="shared" si="5"/>
        <v>0</v>
      </c>
      <c r="S17" s="17"/>
      <c r="T17" s="57"/>
      <c r="U17" s="17">
        <f t="shared" si="6"/>
        <v>0</v>
      </c>
      <c r="V17" s="17"/>
      <c r="W17" s="57"/>
      <c r="X17" s="17">
        <f t="shared" si="7"/>
        <v>0</v>
      </c>
      <c r="Y17" s="17"/>
      <c r="Z17" s="20"/>
      <c r="AA17" s="17">
        <f t="shared" si="8"/>
        <v>0</v>
      </c>
      <c r="AB17" s="17"/>
      <c r="AC17" s="48">
        <v>0.0</v>
      </c>
      <c r="AD17" s="49">
        <v>45424.0</v>
      </c>
      <c r="AE17" s="23"/>
    </row>
    <row r="18">
      <c r="A18" s="58" t="s">
        <v>53</v>
      </c>
      <c r="B18" s="58" t="s">
        <v>187</v>
      </c>
      <c r="C18" s="62">
        <v>45421.0</v>
      </c>
      <c r="D18" s="62">
        <v>45421.0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1.0</v>
      </c>
      <c r="L18" s="17">
        <f t="shared" si="3"/>
        <v>188.57</v>
      </c>
      <c r="M18" s="47">
        <v>188.57</v>
      </c>
      <c r="N18" s="16"/>
      <c r="O18" s="17">
        <f t="shared" ref="O18:O21" si="11">PRODUCT(N18)*188.57</f>
        <v>0</v>
      </c>
      <c r="P18" s="17"/>
      <c r="Q18" s="16"/>
      <c r="R18" s="17">
        <f t="shared" si="5"/>
        <v>0</v>
      </c>
      <c r="S18" s="17"/>
      <c r="T18" s="57"/>
      <c r="U18" s="17">
        <f t="shared" si="6"/>
        <v>0</v>
      </c>
      <c r="V18" s="17"/>
      <c r="W18" s="57">
        <v>2.0</v>
      </c>
      <c r="X18" s="17">
        <f t="shared" si="7"/>
        <v>36.44</v>
      </c>
      <c r="Y18" s="47">
        <v>0.0</v>
      </c>
      <c r="Z18" s="20"/>
      <c r="AA18" s="17">
        <f t="shared" si="8"/>
        <v>0</v>
      </c>
      <c r="AB18" s="17"/>
      <c r="AC18" s="48">
        <v>0.0</v>
      </c>
      <c r="AD18" s="50">
        <v>45424.0</v>
      </c>
      <c r="AE18" s="23"/>
    </row>
    <row r="19">
      <c r="A19" s="58" t="s">
        <v>119</v>
      </c>
      <c r="B19" s="58" t="s">
        <v>128</v>
      </c>
      <c r="C19" s="71">
        <v>45414.0</v>
      </c>
      <c r="D19" s="62">
        <v>45421.0</v>
      </c>
      <c r="E19" s="57"/>
      <c r="F19" s="17">
        <f t="shared" si="1"/>
        <v>0</v>
      </c>
      <c r="G19" s="17"/>
      <c r="H19" s="57"/>
      <c r="I19" s="17">
        <f t="shared" si="2"/>
        <v>0</v>
      </c>
      <c r="J19" s="17"/>
      <c r="K19" s="57">
        <v>5.0</v>
      </c>
      <c r="L19" s="17">
        <f t="shared" si="3"/>
        <v>942.85</v>
      </c>
      <c r="M19" s="47">
        <v>942.85</v>
      </c>
      <c r="N19" s="16"/>
      <c r="O19" s="17">
        <f t="shared" si="11"/>
        <v>0</v>
      </c>
      <c r="P19" s="17"/>
      <c r="Q19" s="16"/>
      <c r="R19" s="17">
        <f t="shared" si="5"/>
        <v>0</v>
      </c>
      <c r="S19" s="17"/>
      <c r="T19" s="16"/>
      <c r="U19" s="17">
        <f t="shared" si="6"/>
        <v>0</v>
      </c>
      <c r="V19" s="17"/>
      <c r="W19" s="16"/>
      <c r="X19" s="17">
        <f t="shared" si="7"/>
        <v>0</v>
      </c>
      <c r="Y19" s="17"/>
      <c r="Z19" s="63"/>
      <c r="AA19" s="17">
        <f t="shared" si="8"/>
        <v>0</v>
      </c>
      <c r="AB19" s="17"/>
      <c r="AC19" s="48">
        <v>0.0</v>
      </c>
      <c r="AD19" s="50">
        <v>45424.0</v>
      </c>
      <c r="AE19" s="23"/>
    </row>
    <row r="20">
      <c r="A20" s="58" t="s">
        <v>141</v>
      </c>
      <c r="B20" s="58" t="s">
        <v>188</v>
      </c>
      <c r="C20" s="62"/>
      <c r="D20" s="62"/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11"/>
        <v>0</v>
      </c>
      <c r="P20" s="17"/>
      <c r="Q20" s="16"/>
      <c r="R20" s="17">
        <f t="shared" si="5"/>
        <v>0</v>
      </c>
      <c r="S20" s="17"/>
      <c r="T20" s="57"/>
      <c r="U20" s="17">
        <f t="shared" si="6"/>
        <v>0</v>
      </c>
      <c r="V20" s="17"/>
      <c r="W20" s="16"/>
      <c r="X20" s="17">
        <f t="shared" si="7"/>
        <v>0</v>
      </c>
      <c r="Y20" s="17"/>
      <c r="Z20" s="20"/>
      <c r="AA20" s="17">
        <f t="shared" si="8"/>
        <v>0</v>
      </c>
      <c r="AB20" s="17"/>
      <c r="AC20" s="48">
        <v>0.0</v>
      </c>
      <c r="AD20" s="50"/>
      <c r="AE20" s="23"/>
    </row>
    <row r="21">
      <c r="A21" s="58" t="s">
        <v>174</v>
      </c>
      <c r="B21" s="58" t="s">
        <v>189</v>
      </c>
      <c r="C21" s="62">
        <v>45418.0</v>
      </c>
      <c r="D21" s="62">
        <v>45420.0</v>
      </c>
      <c r="E21" s="16"/>
      <c r="F21" s="17">
        <f t="shared" si="1"/>
        <v>0</v>
      </c>
      <c r="G21" s="17"/>
      <c r="H21" s="57"/>
      <c r="I21" s="17">
        <f t="shared" si="2"/>
        <v>0</v>
      </c>
      <c r="J21" s="17"/>
      <c r="K21" s="57">
        <v>3.0</v>
      </c>
      <c r="L21" s="17">
        <f t="shared" si="3"/>
        <v>565.71</v>
      </c>
      <c r="M21" s="47">
        <v>565.71</v>
      </c>
      <c r="N21" s="16"/>
      <c r="O21" s="17">
        <f t="shared" si="11"/>
        <v>0</v>
      </c>
      <c r="P21" s="17"/>
      <c r="Q21" s="16"/>
      <c r="R21" s="17">
        <f t="shared" si="5"/>
        <v>0</v>
      </c>
      <c r="S21" s="17"/>
      <c r="T21" s="16"/>
      <c r="U21" s="17">
        <f t="shared" si="6"/>
        <v>0</v>
      </c>
      <c r="V21" s="17"/>
      <c r="W21" s="57"/>
      <c r="X21" s="17">
        <f t="shared" si="7"/>
        <v>0</v>
      </c>
      <c r="Y21" s="17"/>
      <c r="Z21" s="63"/>
      <c r="AA21" s="17">
        <f t="shared" si="8"/>
        <v>0</v>
      </c>
      <c r="AB21" s="17"/>
      <c r="AC21" s="48">
        <v>0.0</v>
      </c>
      <c r="AD21" s="49">
        <v>45424.0</v>
      </c>
      <c r="AE21" s="23"/>
    </row>
    <row r="22">
      <c r="A22" s="95" t="s">
        <v>47</v>
      </c>
      <c r="B22" s="96" t="s">
        <v>48</v>
      </c>
      <c r="C22" s="62">
        <v>45418.0</v>
      </c>
      <c r="D22" s="62">
        <v>45421.0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17"/>
      <c r="K22" s="57">
        <v>4.0</v>
      </c>
      <c r="L22" s="17">
        <f t="shared" si="3"/>
        <v>754.28</v>
      </c>
      <c r="M22" s="47">
        <v>754.28</v>
      </c>
      <c r="N22" s="16"/>
      <c r="O22" s="17">
        <f>PRODUCT(N19)*188.57</f>
        <v>0</v>
      </c>
      <c r="P22" s="17"/>
      <c r="Q22" s="16"/>
      <c r="R22" s="17">
        <f t="shared" si="5"/>
        <v>0</v>
      </c>
      <c r="S22" s="17"/>
      <c r="T22" s="57">
        <v>16.0</v>
      </c>
      <c r="U22" s="17">
        <f t="shared" si="6"/>
        <v>81.12</v>
      </c>
      <c r="V22" s="47">
        <v>81.12</v>
      </c>
      <c r="W22" s="57"/>
      <c r="X22" s="17">
        <f t="shared" si="7"/>
        <v>0</v>
      </c>
      <c r="Y22" s="17"/>
      <c r="Z22" s="20"/>
      <c r="AA22" s="17">
        <f t="shared" si="8"/>
        <v>0</v>
      </c>
      <c r="AB22" s="17"/>
      <c r="AC22" s="48">
        <v>0.0</v>
      </c>
      <c r="AD22" s="50">
        <v>45424.0</v>
      </c>
      <c r="AE22" s="23"/>
    </row>
    <row r="23">
      <c r="A23" s="58" t="s">
        <v>85</v>
      </c>
      <c r="B23" s="58" t="s">
        <v>86</v>
      </c>
      <c r="C23" s="71">
        <v>45414.0</v>
      </c>
      <c r="D23" s="71">
        <v>45420.0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47"/>
      <c r="K23" s="57">
        <v>4.0</v>
      </c>
      <c r="L23" s="17">
        <f t="shared" si="3"/>
        <v>754.28</v>
      </c>
      <c r="M23" s="47">
        <v>754.28</v>
      </c>
      <c r="N23" s="57"/>
      <c r="O23" s="17">
        <f t="shared" ref="O23:O53" si="12">PRODUCT(N23)*58.85</f>
        <v>0</v>
      </c>
      <c r="P23" s="17"/>
      <c r="Q23" s="57"/>
      <c r="R23" s="17">
        <f t="shared" si="5"/>
        <v>0</v>
      </c>
      <c r="S23" s="17"/>
      <c r="T23" s="57">
        <v>16.0</v>
      </c>
      <c r="U23" s="80">
        <f t="shared" si="6"/>
        <v>81.12</v>
      </c>
      <c r="V23" s="47">
        <v>81.12</v>
      </c>
      <c r="W23" s="57"/>
      <c r="X23" s="17">
        <f t="shared" si="7"/>
        <v>0</v>
      </c>
      <c r="Y23" s="17"/>
      <c r="Z23" s="63"/>
      <c r="AA23" s="17">
        <f t="shared" si="8"/>
        <v>0</v>
      </c>
      <c r="AB23" s="17"/>
      <c r="AC23" s="48">
        <v>0.0</v>
      </c>
      <c r="AD23" s="49">
        <v>45424.0</v>
      </c>
      <c r="AE23" s="23"/>
    </row>
    <row r="24">
      <c r="A24" s="58" t="s">
        <v>67</v>
      </c>
      <c r="B24" s="58" t="s">
        <v>68</v>
      </c>
      <c r="C24" s="71">
        <v>45418.0</v>
      </c>
      <c r="D24" s="62">
        <v>45421.0</v>
      </c>
      <c r="E24" s="16"/>
      <c r="F24" s="17">
        <f t="shared" si="1"/>
        <v>0</v>
      </c>
      <c r="G24" s="17"/>
      <c r="H24" s="16"/>
      <c r="I24" s="17">
        <f t="shared" si="2"/>
        <v>0</v>
      </c>
      <c r="J24" s="17"/>
      <c r="K24" s="57">
        <v>4.0</v>
      </c>
      <c r="L24" s="17">
        <f t="shared" si="3"/>
        <v>754.28</v>
      </c>
      <c r="M24" s="100">
        <v>754.28</v>
      </c>
      <c r="N24" s="16"/>
      <c r="O24" s="17">
        <f t="shared" si="12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57"/>
      <c r="X24" s="17">
        <f t="shared" si="7"/>
        <v>0</v>
      </c>
      <c r="Y24" s="17"/>
      <c r="Z24" s="63"/>
      <c r="AA24" s="17">
        <f t="shared" si="8"/>
        <v>0</v>
      </c>
      <c r="AB24" s="17"/>
      <c r="AC24" s="48">
        <v>0.0</v>
      </c>
      <c r="AD24" s="50">
        <v>45431.0</v>
      </c>
      <c r="AE24" s="23"/>
    </row>
    <row r="25">
      <c r="A25" s="101" t="s">
        <v>71</v>
      </c>
      <c r="B25" s="58" t="s">
        <v>96</v>
      </c>
      <c r="C25" s="62">
        <v>45405.0</v>
      </c>
      <c r="D25" s="62">
        <v>45420.0</v>
      </c>
      <c r="E25" s="16"/>
      <c r="F25" s="17">
        <f t="shared" si="1"/>
        <v>0</v>
      </c>
      <c r="G25" s="17"/>
      <c r="H25" s="57"/>
      <c r="I25" s="17">
        <f t="shared" si="2"/>
        <v>0</v>
      </c>
      <c r="J25" s="17"/>
      <c r="K25" s="57">
        <v>8.0</v>
      </c>
      <c r="L25" s="17">
        <f t="shared" si="3"/>
        <v>1508.56</v>
      </c>
      <c r="M25" s="47">
        <v>0.0</v>
      </c>
      <c r="N25" s="16"/>
      <c r="O25" s="17">
        <f t="shared" si="12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57">
        <v>1.0</v>
      </c>
      <c r="X25" s="17">
        <f t="shared" si="7"/>
        <v>18.22</v>
      </c>
      <c r="Y25" s="47">
        <v>18.22</v>
      </c>
      <c r="Z25" s="20"/>
      <c r="AA25" s="17">
        <f t="shared" si="8"/>
        <v>0</v>
      </c>
      <c r="AB25" s="50"/>
      <c r="AC25" s="48">
        <v>0.0</v>
      </c>
      <c r="AD25" s="50">
        <v>45424.0</v>
      </c>
      <c r="AE25" s="23"/>
    </row>
    <row r="26">
      <c r="A26" s="58" t="s">
        <v>99</v>
      </c>
      <c r="B26" s="58" t="s">
        <v>100</v>
      </c>
      <c r="C26" s="62">
        <v>45401.0</v>
      </c>
      <c r="D26" s="62">
        <v>45420.0</v>
      </c>
      <c r="E26" s="16"/>
      <c r="F26" s="17">
        <f t="shared" si="1"/>
        <v>0</v>
      </c>
      <c r="G26" s="47"/>
      <c r="H26" s="57"/>
      <c r="I26" s="17">
        <f t="shared" si="2"/>
        <v>0</v>
      </c>
      <c r="J26" s="17"/>
      <c r="K26" s="57">
        <v>11.0</v>
      </c>
      <c r="L26" s="17">
        <f t="shared" si="3"/>
        <v>2074.27</v>
      </c>
      <c r="M26" s="47">
        <v>2074.27</v>
      </c>
      <c r="N26" s="16"/>
      <c r="O26" s="17">
        <f t="shared" si="12"/>
        <v>0</v>
      </c>
      <c r="P26" s="17"/>
      <c r="Q26" s="16"/>
      <c r="R26" s="17">
        <f t="shared" si="5"/>
        <v>0</v>
      </c>
      <c r="S26" s="17"/>
      <c r="T26" s="57"/>
      <c r="U26" s="17">
        <f t="shared" si="6"/>
        <v>0</v>
      </c>
      <c r="V26" s="17"/>
      <c r="W26" s="57">
        <v>13.0</v>
      </c>
      <c r="X26" s="17">
        <f t="shared" si="7"/>
        <v>236.86</v>
      </c>
      <c r="Y26" s="47">
        <v>236.86</v>
      </c>
      <c r="Z26" s="63"/>
      <c r="AA26" s="17">
        <f t="shared" si="8"/>
        <v>0</v>
      </c>
      <c r="AB26" s="17"/>
      <c r="AC26" s="48">
        <v>0.0</v>
      </c>
      <c r="AD26" s="50">
        <v>45424.0</v>
      </c>
      <c r="AE26" s="23"/>
    </row>
    <row r="27" ht="15.75" customHeight="1">
      <c r="A27" s="58" t="s">
        <v>113</v>
      </c>
      <c r="B27" s="58" t="s">
        <v>114</v>
      </c>
      <c r="C27" s="62"/>
      <c r="D27" s="62"/>
      <c r="E27" s="16"/>
      <c r="F27" s="17">
        <f t="shared" si="1"/>
        <v>0</v>
      </c>
      <c r="G27" s="17"/>
      <c r="H27" s="57"/>
      <c r="I27" s="17">
        <f t="shared" si="2"/>
        <v>0</v>
      </c>
      <c r="J27" s="17"/>
      <c r="K27" s="57"/>
      <c r="L27" s="17">
        <f t="shared" si="3"/>
        <v>0</v>
      </c>
      <c r="M27" s="17"/>
      <c r="N27" s="16"/>
      <c r="O27" s="17">
        <f t="shared" si="12"/>
        <v>0</v>
      </c>
      <c r="P27" s="17"/>
      <c r="Q27" s="57"/>
      <c r="R27" s="17">
        <f t="shared" si="5"/>
        <v>0</v>
      </c>
      <c r="S27" s="17"/>
      <c r="T27" s="57"/>
      <c r="U27" s="17">
        <f t="shared" si="6"/>
        <v>0</v>
      </c>
      <c r="V27" s="17"/>
      <c r="W27" s="57"/>
      <c r="X27" s="17">
        <f t="shared" si="7"/>
        <v>0</v>
      </c>
      <c r="Y27" s="17"/>
      <c r="Z27" s="20"/>
      <c r="AA27" s="17">
        <f t="shared" si="8"/>
        <v>0</v>
      </c>
      <c r="AB27" s="17"/>
      <c r="AC27" s="21">
        <f>SUM(F27+I27+L27+O27+R27)</f>
        <v>0</v>
      </c>
      <c r="AD27" s="26"/>
      <c r="AE27" s="23"/>
    </row>
    <row r="28" ht="15.75" customHeight="1">
      <c r="A28" s="58" t="s">
        <v>65</v>
      </c>
      <c r="B28" s="58" t="s">
        <v>160</v>
      </c>
      <c r="C28" s="62"/>
      <c r="D28" s="62"/>
      <c r="E28" s="16"/>
      <c r="F28" s="17">
        <f t="shared" si="1"/>
        <v>0</v>
      </c>
      <c r="G28" s="17"/>
      <c r="H28" s="16"/>
      <c r="I28" s="17">
        <f t="shared" si="2"/>
        <v>0</v>
      </c>
      <c r="J28" s="47"/>
      <c r="K28" s="57"/>
      <c r="L28" s="17">
        <f t="shared" si="3"/>
        <v>0</v>
      </c>
      <c r="M28" s="47"/>
      <c r="N28" s="57"/>
      <c r="O28" s="17">
        <f t="shared" si="12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17"/>
      <c r="Z28" s="63"/>
      <c r="AA28" s="17">
        <f t="shared" si="8"/>
        <v>0</v>
      </c>
      <c r="AB28" s="17"/>
      <c r="AC28" s="48">
        <v>0.0</v>
      </c>
      <c r="AD28" s="50"/>
      <c r="AE28" s="23"/>
    </row>
    <row r="29" ht="15.75" customHeight="1">
      <c r="A29" s="58" t="s">
        <v>57</v>
      </c>
      <c r="B29" s="58" t="s">
        <v>58</v>
      </c>
      <c r="C29" s="62">
        <v>45418.0</v>
      </c>
      <c r="D29" s="62">
        <v>45421.0</v>
      </c>
      <c r="E29" s="16"/>
      <c r="F29" s="17">
        <f t="shared" si="1"/>
        <v>0</v>
      </c>
      <c r="G29" s="17"/>
      <c r="H29" s="57"/>
      <c r="I29" s="17">
        <f t="shared" si="2"/>
        <v>0</v>
      </c>
      <c r="J29" s="47"/>
      <c r="K29" s="57"/>
      <c r="L29" s="17">
        <f t="shared" si="3"/>
        <v>0</v>
      </c>
      <c r="M29" s="17"/>
      <c r="N29" s="57">
        <v>4.0</v>
      </c>
      <c r="O29" s="17">
        <f t="shared" si="12"/>
        <v>235.4</v>
      </c>
      <c r="P29" s="47">
        <v>235.4</v>
      </c>
      <c r="Q29" s="16"/>
      <c r="R29" s="17">
        <f t="shared" si="5"/>
        <v>0</v>
      </c>
      <c r="S29" s="17"/>
      <c r="T29" s="57"/>
      <c r="U29" s="17">
        <f t="shared" si="6"/>
        <v>0</v>
      </c>
      <c r="V29" s="17"/>
      <c r="W29" s="57"/>
      <c r="X29" s="17">
        <f t="shared" si="7"/>
        <v>0</v>
      </c>
      <c r="Y29" s="17"/>
      <c r="Z29" s="20"/>
      <c r="AA29" s="17">
        <f t="shared" si="8"/>
        <v>0</v>
      </c>
      <c r="AB29" s="17"/>
      <c r="AC29" s="48">
        <v>0.0</v>
      </c>
      <c r="AD29" s="49">
        <v>45424.0</v>
      </c>
      <c r="AE29" s="23"/>
    </row>
    <row r="30" ht="15.75" customHeight="1">
      <c r="A30" s="58" t="s">
        <v>121</v>
      </c>
      <c r="B30" s="58" t="s">
        <v>100</v>
      </c>
      <c r="C30" s="62"/>
      <c r="D30" s="62"/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/>
      <c r="L30" s="17">
        <f t="shared" si="3"/>
        <v>0</v>
      </c>
      <c r="M30" s="47"/>
      <c r="N30" s="60"/>
      <c r="O30" s="17">
        <f t="shared" si="12"/>
        <v>0</v>
      </c>
      <c r="P30" s="17"/>
      <c r="Q30" s="28"/>
      <c r="R30" s="17">
        <f t="shared" si="5"/>
        <v>0</v>
      </c>
      <c r="S30" s="17"/>
      <c r="T30" s="28"/>
      <c r="U30" s="17">
        <f t="shared" si="6"/>
        <v>0</v>
      </c>
      <c r="V30" s="17"/>
      <c r="W30" s="60"/>
      <c r="X30" s="17">
        <f t="shared" si="7"/>
        <v>0</v>
      </c>
      <c r="Y30" s="17"/>
      <c r="Z30" s="63"/>
      <c r="AA30" s="17">
        <f t="shared" si="8"/>
        <v>0</v>
      </c>
      <c r="AB30" s="17"/>
      <c r="AC30" s="21">
        <f t="shared" ref="AC30:AC31" si="13">SUM(F30+I30+L30+O30+R30)</f>
        <v>0</v>
      </c>
      <c r="AD30" s="22"/>
      <c r="AE30" s="23"/>
    </row>
    <row r="31" ht="15.75" customHeight="1">
      <c r="A31" s="58" t="s">
        <v>115</v>
      </c>
      <c r="B31" s="58" t="s">
        <v>116</v>
      </c>
      <c r="C31" s="62"/>
      <c r="D31" s="62"/>
      <c r="E31" s="28"/>
      <c r="F31" s="17">
        <f t="shared" si="1"/>
        <v>0</v>
      </c>
      <c r="G31" s="17"/>
      <c r="H31" s="28"/>
      <c r="I31" s="17">
        <f t="shared" si="2"/>
        <v>0</v>
      </c>
      <c r="J31" s="17"/>
      <c r="K31" s="57"/>
      <c r="L31" s="17">
        <f t="shared" si="3"/>
        <v>0</v>
      </c>
      <c r="M31" s="47"/>
      <c r="N31" s="28"/>
      <c r="O31" s="17">
        <f t="shared" si="12"/>
        <v>0</v>
      </c>
      <c r="P31" s="17"/>
      <c r="Q31" s="28"/>
      <c r="R31" s="17">
        <f t="shared" si="5"/>
        <v>0</v>
      </c>
      <c r="S31" s="17"/>
      <c r="T31" s="60"/>
      <c r="U31" s="17">
        <f t="shared" si="6"/>
        <v>0</v>
      </c>
      <c r="V31" s="17"/>
      <c r="W31" s="60"/>
      <c r="X31" s="17">
        <f t="shared" si="7"/>
        <v>0</v>
      </c>
      <c r="Y31" s="17"/>
      <c r="Z31" s="63"/>
      <c r="AA31" s="17">
        <f t="shared" si="8"/>
        <v>0</v>
      </c>
      <c r="AB31" s="50"/>
      <c r="AC31" s="21">
        <f t="shared" si="13"/>
        <v>0</v>
      </c>
      <c r="AD31" s="50"/>
      <c r="AE31" s="23"/>
    </row>
    <row r="32" ht="15.75" customHeight="1">
      <c r="A32" s="58" t="s">
        <v>234</v>
      </c>
      <c r="B32" s="58" t="s">
        <v>235</v>
      </c>
      <c r="C32" s="62">
        <v>45418.0</v>
      </c>
      <c r="D32" s="62">
        <v>45421.0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4.0</v>
      </c>
      <c r="L32" s="17">
        <f t="shared" si="3"/>
        <v>754.28</v>
      </c>
      <c r="M32" s="47">
        <v>754.28</v>
      </c>
      <c r="N32" s="28"/>
      <c r="O32" s="17">
        <f t="shared" si="12"/>
        <v>0</v>
      </c>
      <c r="P32" s="17"/>
      <c r="Q32" s="28"/>
      <c r="R32" s="17">
        <f t="shared" si="5"/>
        <v>0</v>
      </c>
      <c r="S32" s="17"/>
      <c r="T32" s="60"/>
      <c r="U32" s="17">
        <f t="shared" si="6"/>
        <v>0</v>
      </c>
      <c r="V32" s="17"/>
      <c r="W32" s="60"/>
      <c r="X32" s="17">
        <f t="shared" si="7"/>
        <v>0</v>
      </c>
      <c r="Y32" s="17"/>
      <c r="Z32" s="20"/>
      <c r="AA32" s="17">
        <f t="shared" si="8"/>
        <v>0</v>
      </c>
      <c r="AB32" s="17"/>
      <c r="AC32" s="48">
        <v>0.0</v>
      </c>
      <c r="AD32" s="49">
        <v>45424.0</v>
      </c>
      <c r="AE32" s="23"/>
    </row>
    <row r="33" ht="15.75" customHeight="1">
      <c r="A33" s="58" t="s">
        <v>236</v>
      </c>
      <c r="B33" s="58" t="s">
        <v>237</v>
      </c>
      <c r="C33" s="62">
        <v>45418.0</v>
      </c>
      <c r="D33" s="62">
        <v>45421.0</v>
      </c>
      <c r="E33" s="60"/>
      <c r="F33" s="17">
        <f t="shared" si="1"/>
        <v>0</v>
      </c>
      <c r="G33" s="17"/>
      <c r="H33" s="28"/>
      <c r="I33" s="17">
        <f t="shared" si="2"/>
        <v>0</v>
      </c>
      <c r="J33" s="17"/>
      <c r="K33" s="57">
        <v>4.0</v>
      </c>
      <c r="L33" s="17">
        <f t="shared" si="3"/>
        <v>754.28</v>
      </c>
      <c r="M33" s="47">
        <v>754.28</v>
      </c>
      <c r="N33" s="28"/>
      <c r="O33" s="17">
        <f t="shared" si="12"/>
        <v>0</v>
      </c>
      <c r="P33" s="17"/>
      <c r="Q33" s="60"/>
      <c r="R33" s="17">
        <f t="shared" si="5"/>
        <v>0</v>
      </c>
      <c r="S33" s="17"/>
      <c r="T33" s="28"/>
      <c r="U33" s="17">
        <f t="shared" si="6"/>
        <v>0</v>
      </c>
      <c r="V33" s="17"/>
      <c r="W33" s="60"/>
      <c r="X33" s="17">
        <f t="shared" si="7"/>
        <v>0</v>
      </c>
      <c r="Y33" s="17"/>
      <c r="Z33" s="63"/>
      <c r="AA33" s="17">
        <f t="shared" si="8"/>
        <v>0</v>
      </c>
      <c r="AB33" s="17"/>
      <c r="AC33" s="48">
        <v>0.0</v>
      </c>
      <c r="AD33" s="49">
        <v>45424.0</v>
      </c>
      <c r="AE33" s="23"/>
    </row>
    <row r="34" ht="15.75" customHeight="1">
      <c r="A34" s="58" t="s">
        <v>41</v>
      </c>
      <c r="B34" s="58" t="s">
        <v>42</v>
      </c>
      <c r="C34" s="62">
        <v>45414.0</v>
      </c>
      <c r="D34" s="62">
        <v>45420.0</v>
      </c>
      <c r="E34" s="60"/>
      <c r="F34" s="17">
        <f t="shared" si="1"/>
        <v>0</v>
      </c>
      <c r="G34" s="47"/>
      <c r="H34" s="60"/>
      <c r="I34" s="17">
        <f t="shared" si="2"/>
        <v>0</v>
      </c>
      <c r="J34" s="17"/>
      <c r="K34" s="57">
        <v>4.0</v>
      </c>
      <c r="L34" s="17">
        <f t="shared" si="3"/>
        <v>754.28</v>
      </c>
      <c r="M34" s="47">
        <v>754.28</v>
      </c>
      <c r="N34" s="28"/>
      <c r="O34" s="17">
        <f t="shared" si="12"/>
        <v>0</v>
      </c>
      <c r="P34" s="17"/>
      <c r="Q34" s="28"/>
      <c r="R34" s="17">
        <f t="shared" si="5"/>
        <v>0</v>
      </c>
      <c r="S34" s="17"/>
      <c r="T34" s="60">
        <v>24.0</v>
      </c>
      <c r="U34" s="17">
        <f t="shared" si="6"/>
        <v>121.68</v>
      </c>
      <c r="V34" s="17"/>
      <c r="W34" s="60"/>
      <c r="X34" s="17">
        <f t="shared" si="7"/>
        <v>0</v>
      </c>
      <c r="Y34" s="17"/>
      <c r="Z34" s="20"/>
      <c r="AA34" s="17">
        <f t="shared" si="8"/>
        <v>0</v>
      </c>
      <c r="AB34" s="17"/>
      <c r="AC34" s="48">
        <v>0.0</v>
      </c>
      <c r="AD34" s="49">
        <v>45424.0</v>
      </c>
      <c r="AE34" s="23"/>
    </row>
    <row r="35" ht="15.75" customHeight="1">
      <c r="A35" s="58" t="s">
        <v>47</v>
      </c>
      <c r="B35" s="58" t="s">
        <v>84</v>
      </c>
      <c r="C35" s="62">
        <v>45418.0</v>
      </c>
      <c r="D35" s="62">
        <v>45420.0</v>
      </c>
      <c r="E35" s="28"/>
      <c r="F35" s="17">
        <f t="shared" si="1"/>
        <v>0</v>
      </c>
      <c r="G35" s="47"/>
      <c r="H35" s="28"/>
      <c r="I35" s="17">
        <f t="shared" si="2"/>
        <v>0</v>
      </c>
      <c r="J35" s="17"/>
      <c r="K35" s="57"/>
      <c r="L35" s="17">
        <f t="shared" si="3"/>
        <v>0</v>
      </c>
      <c r="M35" s="47"/>
      <c r="N35" s="60">
        <v>3.0</v>
      </c>
      <c r="O35" s="17">
        <f t="shared" si="12"/>
        <v>176.55</v>
      </c>
      <c r="P35" s="47">
        <v>175.55</v>
      </c>
      <c r="Q35" s="28"/>
      <c r="R35" s="17">
        <f t="shared" si="5"/>
        <v>0</v>
      </c>
      <c r="S35" s="17"/>
      <c r="T35" s="60">
        <v>4.0</v>
      </c>
      <c r="U35" s="17">
        <f t="shared" si="6"/>
        <v>20.28</v>
      </c>
      <c r="V35" s="47">
        <v>20.28</v>
      </c>
      <c r="W35" s="60"/>
      <c r="X35" s="17">
        <f t="shared" si="7"/>
        <v>0</v>
      </c>
      <c r="Y35" s="17"/>
      <c r="Z35" s="20"/>
      <c r="AA35" s="17">
        <f t="shared" si="8"/>
        <v>0</v>
      </c>
      <c r="AB35" s="17"/>
      <c r="AC35" s="48">
        <v>0.0</v>
      </c>
      <c r="AD35" s="50">
        <v>45424.0</v>
      </c>
      <c r="AE35" s="23"/>
    </row>
    <row r="36" ht="15.75" customHeight="1">
      <c r="A36" s="58" t="s">
        <v>69</v>
      </c>
      <c r="B36" s="58" t="s">
        <v>70</v>
      </c>
      <c r="C36" s="71">
        <v>45418.0</v>
      </c>
      <c r="D36" s="62">
        <v>45421.0</v>
      </c>
      <c r="E36" s="28"/>
      <c r="F36" s="17">
        <f t="shared" si="1"/>
        <v>0</v>
      </c>
      <c r="G36" s="17"/>
      <c r="H36" s="28"/>
      <c r="I36" s="17">
        <f t="shared" si="2"/>
        <v>0</v>
      </c>
      <c r="J36" s="47"/>
      <c r="K36" s="57"/>
      <c r="L36" s="17">
        <f t="shared" si="3"/>
        <v>0</v>
      </c>
      <c r="M36" s="17"/>
      <c r="N36" s="60">
        <v>4.0</v>
      </c>
      <c r="O36" s="17">
        <f t="shared" si="12"/>
        <v>235.4</v>
      </c>
      <c r="P36" s="47">
        <v>235.4</v>
      </c>
      <c r="Q36" s="28"/>
      <c r="R36" s="17">
        <f t="shared" si="5"/>
        <v>0</v>
      </c>
      <c r="S36" s="17"/>
      <c r="T36" s="60"/>
      <c r="U36" s="17">
        <f t="shared" si="6"/>
        <v>0</v>
      </c>
      <c r="V36" s="17"/>
      <c r="W36" s="60"/>
      <c r="X36" s="17">
        <f t="shared" si="7"/>
        <v>0</v>
      </c>
      <c r="Y36" s="17"/>
      <c r="Z36" s="63"/>
      <c r="AA36" s="17">
        <f t="shared" si="8"/>
        <v>0</v>
      </c>
      <c r="AB36" s="17"/>
      <c r="AC36" s="48">
        <v>0.0</v>
      </c>
      <c r="AD36" s="49">
        <v>45424.0</v>
      </c>
      <c r="AE36" s="23"/>
    </row>
    <row r="37" ht="15.75" customHeight="1">
      <c r="A37" s="58" t="s">
        <v>158</v>
      </c>
      <c r="B37" s="58" t="s">
        <v>159</v>
      </c>
      <c r="C37" s="71">
        <v>45418.0</v>
      </c>
      <c r="D37" s="62">
        <v>45421.0</v>
      </c>
      <c r="E37" s="28"/>
      <c r="F37" s="17">
        <f t="shared" si="1"/>
        <v>0</v>
      </c>
      <c r="G37" s="17"/>
      <c r="H37" s="60"/>
      <c r="I37" s="17">
        <f t="shared" si="2"/>
        <v>0</v>
      </c>
      <c r="J37" s="47"/>
      <c r="K37" s="57">
        <v>4.0</v>
      </c>
      <c r="L37" s="17">
        <f t="shared" si="3"/>
        <v>754.28</v>
      </c>
      <c r="M37" s="47">
        <v>754.28</v>
      </c>
      <c r="N37" s="28"/>
      <c r="O37" s="17">
        <f t="shared" si="12"/>
        <v>0</v>
      </c>
      <c r="P37" s="17"/>
      <c r="Q37" s="28"/>
      <c r="R37" s="17">
        <f t="shared" si="5"/>
        <v>0</v>
      </c>
      <c r="S37" s="17"/>
      <c r="T37" s="60">
        <v>16.0</v>
      </c>
      <c r="U37" s="17">
        <f t="shared" si="6"/>
        <v>81.12</v>
      </c>
      <c r="V37" s="47">
        <v>20.28</v>
      </c>
      <c r="W37" s="28"/>
      <c r="X37" s="17">
        <f t="shared" si="7"/>
        <v>0</v>
      </c>
      <c r="Y37" s="17"/>
      <c r="Z37" s="63"/>
      <c r="AA37" s="17">
        <f t="shared" si="8"/>
        <v>0</v>
      </c>
      <c r="AB37" s="17"/>
      <c r="AC37" s="48">
        <v>0.0</v>
      </c>
      <c r="AD37" s="50">
        <v>45424.0</v>
      </c>
      <c r="AE37" s="23"/>
    </row>
    <row r="38" ht="15.75" customHeight="1">
      <c r="A38" s="58" t="s">
        <v>95</v>
      </c>
      <c r="B38" s="58" t="s">
        <v>58</v>
      </c>
      <c r="C38" s="71">
        <v>45418.0</v>
      </c>
      <c r="D38" s="62">
        <v>45421.0</v>
      </c>
      <c r="E38" s="60"/>
      <c r="F38" s="17">
        <f t="shared" si="1"/>
        <v>0</v>
      </c>
      <c r="G38" s="17"/>
      <c r="H38" s="28"/>
      <c r="I38" s="17">
        <f t="shared" si="2"/>
        <v>0</v>
      </c>
      <c r="J38" s="17"/>
      <c r="K38" s="57">
        <v>4.0</v>
      </c>
      <c r="L38" s="17">
        <f t="shared" si="3"/>
        <v>754.28</v>
      </c>
      <c r="M38" s="47">
        <v>565.71</v>
      </c>
      <c r="N38" s="60"/>
      <c r="O38" s="17">
        <f t="shared" si="12"/>
        <v>0</v>
      </c>
      <c r="P38" s="17"/>
      <c r="Q38" s="28"/>
      <c r="R38" s="17">
        <f t="shared" si="5"/>
        <v>0</v>
      </c>
      <c r="S38" s="17"/>
      <c r="T38" s="60"/>
      <c r="U38" s="17">
        <f t="shared" si="6"/>
        <v>0</v>
      </c>
      <c r="V38" s="17"/>
      <c r="W38" s="60"/>
      <c r="X38" s="17">
        <f t="shared" si="7"/>
        <v>0</v>
      </c>
      <c r="Y38" s="17"/>
      <c r="Z38" s="20"/>
      <c r="AA38" s="17">
        <f t="shared" si="8"/>
        <v>0</v>
      </c>
      <c r="AB38" s="17"/>
      <c r="AC38" s="48">
        <v>0.0</v>
      </c>
      <c r="AD38" s="50">
        <v>45424.0</v>
      </c>
      <c r="AE38" s="23"/>
    </row>
    <row r="39" ht="15.75" customHeight="1">
      <c r="A39" s="58" t="s">
        <v>20</v>
      </c>
      <c r="B39" s="58" t="s">
        <v>21</v>
      </c>
      <c r="C39" s="71">
        <v>45418.0</v>
      </c>
      <c r="D39" s="62">
        <v>45420.0</v>
      </c>
      <c r="E39" s="28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3.0</v>
      </c>
      <c r="L39" s="17">
        <f t="shared" si="3"/>
        <v>565.71</v>
      </c>
      <c r="M39" s="47">
        <v>565.71</v>
      </c>
      <c r="N39" s="28"/>
      <c r="O39" s="17">
        <f t="shared" si="12"/>
        <v>0</v>
      </c>
      <c r="P39" s="17"/>
      <c r="Q39" s="28"/>
      <c r="R39" s="17">
        <f t="shared" si="5"/>
        <v>0</v>
      </c>
      <c r="S39" s="17"/>
      <c r="T39" s="28"/>
      <c r="U39" s="17">
        <f t="shared" si="6"/>
        <v>0</v>
      </c>
      <c r="V39" s="17"/>
      <c r="W39" s="60"/>
      <c r="X39" s="17">
        <f t="shared" si="7"/>
        <v>0</v>
      </c>
      <c r="Y39" s="17"/>
      <c r="Z39" s="20"/>
      <c r="AA39" s="17">
        <f t="shared" si="8"/>
        <v>0</v>
      </c>
      <c r="AB39" s="17"/>
      <c r="AC39" s="48">
        <v>0.0</v>
      </c>
      <c r="AD39" s="50">
        <v>45424.0</v>
      </c>
      <c r="AE39" s="23"/>
    </row>
    <row r="40" ht="15.75" customHeight="1">
      <c r="A40" s="58" t="s">
        <v>136</v>
      </c>
      <c r="B40" s="58" t="s">
        <v>162</v>
      </c>
      <c r="C40" s="71">
        <v>45418.0</v>
      </c>
      <c r="D40" s="71">
        <v>45420.0</v>
      </c>
      <c r="E40" s="60"/>
      <c r="F40" s="17">
        <f t="shared" si="1"/>
        <v>0</v>
      </c>
      <c r="G40" s="17"/>
      <c r="H40" s="28"/>
      <c r="I40" s="17">
        <f t="shared" si="2"/>
        <v>0</v>
      </c>
      <c r="J40" s="17"/>
      <c r="K40" s="57">
        <v>3.0</v>
      </c>
      <c r="L40" s="17">
        <f t="shared" si="3"/>
        <v>565.71</v>
      </c>
      <c r="M40" s="17"/>
      <c r="N40" s="60"/>
      <c r="O40" s="17">
        <f t="shared" si="12"/>
        <v>0</v>
      </c>
      <c r="P40" s="47"/>
      <c r="Q40" s="28"/>
      <c r="R40" s="17">
        <f t="shared" si="5"/>
        <v>0</v>
      </c>
      <c r="S40" s="17"/>
      <c r="T40" s="60">
        <v>12.0</v>
      </c>
      <c r="U40" s="17">
        <f t="shared" si="6"/>
        <v>60.84</v>
      </c>
      <c r="V40" s="47"/>
      <c r="W40" s="60"/>
      <c r="X40" s="17">
        <f t="shared" si="7"/>
        <v>0</v>
      </c>
      <c r="Y40" s="17"/>
      <c r="Z40" s="63"/>
      <c r="AA40" s="17">
        <f t="shared" si="8"/>
        <v>0</v>
      </c>
      <c r="AB40" s="50"/>
      <c r="AC40" s="21">
        <f>SUM(F40+I41+L40+O40+R40)</f>
        <v>565.71</v>
      </c>
      <c r="AD40" s="50"/>
      <c r="AE40" s="23"/>
      <c r="AF40" s="31"/>
    </row>
    <row r="41" ht="15.75" customHeight="1">
      <c r="A41" s="58" t="s">
        <v>225</v>
      </c>
      <c r="B41" s="58" t="s">
        <v>226</v>
      </c>
      <c r="C41" s="71">
        <v>45418.0</v>
      </c>
      <c r="D41" s="62">
        <v>45421.0</v>
      </c>
      <c r="E41" s="60"/>
      <c r="F41" s="17">
        <f t="shared" si="1"/>
        <v>0</v>
      </c>
      <c r="G41" s="17"/>
      <c r="H41" s="28"/>
      <c r="I41" s="17">
        <f>PRODUCT(H40)*316.77</f>
        <v>0</v>
      </c>
      <c r="J41" s="17"/>
      <c r="K41" s="57">
        <v>4.0</v>
      </c>
      <c r="L41" s="17">
        <f t="shared" si="3"/>
        <v>754.28</v>
      </c>
      <c r="M41" s="47">
        <v>754.28</v>
      </c>
      <c r="N41" s="28"/>
      <c r="O41" s="17">
        <f t="shared" si="12"/>
        <v>0</v>
      </c>
      <c r="P41" s="17"/>
      <c r="Q41" s="28"/>
      <c r="R41" s="97">
        <f t="shared" si="5"/>
        <v>0</v>
      </c>
      <c r="S41" s="17"/>
      <c r="T41" s="60"/>
      <c r="U41" s="17">
        <f t="shared" si="6"/>
        <v>0</v>
      </c>
      <c r="V41" s="17"/>
      <c r="W41" s="28"/>
      <c r="X41" s="17">
        <f t="shared" si="7"/>
        <v>0</v>
      </c>
      <c r="Y41" s="17"/>
      <c r="Z41" s="20"/>
      <c r="AA41" s="17">
        <f t="shared" si="8"/>
        <v>0</v>
      </c>
      <c r="AB41" s="17"/>
      <c r="AC41" s="48">
        <v>0.0</v>
      </c>
      <c r="AD41" s="49">
        <v>45424.0</v>
      </c>
      <c r="AE41" s="23"/>
    </row>
    <row r="42" ht="15.75" customHeight="1">
      <c r="A42" s="58" t="s">
        <v>71</v>
      </c>
      <c r="B42" s="58" t="s">
        <v>190</v>
      </c>
      <c r="C42" s="71"/>
      <c r="D42" s="62"/>
      <c r="E42" s="60"/>
      <c r="F42" s="17">
        <f t="shared" si="1"/>
        <v>0</v>
      </c>
      <c r="G42" s="17"/>
      <c r="H42" s="28"/>
      <c r="I42" s="17">
        <f t="shared" ref="I42:I53" si="14">PRODUCT(H42)*316.77</f>
        <v>0</v>
      </c>
      <c r="J42" s="17"/>
      <c r="K42" s="57"/>
      <c r="L42" s="17">
        <f t="shared" si="3"/>
        <v>0</v>
      </c>
      <c r="M42" s="17"/>
      <c r="N42" s="28"/>
      <c r="O42" s="17">
        <f t="shared" si="12"/>
        <v>0</v>
      </c>
      <c r="P42" s="17"/>
      <c r="Q42" s="28"/>
      <c r="R42" s="97">
        <f t="shared" si="5"/>
        <v>0</v>
      </c>
      <c r="S42" s="17"/>
      <c r="T42" s="28"/>
      <c r="U42" s="17">
        <f t="shared" si="6"/>
        <v>0</v>
      </c>
      <c r="V42" s="17"/>
      <c r="W42" s="28"/>
      <c r="X42" s="17">
        <f t="shared" si="7"/>
        <v>0</v>
      </c>
      <c r="Y42" s="17"/>
      <c r="Z42" s="63"/>
      <c r="AA42" s="17">
        <f t="shared" si="8"/>
        <v>0</v>
      </c>
      <c r="AB42" s="17"/>
      <c r="AC42" s="21">
        <f t="shared" ref="AC42:AC43" si="15">SUM(F42+I43+L42+O42+R42)</f>
        <v>0</v>
      </c>
      <c r="AD42" s="22"/>
      <c r="AE42" s="23"/>
    </row>
    <row r="43" ht="15.75" customHeight="1">
      <c r="A43" s="58" t="s">
        <v>223</v>
      </c>
      <c r="B43" s="58" t="s">
        <v>224</v>
      </c>
      <c r="C43" s="71">
        <v>45418.0</v>
      </c>
      <c r="D43" s="62">
        <v>45421.0</v>
      </c>
      <c r="E43" s="60"/>
      <c r="F43" s="17">
        <f t="shared" si="1"/>
        <v>0</v>
      </c>
      <c r="G43" s="17"/>
      <c r="H43" s="28"/>
      <c r="I43" s="17">
        <f t="shared" si="14"/>
        <v>0</v>
      </c>
      <c r="J43" s="17"/>
      <c r="K43" s="57">
        <v>4.0</v>
      </c>
      <c r="L43" s="17">
        <f t="shared" si="3"/>
        <v>754.28</v>
      </c>
      <c r="M43" s="17"/>
      <c r="N43" s="28"/>
      <c r="O43" s="17">
        <f t="shared" si="12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17"/>
      <c r="W43" s="60"/>
      <c r="X43" s="17">
        <f t="shared" si="7"/>
        <v>0</v>
      </c>
      <c r="Y43" s="17"/>
      <c r="Z43" s="20"/>
      <c r="AA43" s="17">
        <f t="shared" si="8"/>
        <v>0</v>
      </c>
      <c r="AB43" s="17"/>
      <c r="AC43" s="21">
        <f t="shared" si="15"/>
        <v>754.28</v>
      </c>
      <c r="AD43" s="22"/>
      <c r="AE43" s="23"/>
    </row>
    <row r="44" ht="15.75" customHeight="1">
      <c r="A44" s="58" t="s">
        <v>193</v>
      </c>
      <c r="B44" s="58" t="s">
        <v>194</v>
      </c>
      <c r="C44" s="71">
        <v>45418.0</v>
      </c>
      <c r="D44" s="62">
        <v>45421.0</v>
      </c>
      <c r="E44" s="60"/>
      <c r="F44" s="17">
        <f t="shared" si="1"/>
        <v>0</v>
      </c>
      <c r="G44" s="17"/>
      <c r="H44" s="28"/>
      <c r="I44" s="17">
        <f t="shared" si="14"/>
        <v>0</v>
      </c>
      <c r="J44" s="17"/>
      <c r="K44" s="57">
        <v>3.0</v>
      </c>
      <c r="L44" s="17">
        <f t="shared" si="3"/>
        <v>565.71</v>
      </c>
      <c r="M44" s="17"/>
      <c r="N44" s="28"/>
      <c r="O44" s="17">
        <f t="shared" si="12"/>
        <v>0</v>
      </c>
      <c r="P44" s="17"/>
      <c r="Q44" s="28"/>
      <c r="R44" s="97">
        <f t="shared" si="5"/>
        <v>0</v>
      </c>
      <c r="S44" s="17"/>
      <c r="T44" s="60"/>
      <c r="U44" s="17">
        <f t="shared" si="6"/>
        <v>0</v>
      </c>
      <c r="V44" s="17"/>
      <c r="W44" s="60"/>
      <c r="X44" s="17">
        <f t="shared" si="7"/>
        <v>0</v>
      </c>
      <c r="Y44" s="17"/>
      <c r="Z44" s="20"/>
      <c r="AA44" s="17">
        <f t="shared" si="8"/>
        <v>0</v>
      </c>
      <c r="AB44" s="17"/>
      <c r="AC44" s="21">
        <f>SUM(F44+I44+L44+O44+R44)</f>
        <v>565.71</v>
      </c>
      <c r="AD44" s="22"/>
      <c r="AE44" s="23"/>
    </row>
    <row r="45" ht="15.75" customHeight="1">
      <c r="A45" s="58" t="s">
        <v>49</v>
      </c>
      <c r="B45" s="58" t="s">
        <v>50</v>
      </c>
      <c r="C45" s="62">
        <v>45418.0</v>
      </c>
      <c r="D45" s="62">
        <v>45421.0</v>
      </c>
      <c r="E45" s="28"/>
      <c r="F45" s="17">
        <f t="shared" si="1"/>
        <v>0</v>
      </c>
      <c r="G45" s="47"/>
      <c r="H45" s="28"/>
      <c r="I45" s="17">
        <f t="shared" si="14"/>
        <v>0</v>
      </c>
      <c r="J45" s="17"/>
      <c r="K45" s="57">
        <v>4.0</v>
      </c>
      <c r="L45" s="17">
        <f t="shared" si="3"/>
        <v>754.28</v>
      </c>
      <c r="M45" s="47">
        <v>754.28</v>
      </c>
      <c r="N45" s="28"/>
      <c r="O45" s="17">
        <f t="shared" si="12"/>
        <v>0</v>
      </c>
      <c r="P45" s="17"/>
      <c r="Q45" s="28"/>
      <c r="R45" s="97">
        <f t="shared" si="5"/>
        <v>0</v>
      </c>
      <c r="S45" s="17"/>
      <c r="T45" s="60">
        <v>48.0</v>
      </c>
      <c r="U45" s="17">
        <f t="shared" si="6"/>
        <v>243.36</v>
      </c>
      <c r="V45" s="17"/>
      <c r="W45" s="60"/>
      <c r="X45" s="17">
        <f t="shared" si="7"/>
        <v>0</v>
      </c>
      <c r="Y45" s="17"/>
      <c r="Z45" s="20"/>
      <c r="AA45" s="17">
        <f t="shared" si="8"/>
        <v>0</v>
      </c>
      <c r="AB45" s="17"/>
      <c r="AC45" s="48">
        <v>0.0</v>
      </c>
      <c r="AD45" s="49">
        <v>45424.0</v>
      </c>
      <c r="AE45" s="23"/>
    </row>
    <row r="46" ht="15.75" customHeight="1">
      <c r="A46" s="58" t="s">
        <v>198</v>
      </c>
      <c r="B46" s="58" t="s">
        <v>199</v>
      </c>
      <c r="C46" s="71">
        <v>45418.0</v>
      </c>
      <c r="D46" s="71">
        <v>45421.0</v>
      </c>
      <c r="E46" s="60"/>
      <c r="F46" s="17">
        <f t="shared" si="1"/>
        <v>0</v>
      </c>
      <c r="G46" s="17"/>
      <c r="H46" s="28"/>
      <c r="I46" s="17">
        <f t="shared" si="14"/>
        <v>0</v>
      </c>
      <c r="J46" s="47"/>
      <c r="K46" s="57">
        <v>4.0</v>
      </c>
      <c r="L46" s="17">
        <f t="shared" si="3"/>
        <v>754.28</v>
      </c>
      <c r="M46" s="47">
        <v>754.28</v>
      </c>
      <c r="N46" s="28"/>
      <c r="O46" s="17">
        <f t="shared" si="12"/>
        <v>0</v>
      </c>
      <c r="P46" s="17"/>
      <c r="Q46" s="28"/>
      <c r="R46" s="97">
        <f t="shared" si="5"/>
        <v>0</v>
      </c>
      <c r="S46" s="17"/>
      <c r="T46" s="28"/>
      <c r="U46" s="17">
        <f t="shared" si="6"/>
        <v>0</v>
      </c>
      <c r="V46" s="17"/>
      <c r="W46" s="28"/>
      <c r="X46" s="17">
        <f t="shared" si="7"/>
        <v>0</v>
      </c>
      <c r="Y46" s="17"/>
      <c r="Z46" s="63"/>
      <c r="AA46" s="17">
        <f t="shared" si="8"/>
        <v>0</v>
      </c>
      <c r="AB46" s="17"/>
      <c r="AC46" s="48">
        <v>0.0</v>
      </c>
      <c r="AD46" s="49">
        <v>45424.0</v>
      </c>
      <c r="AE46" s="23"/>
    </row>
    <row r="47" ht="15.75" customHeight="1">
      <c r="A47" s="58" t="s">
        <v>109</v>
      </c>
      <c r="B47" s="58" t="s">
        <v>200</v>
      </c>
      <c r="C47" s="62"/>
      <c r="D47" s="62"/>
      <c r="E47" s="60"/>
      <c r="F47" s="17">
        <f t="shared" si="1"/>
        <v>0</v>
      </c>
      <c r="G47" s="17"/>
      <c r="H47" s="28"/>
      <c r="I47" s="17">
        <f t="shared" si="14"/>
        <v>0</v>
      </c>
      <c r="J47" s="17"/>
      <c r="K47" s="57"/>
      <c r="L47" s="17">
        <f t="shared" si="3"/>
        <v>0</v>
      </c>
      <c r="M47" s="47"/>
      <c r="N47" s="28"/>
      <c r="O47" s="17">
        <f t="shared" si="12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/>
      <c r="X47" s="17">
        <f t="shared" si="7"/>
        <v>0</v>
      </c>
      <c r="Y47" s="17"/>
      <c r="Z47" s="63"/>
      <c r="AA47" s="17">
        <f t="shared" si="8"/>
        <v>0</v>
      </c>
      <c r="AB47" s="17"/>
      <c r="AC47" s="48">
        <v>0.0</v>
      </c>
      <c r="AD47" s="49"/>
      <c r="AE47" s="23"/>
    </row>
    <row r="48" ht="15.75" customHeight="1">
      <c r="A48" s="58" t="s">
        <v>203</v>
      </c>
      <c r="B48" s="58" t="s">
        <v>204</v>
      </c>
      <c r="C48" s="62">
        <v>45414.0</v>
      </c>
      <c r="D48" s="62">
        <v>45420.0</v>
      </c>
      <c r="E48" s="28"/>
      <c r="F48" s="17">
        <f t="shared" si="1"/>
        <v>0</v>
      </c>
      <c r="G48" s="17"/>
      <c r="H48" s="28"/>
      <c r="I48" s="17">
        <f t="shared" si="14"/>
        <v>0</v>
      </c>
      <c r="J48" s="17"/>
      <c r="K48" s="57">
        <v>4.0</v>
      </c>
      <c r="L48" s="17">
        <f t="shared" si="3"/>
        <v>754.28</v>
      </c>
      <c r="M48" s="47">
        <v>754.28</v>
      </c>
      <c r="N48" s="28"/>
      <c r="O48" s="17">
        <f t="shared" si="12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60"/>
      <c r="X48" s="17">
        <f t="shared" si="7"/>
        <v>0</v>
      </c>
      <c r="Y48" s="17"/>
      <c r="Z48" s="63"/>
      <c r="AA48" s="17">
        <f t="shared" si="8"/>
        <v>0</v>
      </c>
      <c r="AB48" s="17"/>
      <c r="AC48" s="48">
        <v>0.0</v>
      </c>
      <c r="AD48" s="49">
        <v>45424.0</v>
      </c>
      <c r="AE48" s="23"/>
    </row>
    <row r="49" ht="15.75" customHeight="1">
      <c r="A49" s="58" t="s">
        <v>212</v>
      </c>
      <c r="B49" s="58" t="s">
        <v>213</v>
      </c>
      <c r="C49" s="62"/>
      <c r="D49" s="62"/>
      <c r="E49" s="60"/>
      <c r="F49" s="17">
        <f t="shared" si="1"/>
        <v>0</v>
      </c>
      <c r="G49" s="17"/>
      <c r="H49" s="60"/>
      <c r="I49" s="17">
        <f t="shared" si="14"/>
        <v>0</v>
      </c>
      <c r="J49" s="17"/>
      <c r="K49" s="57"/>
      <c r="L49" s="17">
        <f t="shared" si="3"/>
        <v>0</v>
      </c>
      <c r="M49" s="47"/>
      <c r="N49" s="28"/>
      <c r="O49" s="17">
        <f t="shared" si="12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28"/>
      <c r="X49" s="17">
        <f t="shared" si="7"/>
        <v>0</v>
      </c>
      <c r="Y49" s="17"/>
      <c r="Z49" s="63"/>
      <c r="AA49" s="17">
        <f t="shared" si="8"/>
        <v>0</v>
      </c>
      <c r="AB49" s="17"/>
      <c r="AC49" s="48">
        <v>0.0</v>
      </c>
      <c r="AD49" s="49"/>
      <c r="AE49" s="23"/>
    </row>
    <row r="50" ht="15.75" customHeight="1">
      <c r="A50" s="58" t="s">
        <v>238</v>
      </c>
      <c r="B50" s="58" t="s">
        <v>80</v>
      </c>
      <c r="C50" s="62">
        <v>45419.0</v>
      </c>
      <c r="D50" s="62">
        <v>45420.0</v>
      </c>
      <c r="E50" s="60"/>
      <c r="F50" s="17">
        <f t="shared" si="1"/>
        <v>0</v>
      </c>
      <c r="G50" s="17"/>
      <c r="H50" s="60"/>
      <c r="I50" s="17">
        <f t="shared" si="14"/>
        <v>0</v>
      </c>
      <c r="J50" s="17"/>
      <c r="K50" s="57">
        <v>2.0</v>
      </c>
      <c r="L50" s="17">
        <f t="shared" si="3"/>
        <v>377.14</v>
      </c>
      <c r="M50" s="47">
        <v>377.14</v>
      </c>
      <c r="N50" s="28"/>
      <c r="O50" s="17">
        <f t="shared" si="12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/>
      <c r="X50" s="17">
        <f t="shared" si="7"/>
        <v>0</v>
      </c>
      <c r="Y50" s="17"/>
      <c r="Z50" s="63"/>
      <c r="AA50" s="17">
        <f t="shared" si="8"/>
        <v>0</v>
      </c>
      <c r="AB50" s="17"/>
      <c r="AC50" s="48">
        <v>0.0</v>
      </c>
      <c r="AD50" s="50">
        <v>45424.0</v>
      </c>
      <c r="AE50" s="23"/>
    </row>
    <row r="51" ht="15.75" customHeight="1">
      <c r="A51" s="58" t="s">
        <v>71</v>
      </c>
      <c r="B51" s="58" t="s">
        <v>190</v>
      </c>
      <c r="C51" s="62">
        <v>45402.0</v>
      </c>
      <c r="D51" s="62">
        <v>45411.0</v>
      </c>
      <c r="E51" s="60"/>
      <c r="F51" s="17">
        <f t="shared" si="1"/>
        <v>0</v>
      </c>
      <c r="G51" s="17"/>
      <c r="H51" s="60">
        <v>10.0</v>
      </c>
      <c r="I51" s="17">
        <f t="shared" si="14"/>
        <v>3167.7</v>
      </c>
      <c r="J51" s="102">
        <v>3167.7</v>
      </c>
      <c r="K51" s="57"/>
      <c r="L51" s="17">
        <f t="shared" si="3"/>
        <v>0</v>
      </c>
      <c r="M51" s="17"/>
      <c r="N51" s="28"/>
      <c r="O51" s="17">
        <f t="shared" si="12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/>
      <c r="X51" s="17">
        <f t="shared" si="7"/>
        <v>0</v>
      </c>
      <c r="Y51" s="17"/>
      <c r="Z51" s="63"/>
      <c r="AA51" s="17">
        <f t="shared" si="8"/>
        <v>0</v>
      </c>
      <c r="AB51" s="17"/>
      <c r="AC51" s="48">
        <v>0.0</v>
      </c>
      <c r="AD51" s="50">
        <v>45424.0</v>
      </c>
      <c r="AE51" s="23"/>
    </row>
    <row r="52" ht="15.75" customHeight="1">
      <c r="A52" s="58" t="s">
        <v>181</v>
      </c>
      <c r="B52" s="58" t="s">
        <v>182</v>
      </c>
      <c r="C52" s="62">
        <v>45418.0</v>
      </c>
      <c r="D52" s="62">
        <v>45421.0</v>
      </c>
      <c r="E52" s="60"/>
      <c r="F52" s="17">
        <f t="shared" si="1"/>
        <v>0</v>
      </c>
      <c r="G52" s="17"/>
      <c r="H52" s="60"/>
      <c r="I52" s="17">
        <f t="shared" si="14"/>
        <v>0</v>
      </c>
      <c r="J52" s="17"/>
      <c r="K52" s="57">
        <v>4.0</v>
      </c>
      <c r="L52" s="17">
        <f t="shared" si="3"/>
        <v>754.28</v>
      </c>
      <c r="M52" s="47">
        <v>754.28</v>
      </c>
      <c r="N52" s="28"/>
      <c r="O52" s="17">
        <f t="shared" si="12"/>
        <v>0</v>
      </c>
      <c r="P52" s="17"/>
      <c r="Q52" s="28"/>
      <c r="R52" s="97">
        <f t="shared" si="5"/>
        <v>0</v>
      </c>
      <c r="S52" s="17"/>
      <c r="T52" s="28"/>
      <c r="U52" s="17">
        <f t="shared" si="6"/>
        <v>0</v>
      </c>
      <c r="V52" s="17"/>
      <c r="W52" s="60">
        <v>10.0</v>
      </c>
      <c r="X52" s="17">
        <f t="shared" si="7"/>
        <v>182.2</v>
      </c>
      <c r="Y52" s="47">
        <v>182.2</v>
      </c>
      <c r="Z52" s="63"/>
      <c r="AA52" s="17">
        <f t="shared" si="8"/>
        <v>0</v>
      </c>
      <c r="AB52" s="17"/>
      <c r="AC52" s="48">
        <v>0.0</v>
      </c>
      <c r="AD52" s="50">
        <v>45424.0</v>
      </c>
      <c r="AE52" s="23"/>
    </row>
    <row r="53" ht="15.75" customHeight="1">
      <c r="A53" s="58" t="s">
        <v>122</v>
      </c>
      <c r="B53" s="58" t="s">
        <v>240</v>
      </c>
      <c r="C53" s="62">
        <v>45415.0</v>
      </c>
      <c r="D53" s="62">
        <v>45418.0</v>
      </c>
      <c r="E53" s="60"/>
      <c r="F53" s="17">
        <f t="shared" si="1"/>
        <v>0</v>
      </c>
      <c r="G53" s="17"/>
      <c r="H53" s="60"/>
      <c r="I53" s="17">
        <f t="shared" si="14"/>
        <v>0</v>
      </c>
      <c r="J53" s="17"/>
      <c r="K53" s="57">
        <v>3.0</v>
      </c>
      <c r="L53" s="17">
        <f t="shared" si="3"/>
        <v>565.71</v>
      </c>
      <c r="M53" s="17"/>
      <c r="N53" s="28"/>
      <c r="O53" s="17">
        <f t="shared" si="12"/>
        <v>0</v>
      </c>
      <c r="P53" s="17"/>
      <c r="Q53" s="28"/>
      <c r="R53" s="97">
        <f t="shared" si="5"/>
        <v>0</v>
      </c>
      <c r="S53" s="17"/>
      <c r="T53" s="28"/>
      <c r="U53" s="17">
        <f t="shared" si="6"/>
        <v>0</v>
      </c>
      <c r="V53" s="17"/>
      <c r="W53" s="60">
        <v>13.0</v>
      </c>
      <c r="X53" s="17">
        <f t="shared" si="7"/>
        <v>236.86</v>
      </c>
      <c r="Y53" s="17"/>
      <c r="Z53" s="63"/>
      <c r="AA53" s="17">
        <f t="shared" si="8"/>
        <v>0</v>
      </c>
      <c r="AB53" s="17"/>
      <c r="AC53" s="21">
        <f>SUM(F53+I53+L53+O53+R53)</f>
        <v>565.71</v>
      </c>
      <c r="AD53" s="26"/>
      <c r="AE53" s="23"/>
    </row>
    <row r="54" ht="15.75" customHeight="1">
      <c r="A54" s="40" t="s">
        <v>81</v>
      </c>
      <c r="B54" s="41"/>
      <c r="C54" s="41"/>
      <c r="D54" s="41"/>
      <c r="E54" s="42"/>
      <c r="F54" s="43">
        <f>SUM(F32:F53)</f>
        <v>0</v>
      </c>
      <c r="G54" s="43">
        <f>SUM(G4:G44)</f>
        <v>0</v>
      </c>
      <c r="H54" s="42"/>
      <c r="I54" s="43">
        <f>SUM(I4:I53)</f>
        <v>6018.63</v>
      </c>
      <c r="J54" s="43">
        <f>SUM(J4:J44)</f>
        <v>2606.97</v>
      </c>
      <c r="K54" s="42"/>
      <c r="L54" s="43">
        <f t="shared" ref="L54:M54" si="16">SUM(L4:L44)</f>
        <v>18668.43</v>
      </c>
      <c r="M54" s="43">
        <f t="shared" si="16"/>
        <v>12445.62</v>
      </c>
      <c r="N54" s="42"/>
      <c r="O54" s="43">
        <f t="shared" ref="O54:P54" si="17">SUM(O4:O44)</f>
        <v>706.2</v>
      </c>
      <c r="P54" s="43">
        <f t="shared" si="17"/>
        <v>705.2</v>
      </c>
      <c r="Q54" s="42"/>
      <c r="R54" s="43">
        <f t="shared" ref="R54:S54" si="18">SUM(R4:R44)</f>
        <v>0</v>
      </c>
      <c r="S54" s="43">
        <f t="shared" si="18"/>
        <v>0</v>
      </c>
      <c r="T54" s="42"/>
      <c r="U54" s="43">
        <f t="shared" ref="U54:V54" si="19">SUM(U4:U44)</f>
        <v>446.16</v>
      </c>
      <c r="V54" s="43">
        <f t="shared" si="19"/>
        <v>202.8</v>
      </c>
      <c r="W54" s="42"/>
      <c r="X54" s="43">
        <f t="shared" ref="X54:Y54" si="20">SUM(X4:X44)</f>
        <v>1020.32</v>
      </c>
      <c r="Y54" s="43">
        <f t="shared" si="20"/>
        <v>255.08</v>
      </c>
      <c r="Z54" s="42"/>
      <c r="AA54" s="43">
        <f t="shared" ref="AA54:AC54" si="21">SUM(AA4:AA44)</f>
        <v>0</v>
      </c>
      <c r="AB54" s="43">
        <f t="shared" si="21"/>
        <v>0</v>
      </c>
      <c r="AC54" s="43">
        <f t="shared" si="21"/>
        <v>3017.12</v>
      </c>
      <c r="AD54" s="41"/>
      <c r="AE54" s="44"/>
    </row>
    <row r="55" ht="15.75" customHeight="1">
      <c r="E55" s="1"/>
      <c r="H55" s="1"/>
      <c r="K55" s="1"/>
      <c r="N55" s="1"/>
      <c r="Q55" s="1"/>
      <c r="T55" s="1"/>
      <c r="W55" s="1"/>
      <c r="Z55" s="1"/>
      <c r="AC55" s="3"/>
    </row>
    <row r="56" ht="15.75" customHeight="1">
      <c r="E56" s="1"/>
      <c r="H56" s="1"/>
      <c r="K56" s="1"/>
      <c r="M56" s="75" t="s">
        <v>166</v>
      </c>
      <c r="N56" s="1"/>
      <c r="Q56" s="1"/>
      <c r="T56" s="1"/>
      <c r="W56" s="1"/>
      <c r="Z56" s="1"/>
      <c r="AC56" s="3"/>
    </row>
    <row r="57" ht="15.75" customHeight="1">
      <c r="E57" s="1"/>
      <c r="H57" s="1"/>
      <c r="K57" s="1"/>
      <c r="N57" s="1"/>
      <c r="Q57" s="1"/>
      <c r="T57" s="1"/>
      <c r="W57" s="1"/>
      <c r="Z57" s="1"/>
      <c r="AC57" s="3"/>
    </row>
    <row r="58" ht="15.75" customHeight="1">
      <c r="E58" s="1"/>
      <c r="H58" s="1"/>
      <c r="K58" s="1"/>
      <c r="N58" s="1"/>
      <c r="Q58" s="1"/>
      <c r="T58" s="1"/>
      <c r="W58" s="1"/>
      <c r="Z58" s="1"/>
      <c r="AC58" s="3"/>
    </row>
    <row r="59" ht="15.75" customHeight="1">
      <c r="E59" s="1"/>
      <c r="H59" s="1"/>
      <c r="K59" s="1"/>
      <c r="N59" s="1"/>
      <c r="Q59" s="1"/>
      <c r="T59" s="1"/>
      <c r="W59" s="1"/>
      <c r="Z59" s="1"/>
      <c r="AC59" s="3"/>
    </row>
    <row r="60" ht="15.75" customHeight="1">
      <c r="E60" s="1"/>
      <c r="H60" s="1"/>
      <c r="K60" s="1"/>
      <c r="N60" s="1"/>
      <c r="Q60" s="1"/>
      <c r="T60" s="1"/>
      <c r="W60" s="1"/>
      <c r="Z60" s="1"/>
      <c r="AC60" s="3"/>
    </row>
    <row r="61" ht="15.75" customHeight="1">
      <c r="E61" s="1"/>
      <c r="H61" s="1"/>
      <c r="K61" s="1"/>
      <c r="N61" s="1"/>
      <c r="Q61" s="1"/>
      <c r="T61" s="1"/>
      <c r="W61" s="1"/>
      <c r="Z61" s="1"/>
      <c r="AC61" s="3"/>
    </row>
    <row r="62" ht="15.75" customHeight="1">
      <c r="E62" s="1"/>
      <c r="H62" s="1"/>
      <c r="K62" s="1"/>
      <c r="N62" s="1"/>
      <c r="Q62" s="1"/>
      <c r="T62" s="1"/>
      <c r="W62" s="1"/>
      <c r="Z62" s="1"/>
      <c r="AC62" s="3"/>
    </row>
    <row r="63" ht="15.75" customHeight="1">
      <c r="E63" s="1"/>
      <c r="H63" s="1"/>
      <c r="K63" s="1"/>
      <c r="N63" s="1"/>
      <c r="Q63" s="1"/>
      <c r="T63" s="1"/>
      <c r="W63" s="1"/>
      <c r="Z63" s="1"/>
      <c r="AC63" s="3"/>
    </row>
    <row r="64" ht="15.75" customHeight="1">
      <c r="E64" s="1"/>
      <c r="H64" s="1"/>
      <c r="K64" s="1"/>
      <c r="N64" s="1"/>
      <c r="Q64" s="1"/>
      <c r="T64" s="1"/>
      <c r="W64" s="1"/>
      <c r="Z64" s="1"/>
      <c r="AC64" s="3"/>
    </row>
    <row r="65" ht="15.75" customHeight="1">
      <c r="E65" s="1"/>
      <c r="H65" s="1"/>
      <c r="K65" s="1"/>
      <c r="N65" s="1"/>
      <c r="Q65" s="1"/>
      <c r="T65" s="1"/>
      <c r="W65" s="1"/>
      <c r="Z65" s="1"/>
      <c r="AC65" s="3"/>
    </row>
    <row r="66" ht="15.75" customHeight="1">
      <c r="E66" s="1"/>
      <c r="H66" s="1"/>
      <c r="K66" s="1"/>
      <c r="N66" s="1"/>
      <c r="Q66" s="1"/>
      <c r="T66" s="1"/>
      <c r="W66" s="1"/>
      <c r="Z66" s="1"/>
      <c r="AC66" s="3"/>
    </row>
    <row r="67" ht="15.75" customHeight="1">
      <c r="E67" s="1"/>
      <c r="H67" s="1"/>
      <c r="K67" s="1"/>
      <c r="N67" s="1"/>
      <c r="Q67" s="1"/>
      <c r="T67" s="1"/>
      <c r="W67" s="1"/>
      <c r="Z67" s="1"/>
      <c r="AC67" s="3"/>
    </row>
    <row r="68" ht="15.75" customHeight="1">
      <c r="E68" s="1"/>
      <c r="H68" s="1"/>
      <c r="K68" s="1"/>
      <c r="N68" s="1"/>
      <c r="Q68" s="1"/>
      <c r="T68" s="1"/>
      <c r="W68" s="1"/>
      <c r="Z68" s="1"/>
      <c r="AC68" s="3"/>
    </row>
    <row r="69" ht="15.75" customHeight="1">
      <c r="E69" s="1"/>
      <c r="H69" s="1"/>
      <c r="K69" s="1"/>
      <c r="N69" s="1"/>
      <c r="Q69" s="1"/>
      <c r="T69" s="1"/>
      <c r="W69" s="1"/>
      <c r="Z69" s="1"/>
      <c r="AC69" s="3"/>
    </row>
    <row r="70" ht="15.75" customHeight="1">
      <c r="E70" s="1"/>
      <c r="H70" s="1"/>
      <c r="K70" s="1"/>
      <c r="N70" s="1"/>
      <c r="Q70" s="1"/>
      <c r="T70" s="1"/>
      <c r="W70" s="1"/>
      <c r="Z70" s="1"/>
      <c r="AC70" s="3"/>
    </row>
    <row r="71" ht="15.75" customHeight="1">
      <c r="E71" s="1"/>
      <c r="H71" s="1"/>
      <c r="K71" s="1"/>
      <c r="N71" s="1"/>
      <c r="Q71" s="1"/>
      <c r="T71" s="1"/>
      <c r="W71" s="1"/>
      <c r="Z71" s="1"/>
      <c r="AC71" s="3"/>
    </row>
    <row r="72" ht="15.75" customHeight="1">
      <c r="E72" s="1"/>
      <c r="H72" s="1"/>
      <c r="K72" s="1"/>
      <c r="N72" s="1"/>
      <c r="Q72" s="1"/>
      <c r="T72" s="1"/>
      <c r="W72" s="1"/>
      <c r="Z72" s="1"/>
      <c r="AC72" s="3"/>
    </row>
    <row r="73" ht="15.75" customHeight="1">
      <c r="E73" s="1"/>
      <c r="H73" s="1"/>
      <c r="K73" s="1"/>
      <c r="N73" s="1"/>
      <c r="Q73" s="1"/>
      <c r="T73" s="1"/>
      <c r="W73" s="1"/>
      <c r="Z73" s="1"/>
      <c r="AC73" s="3"/>
    </row>
    <row r="74" ht="15.75" customHeight="1">
      <c r="E74" s="1"/>
      <c r="H74" s="1"/>
      <c r="K74" s="1"/>
      <c r="N74" s="1"/>
      <c r="Q74" s="1"/>
      <c r="T74" s="1"/>
      <c r="W74" s="1"/>
      <c r="Z74" s="1"/>
      <c r="AC74" s="3"/>
    </row>
    <row r="75" ht="15.75" customHeight="1">
      <c r="E75" s="1"/>
      <c r="H75" s="1"/>
      <c r="K75" s="1"/>
      <c r="N75" s="1"/>
      <c r="Q75" s="1"/>
      <c r="T75" s="1"/>
      <c r="W75" s="1"/>
      <c r="Z75" s="1"/>
      <c r="AC75" s="3"/>
    </row>
    <row r="76" ht="15.75" customHeight="1">
      <c r="E76" s="1"/>
      <c r="H76" s="1"/>
      <c r="K76" s="1"/>
      <c r="N76" s="1"/>
      <c r="Q76" s="1"/>
      <c r="T76" s="1"/>
      <c r="W76" s="1"/>
      <c r="Z76" s="1"/>
      <c r="AC76" s="3"/>
    </row>
    <row r="77" ht="15.75" customHeight="1">
      <c r="E77" s="1"/>
      <c r="H77" s="1"/>
      <c r="K77" s="1"/>
      <c r="N77" s="1"/>
      <c r="Q77" s="1"/>
      <c r="T77" s="1"/>
      <c r="W77" s="1"/>
      <c r="Z77" s="1"/>
      <c r="AC77" s="3"/>
    </row>
    <row r="78" ht="15.75" customHeight="1">
      <c r="E78" s="1"/>
      <c r="H78" s="1"/>
      <c r="K78" s="1"/>
      <c r="N78" s="1"/>
      <c r="Q78" s="1"/>
      <c r="T78" s="1"/>
      <c r="W78" s="1"/>
      <c r="Z78" s="1"/>
      <c r="AC78" s="3"/>
    </row>
    <row r="79" ht="15.75" customHeight="1">
      <c r="E79" s="1"/>
      <c r="H79" s="1"/>
      <c r="K79" s="1"/>
      <c r="N79" s="1"/>
      <c r="Q79" s="1"/>
      <c r="T79" s="1"/>
      <c r="W79" s="1"/>
      <c r="Z79" s="1"/>
      <c r="AC79" s="3"/>
    </row>
    <row r="80" ht="15.75" customHeight="1">
      <c r="E80" s="1"/>
      <c r="H80" s="1"/>
      <c r="K80" s="1"/>
      <c r="N80" s="1"/>
      <c r="Q80" s="1"/>
      <c r="T80" s="1"/>
      <c r="W80" s="1"/>
      <c r="Z80" s="1"/>
      <c r="AC80" s="3"/>
    </row>
    <row r="81" ht="15.75" customHeight="1">
      <c r="E81" s="1"/>
      <c r="H81" s="1"/>
      <c r="K81" s="1"/>
      <c r="N81" s="1"/>
      <c r="Q81" s="1"/>
      <c r="T81" s="1"/>
      <c r="W81" s="1"/>
      <c r="Z81" s="1"/>
      <c r="AC81" s="3"/>
    </row>
    <row r="82" ht="15.75" customHeight="1">
      <c r="E82" s="1"/>
      <c r="H82" s="1"/>
      <c r="K82" s="1"/>
      <c r="N82" s="1"/>
      <c r="Q82" s="1"/>
      <c r="T82" s="1"/>
      <c r="W82" s="1"/>
      <c r="Z82" s="1"/>
      <c r="AC82" s="3"/>
    </row>
    <row r="83" ht="15.75" customHeight="1">
      <c r="E83" s="1"/>
      <c r="H83" s="1"/>
      <c r="K83" s="1"/>
      <c r="N83" s="1"/>
      <c r="Q83" s="1"/>
      <c r="T83" s="1"/>
      <c r="W83" s="1"/>
      <c r="Z83" s="1"/>
      <c r="AC83" s="3"/>
    </row>
    <row r="84" ht="15.75" customHeight="1">
      <c r="E84" s="1"/>
      <c r="H84" s="1"/>
      <c r="K84" s="1"/>
      <c r="N84" s="1"/>
      <c r="Q84" s="1"/>
      <c r="T84" s="1"/>
      <c r="W84" s="1"/>
      <c r="Z84" s="1"/>
      <c r="AC84" s="3"/>
    </row>
    <row r="85" ht="15.75" customHeight="1">
      <c r="E85" s="1"/>
      <c r="H85" s="1"/>
      <c r="K85" s="1"/>
      <c r="N85" s="1"/>
      <c r="Q85" s="1"/>
      <c r="T85" s="1"/>
      <c r="W85" s="1"/>
      <c r="Z85" s="1"/>
      <c r="AC85" s="3"/>
    </row>
    <row r="86" ht="15.75" customHeight="1">
      <c r="E86" s="1"/>
      <c r="H86" s="1"/>
      <c r="K86" s="1"/>
      <c r="N86" s="1"/>
      <c r="Q86" s="1"/>
      <c r="T86" s="1"/>
      <c r="W86" s="1"/>
      <c r="Z86" s="1"/>
      <c r="AC86" s="3"/>
    </row>
    <row r="87" ht="15.75" customHeight="1">
      <c r="E87" s="1"/>
      <c r="H87" s="1"/>
      <c r="K87" s="1"/>
      <c r="N87" s="1"/>
      <c r="Q87" s="1"/>
      <c r="T87" s="1"/>
      <c r="W87" s="1"/>
      <c r="Z87" s="1"/>
      <c r="AC87" s="3"/>
    </row>
    <row r="88" ht="15.75" customHeight="1">
      <c r="E88" s="1"/>
      <c r="H88" s="1"/>
      <c r="K88" s="1"/>
      <c r="N88" s="1"/>
      <c r="Q88" s="1"/>
      <c r="T88" s="1"/>
      <c r="W88" s="1"/>
      <c r="Z88" s="1"/>
      <c r="AC88" s="3"/>
    </row>
    <row r="89" ht="15.75" customHeight="1">
      <c r="E89" s="1"/>
      <c r="H89" s="1"/>
      <c r="K89" s="1"/>
      <c r="N89" s="1"/>
      <c r="Q89" s="1"/>
      <c r="T89" s="1"/>
      <c r="W89" s="1"/>
      <c r="Z89" s="1"/>
      <c r="AC89" s="3"/>
    </row>
    <row r="90" ht="15.75" customHeight="1">
      <c r="E90" s="1"/>
      <c r="H90" s="1"/>
      <c r="K90" s="1"/>
      <c r="N90" s="1"/>
      <c r="Q90" s="1"/>
      <c r="T90" s="1"/>
      <c r="W90" s="1"/>
      <c r="Z90" s="1"/>
      <c r="AC90" s="3"/>
    </row>
    <row r="91" ht="15.75" customHeight="1">
      <c r="E91" s="1"/>
      <c r="H91" s="1"/>
      <c r="K91" s="1"/>
      <c r="N91" s="1"/>
      <c r="Q91" s="1"/>
      <c r="T91" s="1"/>
      <c r="W91" s="1"/>
      <c r="Z91" s="1"/>
      <c r="AC91" s="3"/>
    </row>
    <row r="92" ht="15.75" customHeight="1">
      <c r="E92" s="1"/>
      <c r="H92" s="1"/>
      <c r="K92" s="1"/>
      <c r="N92" s="1"/>
      <c r="Q92" s="1"/>
      <c r="T92" s="1"/>
      <c r="W92" s="1"/>
      <c r="Z92" s="1"/>
      <c r="AC92" s="3"/>
    </row>
    <row r="93" ht="15.75" customHeight="1">
      <c r="E93" s="1"/>
      <c r="H93" s="1"/>
      <c r="K93" s="1"/>
      <c r="N93" s="1"/>
      <c r="Q93" s="1"/>
      <c r="T93" s="1"/>
      <c r="W93" s="1"/>
      <c r="Z93" s="1"/>
      <c r="AC93" s="3"/>
    </row>
    <row r="94" ht="15.75" customHeight="1">
      <c r="E94" s="1"/>
      <c r="H94" s="1"/>
      <c r="K94" s="1"/>
      <c r="N94" s="1"/>
      <c r="Q94" s="1"/>
      <c r="T94" s="1"/>
      <c r="W94" s="1"/>
      <c r="Z94" s="1"/>
      <c r="AC94" s="3"/>
    </row>
    <row r="95" ht="15.75" customHeight="1">
      <c r="E95" s="1"/>
      <c r="H95" s="1"/>
      <c r="K95" s="1"/>
      <c r="N95" s="1"/>
      <c r="Q95" s="1"/>
      <c r="T95" s="1"/>
      <c r="W95" s="1"/>
      <c r="Z95" s="1"/>
      <c r="AC95" s="3"/>
    </row>
    <row r="96" ht="15.75" customHeight="1">
      <c r="E96" s="1"/>
      <c r="H96" s="1"/>
      <c r="K96" s="1"/>
      <c r="N96" s="1"/>
      <c r="Q96" s="1"/>
      <c r="T96" s="1"/>
      <c r="W96" s="1"/>
      <c r="Z96" s="1"/>
      <c r="AC96" s="3"/>
    </row>
    <row r="97" ht="15.75" customHeight="1">
      <c r="E97" s="1"/>
      <c r="H97" s="1"/>
      <c r="K97" s="1"/>
      <c r="N97" s="1"/>
      <c r="Q97" s="1"/>
      <c r="T97" s="1"/>
      <c r="W97" s="1"/>
      <c r="Z97" s="1"/>
      <c r="AC97" s="3"/>
    </row>
    <row r="98" ht="15.75" customHeight="1">
      <c r="E98" s="1"/>
      <c r="H98" s="1"/>
      <c r="K98" s="1"/>
      <c r="N98" s="1"/>
      <c r="Q98" s="1"/>
      <c r="T98" s="1"/>
      <c r="W98" s="1"/>
      <c r="Z98" s="1"/>
      <c r="AC98" s="3"/>
    </row>
    <row r="99" ht="15.75" customHeight="1">
      <c r="E99" s="1"/>
      <c r="H99" s="1"/>
      <c r="K99" s="1"/>
      <c r="N99" s="1"/>
      <c r="Q99" s="1"/>
      <c r="T99" s="1"/>
      <c r="W99" s="1"/>
      <c r="Z99" s="1"/>
      <c r="AC99" s="3"/>
    </row>
    <row r="100" ht="15.75" customHeight="1">
      <c r="E100" s="1"/>
      <c r="H100" s="1"/>
      <c r="K100" s="1"/>
      <c r="N100" s="1"/>
      <c r="Q100" s="1"/>
      <c r="T100" s="1"/>
      <c r="W100" s="1"/>
      <c r="Z100" s="1"/>
      <c r="AC100" s="3"/>
    </row>
    <row r="101" ht="15.75" customHeight="1">
      <c r="E101" s="1"/>
      <c r="H101" s="1"/>
      <c r="K101" s="1"/>
      <c r="N101" s="1"/>
      <c r="Q101" s="1"/>
      <c r="T101" s="1"/>
      <c r="W101" s="1"/>
      <c r="Z101" s="1"/>
      <c r="AC101" s="3"/>
    </row>
    <row r="102" ht="15.75" customHeight="1">
      <c r="E102" s="1"/>
      <c r="H102" s="1"/>
      <c r="K102" s="1"/>
      <c r="N102" s="1"/>
      <c r="Q102" s="1"/>
      <c r="T102" s="1"/>
      <c r="W102" s="1"/>
      <c r="Z102" s="1"/>
      <c r="AC102" s="3"/>
    </row>
    <row r="103" ht="15.75" customHeight="1">
      <c r="E103" s="1"/>
      <c r="H103" s="1"/>
      <c r="K103" s="1"/>
      <c r="N103" s="1"/>
      <c r="Q103" s="1"/>
      <c r="T103" s="1"/>
      <c r="W103" s="1"/>
      <c r="Z103" s="1"/>
      <c r="AC103" s="3"/>
    </row>
    <row r="104" ht="15.75" customHeight="1">
      <c r="E104" s="1"/>
      <c r="H104" s="1"/>
      <c r="K104" s="1"/>
      <c r="N104" s="1"/>
      <c r="Q104" s="1"/>
      <c r="T104" s="1"/>
      <c r="W104" s="1"/>
      <c r="Z104" s="1"/>
      <c r="AC104" s="3"/>
    </row>
    <row r="105" ht="15.75" customHeight="1">
      <c r="E105" s="1"/>
      <c r="H105" s="1"/>
      <c r="K105" s="1"/>
      <c r="N105" s="1"/>
      <c r="Q105" s="1"/>
      <c r="T105" s="1"/>
      <c r="W105" s="1"/>
      <c r="Z105" s="1"/>
      <c r="AC105" s="3"/>
    </row>
    <row r="106" ht="15.75" customHeight="1">
      <c r="E106" s="1"/>
      <c r="H106" s="1"/>
      <c r="K106" s="1"/>
      <c r="N106" s="1"/>
      <c r="Q106" s="1"/>
      <c r="T106" s="1"/>
      <c r="W106" s="1"/>
      <c r="Z106" s="1"/>
      <c r="AC106" s="3"/>
    </row>
    <row r="107" ht="15.75" customHeight="1">
      <c r="E107" s="1"/>
      <c r="H107" s="1"/>
      <c r="K107" s="1"/>
      <c r="N107" s="1"/>
      <c r="Q107" s="1"/>
      <c r="T107" s="1"/>
      <c r="W107" s="1"/>
      <c r="Z107" s="1"/>
      <c r="AC107" s="3"/>
    </row>
    <row r="108" ht="15.75" customHeight="1">
      <c r="E108" s="1"/>
      <c r="H108" s="1"/>
      <c r="K108" s="1"/>
      <c r="N108" s="1"/>
      <c r="Q108" s="1"/>
      <c r="T108" s="1"/>
      <c r="W108" s="1"/>
      <c r="Z108" s="1"/>
      <c r="AC108" s="3"/>
    </row>
    <row r="109" ht="15.75" customHeight="1">
      <c r="E109" s="1"/>
      <c r="H109" s="1"/>
      <c r="K109" s="1"/>
      <c r="N109" s="1"/>
      <c r="Q109" s="1"/>
      <c r="T109" s="1"/>
      <c r="W109" s="1"/>
      <c r="Z109" s="1"/>
      <c r="AC109" s="3"/>
    </row>
    <row r="110" ht="15.75" customHeight="1">
      <c r="E110" s="1"/>
      <c r="H110" s="1"/>
      <c r="K110" s="1"/>
      <c r="N110" s="1"/>
      <c r="Q110" s="1"/>
      <c r="T110" s="1"/>
      <c r="W110" s="1"/>
      <c r="Z110" s="1"/>
      <c r="AC110" s="3"/>
    </row>
    <row r="111" ht="15.75" customHeight="1">
      <c r="E111" s="1"/>
      <c r="H111" s="1"/>
      <c r="K111" s="1"/>
      <c r="N111" s="1"/>
      <c r="Q111" s="1"/>
      <c r="T111" s="1"/>
      <c r="W111" s="1"/>
      <c r="Z111" s="1"/>
      <c r="AC111" s="3"/>
    </row>
    <row r="112" ht="15.75" customHeight="1">
      <c r="E112" s="1"/>
      <c r="H112" s="1"/>
      <c r="K112" s="1"/>
      <c r="N112" s="1"/>
      <c r="Q112" s="1"/>
      <c r="T112" s="1"/>
      <c r="W112" s="1"/>
      <c r="Z112" s="1"/>
      <c r="AC112" s="3"/>
    </row>
    <row r="113" ht="15.75" customHeight="1">
      <c r="E113" s="1"/>
      <c r="H113" s="1"/>
      <c r="K113" s="1"/>
      <c r="N113" s="1"/>
      <c r="Q113" s="1"/>
      <c r="T113" s="1"/>
      <c r="W113" s="1"/>
      <c r="Z113" s="1"/>
      <c r="AC113" s="3"/>
    </row>
    <row r="114" ht="15.75" customHeight="1">
      <c r="E114" s="1"/>
      <c r="H114" s="1"/>
      <c r="K114" s="1"/>
      <c r="N114" s="1"/>
      <c r="Q114" s="1"/>
      <c r="T114" s="1"/>
      <c r="W114" s="1"/>
      <c r="Z114" s="1"/>
      <c r="AC114" s="3"/>
    </row>
    <row r="115" ht="15.75" customHeight="1">
      <c r="E115" s="1"/>
      <c r="H115" s="1"/>
      <c r="K115" s="1"/>
      <c r="N115" s="1"/>
      <c r="Q115" s="1"/>
      <c r="T115" s="1"/>
      <c r="W115" s="1"/>
      <c r="Z115" s="1"/>
      <c r="AC115" s="3"/>
    </row>
    <row r="116" ht="15.75" customHeight="1">
      <c r="E116" s="1"/>
      <c r="H116" s="1"/>
      <c r="K116" s="1"/>
      <c r="N116" s="1"/>
      <c r="Q116" s="1"/>
      <c r="T116" s="1"/>
      <c r="W116" s="1"/>
      <c r="Z116" s="1"/>
      <c r="AC116" s="3"/>
    </row>
    <row r="117" ht="15.75" customHeight="1">
      <c r="E117" s="1"/>
      <c r="H117" s="1"/>
      <c r="K117" s="1"/>
      <c r="N117" s="1"/>
      <c r="Q117" s="1"/>
      <c r="T117" s="1"/>
      <c r="W117" s="1"/>
      <c r="Z117" s="1"/>
      <c r="AC117" s="3"/>
    </row>
    <row r="118" ht="15.75" customHeight="1">
      <c r="E118" s="1"/>
      <c r="H118" s="1"/>
      <c r="K118" s="1"/>
      <c r="N118" s="1"/>
      <c r="Q118" s="1"/>
      <c r="T118" s="1"/>
      <c r="W118" s="1"/>
      <c r="Z118" s="1"/>
      <c r="AC118" s="3"/>
    </row>
    <row r="119" ht="15.75" customHeight="1">
      <c r="E119" s="1"/>
      <c r="H119" s="1"/>
      <c r="K119" s="1"/>
      <c r="N119" s="1"/>
      <c r="Q119" s="1"/>
      <c r="T119" s="1"/>
      <c r="W119" s="1"/>
      <c r="Z119" s="1"/>
      <c r="AC119" s="3"/>
    </row>
    <row r="120" ht="15.75" customHeight="1">
      <c r="E120" s="1"/>
      <c r="H120" s="1"/>
      <c r="K120" s="1"/>
      <c r="N120" s="1"/>
      <c r="Q120" s="1"/>
      <c r="T120" s="1"/>
      <c r="W120" s="1"/>
      <c r="Z120" s="1"/>
      <c r="AC120" s="3"/>
    </row>
    <row r="121" ht="15.75" customHeight="1">
      <c r="E121" s="1"/>
      <c r="H121" s="1"/>
      <c r="K121" s="1"/>
      <c r="N121" s="1"/>
      <c r="Q121" s="1"/>
      <c r="T121" s="1"/>
      <c r="W121" s="1"/>
      <c r="Z121" s="1"/>
      <c r="AC121" s="3"/>
    </row>
    <row r="122" ht="15.75" customHeight="1">
      <c r="E122" s="1"/>
      <c r="H122" s="1"/>
      <c r="K122" s="1"/>
      <c r="N122" s="1"/>
      <c r="Q122" s="1"/>
      <c r="T122" s="1"/>
      <c r="W122" s="1"/>
      <c r="Z122" s="1"/>
      <c r="AC122" s="3"/>
    </row>
    <row r="123" ht="15.75" customHeight="1">
      <c r="E123" s="1"/>
      <c r="H123" s="1"/>
      <c r="K123" s="1"/>
      <c r="N123" s="1"/>
      <c r="Q123" s="1"/>
      <c r="T123" s="1"/>
      <c r="W123" s="1"/>
      <c r="Z123" s="1"/>
      <c r="AC123" s="3"/>
    </row>
    <row r="124" ht="15.75" customHeight="1">
      <c r="E124" s="1"/>
      <c r="H124" s="1"/>
      <c r="K124" s="1"/>
      <c r="N124" s="1"/>
      <c r="Q124" s="1"/>
      <c r="T124" s="1"/>
      <c r="W124" s="1"/>
      <c r="Z124" s="1"/>
      <c r="AC124" s="3"/>
    </row>
    <row r="125" ht="15.75" customHeight="1">
      <c r="E125" s="1"/>
      <c r="H125" s="1"/>
      <c r="K125" s="1"/>
      <c r="N125" s="1"/>
      <c r="Q125" s="1"/>
      <c r="T125" s="1"/>
      <c r="W125" s="1"/>
      <c r="Z125" s="1"/>
      <c r="AC125" s="3"/>
    </row>
    <row r="126" ht="15.75" customHeight="1">
      <c r="E126" s="1"/>
      <c r="H126" s="1"/>
      <c r="K126" s="1"/>
      <c r="N126" s="1"/>
      <c r="Q126" s="1"/>
      <c r="T126" s="1"/>
      <c r="W126" s="1"/>
      <c r="Z126" s="1"/>
      <c r="AC126" s="3"/>
    </row>
    <row r="127" ht="15.75" customHeight="1">
      <c r="E127" s="1"/>
      <c r="H127" s="1"/>
      <c r="K127" s="1"/>
      <c r="N127" s="1"/>
      <c r="Q127" s="1"/>
      <c r="T127" s="1"/>
      <c r="W127" s="1"/>
      <c r="Z127" s="1"/>
      <c r="AC127" s="3"/>
    </row>
    <row r="128" ht="15.75" customHeight="1">
      <c r="E128" s="1"/>
      <c r="H128" s="1"/>
      <c r="K128" s="1"/>
      <c r="N128" s="1"/>
      <c r="Q128" s="1"/>
      <c r="T128" s="1"/>
      <c r="W128" s="1"/>
      <c r="Z128" s="1"/>
      <c r="AC128" s="3"/>
    </row>
    <row r="129" ht="15.75" customHeight="1">
      <c r="E129" s="1"/>
      <c r="H129" s="1"/>
      <c r="K129" s="1"/>
      <c r="N129" s="1"/>
      <c r="Q129" s="1"/>
      <c r="T129" s="1"/>
      <c r="W129" s="1"/>
      <c r="Z129" s="1"/>
      <c r="AC129" s="3"/>
    </row>
    <row r="130" ht="15.75" customHeight="1">
      <c r="E130" s="1"/>
      <c r="H130" s="1"/>
      <c r="K130" s="1"/>
      <c r="N130" s="1"/>
      <c r="Q130" s="1"/>
      <c r="T130" s="1"/>
      <c r="W130" s="1"/>
      <c r="Z130" s="1"/>
      <c r="AC130" s="3"/>
    </row>
    <row r="131" ht="15.75" customHeight="1">
      <c r="E131" s="1"/>
      <c r="H131" s="1"/>
      <c r="K131" s="1"/>
      <c r="N131" s="1"/>
      <c r="Q131" s="1"/>
      <c r="T131" s="1"/>
      <c r="W131" s="1"/>
      <c r="Z131" s="1"/>
      <c r="AC131" s="3"/>
    </row>
    <row r="132" ht="15.75" customHeight="1">
      <c r="E132" s="1"/>
      <c r="H132" s="1"/>
      <c r="K132" s="1"/>
      <c r="N132" s="1"/>
      <c r="Q132" s="1"/>
      <c r="T132" s="1"/>
      <c r="W132" s="1"/>
      <c r="Z132" s="1"/>
      <c r="AC132" s="3"/>
    </row>
    <row r="133" ht="15.75" customHeight="1">
      <c r="E133" s="1"/>
      <c r="H133" s="1"/>
      <c r="K133" s="1"/>
      <c r="N133" s="1"/>
      <c r="Q133" s="1"/>
      <c r="T133" s="1"/>
      <c r="W133" s="1"/>
      <c r="Z133" s="1"/>
      <c r="AC133" s="3"/>
    </row>
    <row r="134" ht="15.75" customHeight="1">
      <c r="E134" s="1"/>
      <c r="H134" s="1"/>
      <c r="K134" s="1"/>
      <c r="N134" s="1"/>
      <c r="Q134" s="1"/>
      <c r="T134" s="1"/>
      <c r="W134" s="1"/>
      <c r="Z134" s="1"/>
      <c r="AC134" s="3"/>
    </row>
    <row r="135" ht="15.75" customHeight="1">
      <c r="E135" s="1"/>
      <c r="H135" s="1"/>
      <c r="K135" s="1"/>
      <c r="N135" s="1"/>
      <c r="Q135" s="1"/>
      <c r="T135" s="1"/>
      <c r="W135" s="1"/>
      <c r="Z135" s="1"/>
      <c r="AC135" s="3"/>
    </row>
    <row r="136" ht="15.75" customHeight="1">
      <c r="E136" s="1"/>
      <c r="H136" s="1"/>
      <c r="K136" s="1"/>
      <c r="N136" s="1"/>
      <c r="Q136" s="1"/>
      <c r="T136" s="1"/>
      <c r="W136" s="1"/>
      <c r="Z136" s="1"/>
      <c r="AC136" s="3"/>
    </row>
    <row r="137" ht="15.75" customHeight="1">
      <c r="E137" s="1"/>
      <c r="H137" s="1"/>
      <c r="K137" s="1"/>
      <c r="N137" s="1"/>
      <c r="Q137" s="1"/>
      <c r="T137" s="1"/>
      <c r="W137" s="1"/>
      <c r="Z137" s="1"/>
      <c r="AC137" s="3"/>
    </row>
    <row r="138" ht="15.75" customHeight="1">
      <c r="E138" s="1"/>
      <c r="H138" s="1"/>
      <c r="K138" s="1"/>
      <c r="N138" s="1"/>
      <c r="Q138" s="1"/>
      <c r="T138" s="1"/>
      <c r="W138" s="1"/>
      <c r="Z138" s="1"/>
      <c r="AC138" s="3"/>
    </row>
    <row r="139" ht="15.75" customHeight="1">
      <c r="E139" s="1"/>
      <c r="H139" s="1"/>
      <c r="K139" s="1"/>
      <c r="N139" s="1"/>
      <c r="Q139" s="1"/>
      <c r="T139" s="1"/>
      <c r="W139" s="1"/>
      <c r="Z139" s="1"/>
      <c r="AC139" s="3"/>
    </row>
    <row r="140" ht="15.75" customHeight="1">
      <c r="E140" s="1"/>
      <c r="H140" s="1"/>
      <c r="K140" s="1"/>
      <c r="N140" s="1"/>
      <c r="Q140" s="1"/>
      <c r="T140" s="1"/>
      <c r="W140" s="1"/>
      <c r="Z140" s="1"/>
      <c r="AC140" s="3"/>
    </row>
    <row r="141" ht="15.75" customHeight="1">
      <c r="E141" s="1"/>
      <c r="H141" s="1"/>
      <c r="K141" s="1"/>
      <c r="N141" s="1"/>
      <c r="Q141" s="1"/>
      <c r="T141" s="1"/>
      <c r="W141" s="1"/>
      <c r="Z141" s="1"/>
      <c r="AC141" s="3"/>
    </row>
    <row r="142" ht="15.75" customHeight="1">
      <c r="E142" s="1"/>
      <c r="H142" s="1"/>
      <c r="K142" s="1"/>
      <c r="N142" s="1"/>
      <c r="Q142" s="1"/>
      <c r="T142" s="1"/>
      <c r="W142" s="1"/>
      <c r="Z142" s="1"/>
      <c r="AC142" s="3"/>
    </row>
    <row r="143" ht="15.75" customHeight="1">
      <c r="E143" s="1"/>
      <c r="H143" s="1"/>
      <c r="K143" s="1"/>
      <c r="N143" s="1"/>
      <c r="Q143" s="1"/>
      <c r="T143" s="1"/>
      <c r="W143" s="1"/>
      <c r="Z143" s="1"/>
      <c r="AC143" s="3"/>
    </row>
    <row r="144" ht="15.75" customHeight="1">
      <c r="E144" s="1"/>
      <c r="H144" s="1"/>
      <c r="K144" s="1"/>
      <c r="N144" s="1"/>
      <c r="Q144" s="1"/>
      <c r="T144" s="1"/>
      <c r="W144" s="1"/>
      <c r="Z144" s="1"/>
      <c r="AC144" s="3"/>
    </row>
    <row r="145" ht="15.75" customHeight="1">
      <c r="E145" s="1"/>
      <c r="H145" s="1"/>
      <c r="K145" s="1"/>
      <c r="N145" s="1"/>
      <c r="Q145" s="1"/>
      <c r="T145" s="1"/>
      <c r="W145" s="1"/>
      <c r="Z145" s="1"/>
      <c r="AC145" s="3"/>
    </row>
    <row r="146" ht="15.75" customHeight="1">
      <c r="E146" s="1"/>
      <c r="H146" s="1"/>
      <c r="K146" s="1"/>
      <c r="N146" s="1"/>
      <c r="Q146" s="1"/>
      <c r="T146" s="1"/>
      <c r="W146" s="1"/>
      <c r="Z146" s="1"/>
      <c r="AC146" s="3"/>
    </row>
    <row r="147" ht="15.75" customHeight="1">
      <c r="E147" s="1"/>
      <c r="H147" s="1"/>
      <c r="K147" s="1"/>
      <c r="N147" s="1"/>
      <c r="Q147" s="1"/>
      <c r="T147" s="1"/>
      <c r="W147" s="1"/>
      <c r="Z147" s="1"/>
      <c r="AC147" s="3"/>
    </row>
    <row r="148" ht="15.75" customHeight="1">
      <c r="E148" s="1"/>
      <c r="H148" s="1"/>
      <c r="K148" s="1"/>
      <c r="N148" s="1"/>
      <c r="Q148" s="1"/>
      <c r="T148" s="1"/>
      <c r="W148" s="1"/>
      <c r="Z148" s="1"/>
      <c r="AC148" s="3"/>
    </row>
    <row r="149" ht="15.75" customHeight="1">
      <c r="E149" s="1"/>
      <c r="H149" s="1"/>
      <c r="K149" s="1"/>
      <c r="N149" s="1"/>
      <c r="Q149" s="1"/>
      <c r="T149" s="1"/>
      <c r="W149" s="1"/>
      <c r="Z149" s="1"/>
      <c r="AC149" s="3"/>
    </row>
    <row r="150" ht="15.75" customHeight="1">
      <c r="E150" s="1"/>
      <c r="H150" s="1"/>
      <c r="K150" s="1"/>
      <c r="N150" s="1"/>
      <c r="Q150" s="1"/>
      <c r="T150" s="1"/>
      <c r="W150" s="1"/>
      <c r="Z150" s="1"/>
      <c r="AC150" s="3"/>
    </row>
    <row r="151" ht="15.75" customHeight="1">
      <c r="E151" s="1"/>
      <c r="H151" s="1"/>
      <c r="K151" s="1"/>
      <c r="N151" s="1"/>
      <c r="Q151" s="1"/>
      <c r="T151" s="1"/>
      <c r="W151" s="1"/>
      <c r="Z151" s="1"/>
      <c r="AC151" s="3"/>
    </row>
    <row r="152" ht="15.75" customHeight="1">
      <c r="E152" s="1"/>
      <c r="H152" s="1"/>
      <c r="K152" s="1"/>
      <c r="N152" s="1"/>
      <c r="Q152" s="1"/>
      <c r="T152" s="1"/>
      <c r="W152" s="1"/>
      <c r="Z152" s="1"/>
      <c r="AC152" s="3"/>
    </row>
    <row r="153" ht="15.75" customHeight="1">
      <c r="E153" s="1"/>
      <c r="H153" s="1"/>
      <c r="K153" s="1"/>
      <c r="N153" s="1"/>
      <c r="Q153" s="1"/>
      <c r="T153" s="1"/>
      <c r="W153" s="1"/>
      <c r="Z153" s="1"/>
      <c r="AC153" s="3"/>
    </row>
    <row r="154" ht="15.75" customHeight="1">
      <c r="E154" s="1"/>
      <c r="H154" s="1"/>
      <c r="K154" s="1"/>
      <c r="N154" s="1"/>
      <c r="Q154" s="1"/>
      <c r="T154" s="1"/>
      <c r="W154" s="1"/>
      <c r="Z154" s="1"/>
      <c r="AC154" s="3"/>
    </row>
    <row r="155" ht="15.75" customHeight="1">
      <c r="E155" s="1"/>
      <c r="H155" s="1"/>
      <c r="K155" s="1"/>
      <c r="N155" s="1"/>
      <c r="Q155" s="1"/>
      <c r="T155" s="1"/>
      <c r="W155" s="1"/>
      <c r="Z155" s="1"/>
      <c r="AC155" s="3"/>
    </row>
    <row r="156" ht="15.75" customHeight="1">
      <c r="E156" s="1"/>
      <c r="H156" s="1"/>
      <c r="K156" s="1"/>
      <c r="N156" s="1"/>
      <c r="Q156" s="1"/>
      <c r="T156" s="1"/>
      <c r="W156" s="1"/>
      <c r="Z156" s="1"/>
      <c r="AC156" s="3"/>
    </row>
    <row r="157" ht="15.75" customHeight="1">
      <c r="E157" s="1"/>
      <c r="H157" s="1"/>
      <c r="K157" s="1"/>
      <c r="N157" s="1"/>
      <c r="Q157" s="1"/>
      <c r="T157" s="1"/>
      <c r="W157" s="1"/>
      <c r="Z157" s="1"/>
      <c r="AC157" s="3"/>
    </row>
    <row r="158" ht="15.75" customHeight="1">
      <c r="E158" s="1"/>
      <c r="H158" s="1"/>
      <c r="K158" s="1"/>
      <c r="N158" s="1"/>
      <c r="Q158" s="1"/>
      <c r="T158" s="1"/>
      <c r="W158" s="1"/>
      <c r="Z158" s="1"/>
      <c r="AC158" s="3"/>
    </row>
    <row r="159" ht="15.75" customHeight="1">
      <c r="E159" s="1"/>
      <c r="H159" s="1"/>
      <c r="K159" s="1"/>
      <c r="N159" s="1"/>
      <c r="Q159" s="1"/>
      <c r="T159" s="1"/>
      <c r="W159" s="1"/>
      <c r="Z159" s="1"/>
      <c r="AC159" s="3"/>
    </row>
    <row r="160" ht="15.75" customHeight="1">
      <c r="E160" s="1"/>
      <c r="H160" s="1"/>
      <c r="K160" s="1"/>
      <c r="N160" s="1"/>
      <c r="Q160" s="1"/>
      <c r="T160" s="1"/>
      <c r="W160" s="1"/>
      <c r="Z160" s="1"/>
      <c r="AC160" s="3"/>
    </row>
    <row r="161" ht="15.75" customHeight="1">
      <c r="E161" s="1"/>
      <c r="H161" s="1"/>
      <c r="K161" s="1"/>
      <c r="N161" s="1"/>
      <c r="Q161" s="1"/>
      <c r="T161" s="1"/>
      <c r="W161" s="1"/>
      <c r="Z161" s="1"/>
      <c r="AC161" s="3"/>
    </row>
    <row r="162" ht="15.75" customHeight="1">
      <c r="E162" s="1"/>
      <c r="H162" s="1"/>
      <c r="K162" s="1"/>
      <c r="N162" s="1"/>
      <c r="Q162" s="1"/>
      <c r="T162" s="1"/>
      <c r="W162" s="1"/>
      <c r="Z162" s="1"/>
      <c r="AC162" s="3"/>
    </row>
    <row r="163" ht="15.75" customHeight="1">
      <c r="E163" s="1"/>
      <c r="H163" s="1"/>
      <c r="K163" s="1"/>
      <c r="N163" s="1"/>
      <c r="Q163" s="1"/>
      <c r="T163" s="1"/>
      <c r="W163" s="1"/>
      <c r="Z163" s="1"/>
      <c r="AC163" s="3"/>
    </row>
    <row r="164" ht="15.75" customHeight="1">
      <c r="E164" s="1"/>
      <c r="H164" s="1"/>
      <c r="K164" s="1"/>
      <c r="N164" s="1"/>
      <c r="Q164" s="1"/>
      <c r="T164" s="1"/>
      <c r="W164" s="1"/>
      <c r="Z164" s="1"/>
      <c r="AC164" s="3"/>
    </row>
    <row r="165" ht="15.75" customHeight="1">
      <c r="E165" s="1"/>
      <c r="H165" s="1"/>
      <c r="K165" s="1"/>
      <c r="N165" s="1"/>
      <c r="Q165" s="1"/>
      <c r="T165" s="1"/>
      <c r="W165" s="1"/>
      <c r="Z165" s="1"/>
      <c r="AC165" s="3"/>
    </row>
    <row r="166" ht="15.75" customHeight="1">
      <c r="E166" s="1"/>
      <c r="H166" s="1"/>
      <c r="K166" s="1"/>
      <c r="N166" s="1"/>
      <c r="Q166" s="1"/>
      <c r="T166" s="1"/>
      <c r="W166" s="1"/>
      <c r="Z166" s="1"/>
      <c r="AC166" s="3"/>
    </row>
    <row r="167" ht="15.75" customHeight="1">
      <c r="E167" s="1"/>
      <c r="H167" s="1"/>
      <c r="K167" s="1"/>
      <c r="N167" s="1"/>
      <c r="Q167" s="1"/>
      <c r="T167" s="1"/>
      <c r="W167" s="1"/>
      <c r="Z167" s="1"/>
      <c r="AC167" s="3"/>
    </row>
    <row r="168" ht="15.75" customHeight="1">
      <c r="E168" s="1"/>
      <c r="H168" s="1"/>
      <c r="K168" s="1"/>
      <c r="N168" s="1"/>
      <c r="Q168" s="1"/>
      <c r="T168" s="1"/>
      <c r="W168" s="1"/>
      <c r="Z168" s="1"/>
      <c r="AC168" s="3"/>
    </row>
    <row r="169" ht="15.75" customHeight="1">
      <c r="E169" s="1"/>
      <c r="H169" s="1"/>
      <c r="K169" s="1"/>
      <c r="N169" s="1"/>
      <c r="Q169" s="1"/>
      <c r="T169" s="1"/>
      <c r="W169" s="1"/>
      <c r="Z169" s="1"/>
      <c r="AC169" s="3"/>
    </row>
    <row r="170" ht="15.75" customHeight="1">
      <c r="E170" s="1"/>
      <c r="H170" s="1"/>
      <c r="K170" s="1"/>
      <c r="N170" s="1"/>
      <c r="Q170" s="1"/>
      <c r="T170" s="1"/>
      <c r="W170" s="1"/>
      <c r="Z170" s="1"/>
      <c r="AC170" s="3"/>
    </row>
    <row r="171" ht="15.75" customHeight="1">
      <c r="E171" s="1"/>
      <c r="H171" s="1"/>
      <c r="K171" s="1"/>
      <c r="N171" s="1"/>
      <c r="Q171" s="1"/>
      <c r="T171" s="1"/>
      <c r="W171" s="1"/>
      <c r="Z171" s="1"/>
      <c r="AC171" s="3"/>
    </row>
    <row r="172" ht="15.75" customHeight="1">
      <c r="E172" s="1"/>
      <c r="H172" s="1"/>
      <c r="K172" s="1"/>
      <c r="N172" s="1"/>
      <c r="Q172" s="1"/>
      <c r="T172" s="1"/>
      <c r="W172" s="1"/>
      <c r="Z172" s="1"/>
      <c r="AC172" s="3"/>
    </row>
    <row r="173" ht="15.75" customHeight="1">
      <c r="E173" s="1"/>
      <c r="H173" s="1"/>
      <c r="K173" s="1"/>
      <c r="N173" s="1"/>
      <c r="Q173" s="1"/>
      <c r="T173" s="1"/>
      <c r="W173" s="1"/>
      <c r="Z173" s="1"/>
      <c r="AC173" s="3"/>
    </row>
    <row r="174" ht="15.75" customHeight="1">
      <c r="E174" s="1"/>
      <c r="H174" s="1"/>
      <c r="K174" s="1"/>
      <c r="N174" s="1"/>
      <c r="Q174" s="1"/>
      <c r="T174" s="1"/>
      <c r="W174" s="1"/>
      <c r="Z174" s="1"/>
      <c r="AC174" s="3"/>
    </row>
    <row r="175" ht="15.75" customHeight="1">
      <c r="E175" s="1"/>
      <c r="H175" s="1"/>
      <c r="K175" s="1"/>
      <c r="N175" s="1"/>
      <c r="Q175" s="1"/>
      <c r="T175" s="1"/>
      <c r="W175" s="1"/>
      <c r="Z175" s="1"/>
      <c r="AC175" s="3"/>
    </row>
    <row r="176" ht="15.75" customHeight="1">
      <c r="E176" s="1"/>
      <c r="H176" s="1"/>
      <c r="K176" s="1"/>
      <c r="N176" s="1"/>
      <c r="Q176" s="1"/>
      <c r="T176" s="1"/>
      <c r="W176" s="1"/>
      <c r="Z176" s="1"/>
      <c r="AC176" s="3"/>
    </row>
    <row r="177" ht="15.75" customHeight="1">
      <c r="E177" s="1"/>
      <c r="H177" s="1"/>
      <c r="K177" s="1"/>
      <c r="N177" s="1"/>
      <c r="Q177" s="1"/>
      <c r="T177" s="1"/>
      <c r="W177" s="1"/>
      <c r="Z177" s="1"/>
      <c r="AC177" s="3"/>
    </row>
    <row r="178" ht="15.75" customHeight="1">
      <c r="E178" s="1"/>
      <c r="H178" s="1"/>
      <c r="K178" s="1"/>
      <c r="N178" s="1"/>
      <c r="Q178" s="1"/>
      <c r="T178" s="1"/>
      <c r="W178" s="1"/>
      <c r="Z178" s="1"/>
      <c r="AC178" s="3"/>
    </row>
    <row r="179" ht="15.75" customHeight="1">
      <c r="E179" s="1"/>
      <c r="H179" s="1"/>
      <c r="K179" s="1"/>
      <c r="N179" s="1"/>
      <c r="Q179" s="1"/>
      <c r="T179" s="1"/>
      <c r="W179" s="1"/>
      <c r="Z179" s="1"/>
      <c r="AC179" s="3"/>
    </row>
    <row r="180" ht="15.75" customHeight="1">
      <c r="E180" s="1"/>
      <c r="H180" s="1"/>
      <c r="K180" s="1"/>
      <c r="N180" s="1"/>
      <c r="Q180" s="1"/>
      <c r="T180" s="1"/>
      <c r="W180" s="1"/>
      <c r="Z180" s="1"/>
      <c r="AC180" s="3"/>
    </row>
    <row r="181" ht="15.75" customHeight="1">
      <c r="E181" s="1"/>
      <c r="H181" s="1"/>
      <c r="K181" s="1"/>
      <c r="N181" s="1"/>
      <c r="Q181" s="1"/>
      <c r="T181" s="1"/>
      <c r="W181" s="1"/>
      <c r="Z181" s="1"/>
      <c r="AC181" s="3"/>
    </row>
    <row r="182" ht="15.75" customHeight="1">
      <c r="E182" s="1"/>
      <c r="H182" s="1"/>
      <c r="K182" s="1"/>
      <c r="N182" s="1"/>
      <c r="Q182" s="1"/>
      <c r="T182" s="1"/>
      <c r="W182" s="1"/>
      <c r="Z182" s="1"/>
      <c r="AC182" s="3"/>
    </row>
    <row r="183" ht="15.75" customHeight="1">
      <c r="E183" s="1"/>
      <c r="H183" s="1"/>
      <c r="K183" s="1"/>
      <c r="N183" s="1"/>
      <c r="Q183" s="1"/>
      <c r="T183" s="1"/>
      <c r="W183" s="1"/>
      <c r="Z183" s="1"/>
      <c r="AC183" s="3"/>
    </row>
    <row r="184" ht="15.75" customHeight="1">
      <c r="E184" s="1"/>
      <c r="H184" s="1"/>
      <c r="K184" s="1"/>
      <c r="N184" s="1"/>
      <c r="Q184" s="1"/>
      <c r="T184" s="1"/>
      <c r="W184" s="1"/>
      <c r="Z184" s="1"/>
      <c r="AC184" s="3"/>
    </row>
    <row r="185" ht="15.75" customHeight="1">
      <c r="E185" s="1"/>
      <c r="H185" s="1"/>
      <c r="K185" s="1"/>
      <c r="N185" s="1"/>
      <c r="Q185" s="1"/>
      <c r="T185" s="1"/>
      <c r="W185" s="1"/>
      <c r="Z185" s="1"/>
      <c r="AC185" s="3"/>
    </row>
    <row r="186" ht="15.75" customHeight="1">
      <c r="E186" s="1"/>
      <c r="H186" s="1"/>
      <c r="K186" s="1"/>
      <c r="N186" s="1"/>
      <c r="Q186" s="1"/>
      <c r="T186" s="1"/>
      <c r="W186" s="1"/>
      <c r="Z186" s="1"/>
      <c r="AC186" s="3"/>
    </row>
    <row r="187" ht="15.75" customHeight="1">
      <c r="E187" s="1"/>
      <c r="H187" s="1"/>
      <c r="K187" s="1"/>
      <c r="N187" s="1"/>
      <c r="Q187" s="1"/>
      <c r="T187" s="1"/>
      <c r="W187" s="1"/>
      <c r="Z187" s="1"/>
      <c r="AC187" s="3"/>
    </row>
    <row r="188" ht="15.75" customHeight="1">
      <c r="E188" s="1"/>
      <c r="H188" s="1"/>
      <c r="K188" s="1"/>
      <c r="N188" s="1"/>
      <c r="Q188" s="1"/>
      <c r="T188" s="1"/>
      <c r="W188" s="1"/>
      <c r="Z188" s="1"/>
      <c r="AC188" s="3"/>
    </row>
    <row r="189" ht="15.75" customHeight="1">
      <c r="E189" s="1"/>
      <c r="H189" s="1"/>
      <c r="K189" s="1"/>
      <c r="N189" s="1"/>
      <c r="Q189" s="1"/>
      <c r="T189" s="1"/>
      <c r="W189" s="1"/>
      <c r="Z189" s="1"/>
      <c r="AC189" s="3"/>
    </row>
    <row r="190" ht="15.75" customHeight="1">
      <c r="E190" s="1"/>
      <c r="H190" s="1"/>
      <c r="K190" s="1"/>
      <c r="N190" s="1"/>
      <c r="Q190" s="1"/>
      <c r="T190" s="1"/>
      <c r="W190" s="1"/>
      <c r="Z190" s="1"/>
      <c r="AC190" s="3"/>
    </row>
    <row r="191" ht="15.75" customHeight="1">
      <c r="E191" s="1"/>
      <c r="H191" s="1"/>
      <c r="K191" s="1"/>
      <c r="N191" s="1"/>
      <c r="Q191" s="1"/>
      <c r="T191" s="1"/>
      <c r="W191" s="1"/>
      <c r="Z191" s="1"/>
      <c r="AC191" s="3"/>
    </row>
    <row r="192" ht="15.75" customHeight="1">
      <c r="E192" s="1"/>
      <c r="H192" s="1"/>
      <c r="K192" s="1"/>
      <c r="N192" s="1"/>
      <c r="Q192" s="1"/>
      <c r="T192" s="1"/>
      <c r="W192" s="1"/>
      <c r="Z192" s="1"/>
      <c r="AC192" s="3"/>
    </row>
    <row r="193" ht="15.75" customHeight="1">
      <c r="E193" s="1"/>
      <c r="H193" s="1"/>
      <c r="K193" s="1"/>
      <c r="N193" s="1"/>
      <c r="Q193" s="1"/>
      <c r="T193" s="1"/>
      <c r="W193" s="1"/>
      <c r="Z193" s="1"/>
      <c r="AC193" s="3"/>
    </row>
    <row r="194" ht="15.75" customHeight="1">
      <c r="E194" s="1"/>
      <c r="H194" s="1"/>
      <c r="K194" s="1"/>
      <c r="N194" s="1"/>
      <c r="Q194" s="1"/>
      <c r="T194" s="1"/>
      <c r="W194" s="1"/>
      <c r="Z194" s="1"/>
      <c r="AC194" s="3"/>
    </row>
    <row r="195" ht="15.75" customHeight="1">
      <c r="E195" s="1"/>
      <c r="H195" s="1"/>
      <c r="K195" s="1"/>
      <c r="N195" s="1"/>
      <c r="Q195" s="1"/>
      <c r="T195" s="1"/>
      <c r="W195" s="1"/>
      <c r="Z195" s="1"/>
      <c r="AC195" s="3"/>
    </row>
    <row r="196" ht="15.75" customHeight="1">
      <c r="E196" s="1"/>
      <c r="H196" s="1"/>
      <c r="K196" s="1"/>
      <c r="N196" s="1"/>
      <c r="Q196" s="1"/>
      <c r="T196" s="1"/>
      <c r="W196" s="1"/>
      <c r="Z196" s="1"/>
      <c r="AC196" s="3"/>
    </row>
    <row r="197" ht="15.75" customHeight="1">
      <c r="E197" s="1"/>
      <c r="H197" s="1"/>
      <c r="K197" s="1"/>
      <c r="N197" s="1"/>
      <c r="Q197" s="1"/>
      <c r="T197" s="1"/>
      <c r="W197" s="1"/>
      <c r="Z197" s="1"/>
      <c r="AC197" s="3"/>
    </row>
    <row r="198" ht="15.75" customHeight="1">
      <c r="E198" s="1"/>
      <c r="H198" s="1"/>
      <c r="K198" s="1"/>
      <c r="N198" s="1"/>
      <c r="Q198" s="1"/>
      <c r="T198" s="1"/>
      <c r="W198" s="1"/>
      <c r="Z198" s="1"/>
      <c r="AC198" s="3"/>
    </row>
    <row r="199" ht="15.75" customHeight="1">
      <c r="E199" s="1"/>
      <c r="H199" s="1"/>
      <c r="K199" s="1"/>
      <c r="N199" s="1"/>
      <c r="Q199" s="1"/>
      <c r="T199" s="1"/>
      <c r="W199" s="1"/>
      <c r="Z199" s="1"/>
      <c r="AC199" s="3"/>
    </row>
    <row r="200" ht="15.75" customHeight="1">
      <c r="E200" s="1"/>
      <c r="H200" s="1"/>
      <c r="K200" s="1"/>
      <c r="N200" s="1"/>
      <c r="Q200" s="1"/>
      <c r="T200" s="1"/>
      <c r="W200" s="1"/>
      <c r="Z200" s="1"/>
      <c r="AC200" s="3"/>
    </row>
    <row r="201" ht="15.75" customHeight="1">
      <c r="E201" s="1"/>
      <c r="H201" s="1"/>
      <c r="K201" s="1"/>
      <c r="N201" s="1"/>
      <c r="Q201" s="1"/>
      <c r="T201" s="1"/>
      <c r="W201" s="1"/>
      <c r="Z201" s="1"/>
      <c r="AC201" s="3"/>
    </row>
    <row r="202" ht="15.75" customHeight="1">
      <c r="E202" s="1"/>
      <c r="H202" s="1"/>
      <c r="K202" s="1"/>
      <c r="N202" s="1"/>
      <c r="Q202" s="1"/>
      <c r="T202" s="1"/>
      <c r="W202" s="1"/>
      <c r="Z202" s="1"/>
      <c r="AC202" s="3"/>
    </row>
    <row r="203" ht="15.75" customHeight="1">
      <c r="E203" s="1"/>
      <c r="H203" s="1"/>
      <c r="K203" s="1"/>
      <c r="N203" s="1"/>
      <c r="Q203" s="1"/>
      <c r="T203" s="1"/>
      <c r="W203" s="1"/>
      <c r="Z203" s="1"/>
      <c r="AC203" s="3"/>
    </row>
    <row r="204" ht="15.75" customHeight="1">
      <c r="E204" s="1"/>
      <c r="H204" s="1"/>
      <c r="K204" s="1"/>
      <c r="N204" s="1"/>
      <c r="Q204" s="1"/>
      <c r="T204" s="1"/>
      <c r="W204" s="1"/>
      <c r="Z204" s="1"/>
      <c r="AC204" s="3"/>
    </row>
    <row r="205" ht="15.75" customHeight="1">
      <c r="E205" s="1"/>
      <c r="H205" s="1"/>
      <c r="K205" s="1"/>
      <c r="N205" s="1"/>
      <c r="Q205" s="1"/>
      <c r="T205" s="1"/>
      <c r="W205" s="1"/>
      <c r="Z205" s="1"/>
      <c r="AC205" s="3"/>
    </row>
    <row r="206" ht="15.75" customHeight="1">
      <c r="E206" s="1"/>
      <c r="H206" s="1"/>
      <c r="K206" s="1"/>
      <c r="N206" s="1"/>
      <c r="Q206" s="1"/>
      <c r="T206" s="1"/>
      <c r="W206" s="1"/>
      <c r="Z206" s="1"/>
      <c r="AC206" s="3"/>
    </row>
    <row r="207" ht="15.75" customHeight="1">
      <c r="E207" s="1"/>
      <c r="H207" s="1"/>
      <c r="K207" s="1"/>
      <c r="N207" s="1"/>
      <c r="Q207" s="1"/>
      <c r="T207" s="1"/>
      <c r="W207" s="1"/>
      <c r="Z207" s="1"/>
      <c r="AC207" s="3"/>
    </row>
    <row r="208" ht="15.75" customHeight="1">
      <c r="E208" s="1"/>
      <c r="H208" s="1"/>
      <c r="K208" s="1"/>
      <c r="N208" s="1"/>
      <c r="Q208" s="1"/>
      <c r="T208" s="1"/>
      <c r="W208" s="1"/>
      <c r="Z208" s="1"/>
      <c r="AC208" s="3"/>
    </row>
    <row r="209" ht="15.75" customHeight="1">
      <c r="E209" s="1"/>
      <c r="H209" s="1"/>
      <c r="K209" s="1"/>
      <c r="N209" s="1"/>
      <c r="Q209" s="1"/>
      <c r="T209" s="1"/>
      <c r="W209" s="1"/>
      <c r="Z209" s="1"/>
      <c r="AC209" s="3"/>
    </row>
    <row r="210" ht="15.75" customHeight="1">
      <c r="E210" s="1"/>
      <c r="H210" s="1"/>
      <c r="K210" s="1"/>
      <c r="N210" s="1"/>
      <c r="Q210" s="1"/>
      <c r="T210" s="1"/>
      <c r="W210" s="1"/>
      <c r="Z210" s="1"/>
      <c r="AC210" s="3"/>
    </row>
    <row r="211" ht="15.75" customHeight="1">
      <c r="E211" s="1"/>
      <c r="H211" s="1"/>
      <c r="K211" s="1"/>
      <c r="N211" s="1"/>
      <c r="Q211" s="1"/>
      <c r="T211" s="1"/>
      <c r="W211" s="1"/>
      <c r="Z211" s="1"/>
      <c r="AC211" s="3"/>
    </row>
    <row r="212" ht="15.75" customHeight="1">
      <c r="E212" s="1"/>
      <c r="H212" s="1"/>
      <c r="K212" s="1"/>
      <c r="N212" s="1"/>
      <c r="Q212" s="1"/>
      <c r="T212" s="1"/>
      <c r="W212" s="1"/>
      <c r="Z212" s="1"/>
      <c r="AC212" s="3"/>
    </row>
    <row r="213" ht="15.75" customHeight="1">
      <c r="E213" s="1"/>
      <c r="H213" s="1"/>
      <c r="K213" s="1"/>
      <c r="N213" s="1"/>
      <c r="Q213" s="1"/>
      <c r="T213" s="1"/>
      <c r="W213" s="1"/>
      <c r="Z213" s="1"/>
      <c r="AC213" s="3"/>
    </row>
    <row r="214" ht="15.75" customHeight="1">
      <c r="E214" s="1"/>
      <c r="H214" s="1"/>
      <c r="K214" s="1"/>
      <c r="N214" s="1"/>
      <c r="Q214" s="1"/>
      <c r="T214" s="1"/>
      <c r="W214" s="1"/>
      <c r="Z214" s="1"/>
      <c r="AC214" s="3"/>
    </row>
    <row r="215" ht="15.75" customHeight="1">
      <c r="E215" s="1"/>
      <c r="H215" s="1"/>
      <c r="K215" s="1"/>
      <c r="N215" s="1"/>
      <c r="Q215" s="1"/>
      <c r="T215" s="1"/>
      <c r="W215" s="1"/>
      <c r="Z215" s="1"/>
      <c r="AC215" s="3"/>
    </row>
    <row r="216" ht="15.75" customHeight="1">
      <c r="E216" s="1"/>
      <c r="H216" s="1"/>
      <c r="K216" s="1"/>
      <c r="N216" s="1"/>
      <c r="Q216" s="1"/>
      <c r="T216" s="1"/>
      <c r="W216" s="1"/>
      <c r="Z216" s="1"/>
      <c r="AC216" s="3"/>
    </row>
    <row r="217" ht="15.75" customHeight="1">
      <c r="E217" s="1"/>
      <c r="H217" s="1"/>
      <c r="K217" s="1"/>
      <c r="N217" s="1"/>
      <c r="Q217" s="1"/>
      <c r="T217" s="1"/>
      <c r="W217" s="1"/>
      <c r="Z217" s="1"/>
      <c r="AC217" s="3"/>
    </row>
    <row r="218" ht="15.75" customHeight="1">
      <c r="E218" s="1"/>
      <c r="H218" s="1"/>
      <c r="K218" s="1"/>
      <c r="N218" s="1"/>
      <c r="Q218" s="1"/>
      <c r="T218" s="1"/>
      <c r="W218" s="1"/>
      <c r="Z218" s="1"/>
      <c r="AC218" s="3"/>
    </row>
    <row r="219" ht="15.75" customHeight="1">
      <c r="E219" s="1"/>
      <c r="H219" s="1"/>
      <c r="K219" s="1"/>
      <c r="N219" s="1"/>
      <c r="Q219" s="1"/>
      <c r="T219" s="1"/>
      <c r="W219" s="1"/>
      <c r="Z219" s="1"/>
      <c r="AC219" s="3"/>
    </row>
    <row r="220" ht="15.75" customHeight="1">
      <c r="E220" s="1"/>
      <c r="H220" s="1"/>
      <c r="K220" s="1"/>
      <c r="N220" s="1"/>
      <c r="Q220" s="1"/>
      <c r="T220" s="1"/>
      <c r="W220" s="1"/>
      <c r="Z220" s="1"/>
      <c r="AC220" s="3"/>
    </row>
    <row r="221" ht="15.75" customHeight="1">
      <c r="E221" s="1"/>
      <c r="H221" s="1"/>
      <c r="K221" s="1"/>
      <c r="N221" s="1"/>
      <c r="Q221" s="1"/>
      <c r="T221" s="1"/>
      <c r="W221" s="1"/>
      <c r="Z221" s="1"/>
      <c r="AC221" s="3"/>
    </row>
    <row r="222" ht="15.75" customHeight="1">
      <c r="E222" s="1"/>
      <c r="H222" s="1"/>
      <c r="K222" s="1"/>
      <c r="N222" s="1"/>
      <c r="Q222" s="1"/>
      <c r="T222" s="1"/>
      <c r="W222" s="1"/>
      <c r="Z222" s="1"/>
      <c r="AC222" s="3"/>
    </row>
    <row r="223" ht="15.75" customHeight="1">
      <c r="E223" s="1"/>
      <c r="H223" s="1"/>
      <c r="K223" s="1"/>
      <c r="N223" s="1"/>
      <c r="Q223" s="1"/>
      <c r="T223" s="1"/>
      <c r="W223" s="1"/>
      <c r="Z223" s="1"/>
      <c r="AC223" s="3"/>
    </row>
    <row r="224" ht="15.75" customHeight="1">
      <c r="E224" s="1"/>
      <c r="H224" s="1"/>
      <c r="K224" s="1"/>
      <c r="N224" s="1"/>
      <c r="Q224" s="1"/>
      <c r="T224" s="1"/>
      <c r="W224" s="1"/>
      <c r="Z224" s="1"/>
      <c r="AC224" s="3"/>
    </row>
    <row r="225" ht="15.75" customHeight="1">
      <c r="E225" s="1"/>
      <c r="H225" s="1"/>
      <c r="K225" s="1"/>
      <c r="N225" s="1"/>
      <c r="Q225" s="1"/>
      <c r="T225" s="1"/>
      <c r="W225" s="1"/>
      <c r="Z225" s="1"/>
      <c r="AC225" s="3"/>
    </row>
    <row r="226" ht="15.75" customHeight="1">
      <c r="E226" s="1"/>
      <c r="H226" s="1"/>
      <c r="K226" s="1"/>
      <c r="N226" s="1"/>
      <c r="Q226" s="1"/>
      <c r="T226" s="1"/>
      <c r="W226" s="1"/>
      <c r="Z226" s="1"/>
      <c r="AC226" s="3"/>
    </row>
    <row r="227" ht="15.75" customHeight="1">
      <c r="E227" s="1"/>
      <c r="H227" s="1"/>
      <c r="K227" s="1"/>
      <c r="N227" s="1"/>
      <c r="Q227" s="1"/>
      <c r="T227" s="1"/>
      <c r="W227" s="1"/>
      <c r="Z227" s="1"/>
      <c r="AC227" s="3"/>
    </row>
    <row r="228" ht="15.75" customHeight="1">
      <c r="E228" s="1"/>
      <c r="H228" s="1"/>
      <c r="K228" s="1"/>
      <c r="N228" s="1"/>
      <c r="Q228" s="1"/>
      <c r="T228" s="1"/>
      <c r="W228" s="1"/>
      <c r="Z228" s="1"/>
      <c r="AC228" s="3"/>
    </row>
    <row r="229" ht="15.75" customHeight="1">
      <c r="E229" s="1"/>
      <c r="H229" s="1"/>
      <c r="K229" s="1"/>
      <c r="N229" s="1"/>
      <c r="Q229" s="1"/>
      <c r="T229" s="1"/>
      <c r="W229" s="1"/>
      <c r="Z229" s="1"/>
      <c r="AC229" s="3"/>
    </row>
    <row r="230" ht="15.75" customHeight="1">
      <c r="E230" s="1"/>
      <c r="H230" s="1"/>
      <c r="K230" s="1"/>
      <c r="N230" s="1"/>
      <c r="Q230" s="1"/>
      <c r="T230" s="1"/>
      <c r="W230" s="1"/>
      <c r="Z230" s="1"/>
      <c r="AC230" s="3"/>
    </row>
    <row r="231" ht="15.75" customHeight="1">
      <c r="E231" s="1"/>
      <c r="H231" s="1"/>
      <c r="K231" s="1"/>
      <c r="N231" s="1"/>
      <c r="Q231" s="1"/>
      <c r="T231" s="1"/>
      <c r="W231" s="1"/>
      <c r="Z231" s="1"/>
      <c r="AC231" s="3"/>
    </row>
    <row r="232" ht="15.75" customHeight="1">
      <c r="E232" s="1"/>
      <c r="H232" s="1"/>
      <c r="K232" s="1"/>
      <c r="N232" s="1"/>
      <c r="Q232" s="1"/>
      <c r="T232" s="1"/>
      <c r="W232" s="1"/>
      <c r="Z232" s="1"/>
      <c r="AC232" s="3"/>
    </row>
    <row r="233" ht="15.75" customHeight="1">
      <c r="E233" s="1"/>
      <c r="H233" s="1"/>
      <c r="K233" s="1"/>
      <c r="N233" s="1"/>
      <c r="Q233" s="1"/>
      <c r="T233" s="1"/>
      <c r="W233" s="1"/>
      <c r="Z233" s="1"/>
      <c r="AC233" s="3"/>
    </row>
    <row r="234" ht="15.75" customHeight="1">
      <c r="E234" s="1"/>
      <c r="H234" s="1"/>
      <c r="K234" s="1"/>
      <c r="N234" s="1"/>
      <c r="Q234" s="1"/>
      <c r="T234" s="1"/>
      <c r="W234" s="1"/>
      <c r="Z234" s="1"/>
      <c r="AC234" s="3"/>
    </row>
    <row r="235" ht="15.75" customHeight="1">
      <c r="E235" s="1"/>
      <c r="H235" s="1"/>
      <c r="K235" s="1"/>
      <c r="N235" s="1"/>
      <c r="Q235" s="1"/>
      <c r="T235" s="1"/>
      <c r="W235" s="1"/>
      <c r="Z235" s="1"/>
      <c r="AC235" s="3"/>
    </row>
    <row r="236" ht="15.75" customHeight="1">
      <c r="E236" s="1"/>
      <c r="H236" s="1"/>
      <c r="K236" s="1"/>
      <c r="N236" s="1"/>
      <c r="Q236" s="1"/>
      <c r="T236" s="1"/>
      <c r="W236" s="1"/>
      <c r="Z236" s="1"/>
      <c r="AC236" s="3"/>
    </row>
    <row r="237" ht="15.75" customHeight="1">
      <c r="E237" s="1"/>
      <c r="H237" s="1"/>
      <c r="K237" s="1"/>
      <c r="N237" s="1"/>
      <c r="Q237" s="1"/>
      <c r="T237" s="1"/>
      <c r="W237" s="1"/>
      <c r="Z237" s="1"/>
      <c r="AC237" s="3"/>
    </row>
    <row r="238" ht="15.75" customHeight="1">
      <c r="E238" s="1"/>
      <c r="H238" s="1"/>
      <c r="K238" s="1"/>
      <c r="N238" s="1"/>
      <c r="Q238" s="1"/>
      <c r="T238" s="1"/>
      <c r="W238" s="1"/>
      <c r="Z238" s="1"/>
      <c r="AC238" s="3"/>
    </row>
    <row r="239" ht="15.75" customHeight="1">
      <c r="E239" s="1"/>
      <c r="H239" s="1"/>
      <c r="K239" s="1"/>
      <c r="N239" s="1"/>
      <c r="Q239" s="1"/>
      <c r="T239" s="1"/>
      <c r="W239" s="1"/>
      <c r="Z239" s="1"/>
      <c r="AC239" s="3"/>
    </row>
    <row r="240" ht="15.75" customHeight="1">
      <c r="E240" s="1"/>
      <c r="H240" s="1"/>
      <c r="K240" s="1"/>
      <c r="N240" s="1"/>
      <c r="Q240" s="1"/>
      <c r="T240" s="1"/>
      <c r="W240" s="1"/>
      <c r="Z240" s="1"/>
      <c r="AC240" s="3"/>
    </row>
    <row r="241" ht="15.75" customHeight="1">
      <c r="E241" s="1"/>
      <c r="H241" s="1"/>
      <c r="K241" s="1"/>
      <c r="N241" s="1"/>
      <c r="Q241" s="1"/>
      <c r="T241" s="1"/>
      <c r="W241" s="1"/>
      <c r="Z241" s="1"/>
      <c r="AC241" s="3"/>
    </row>
    <row r="242" ht="15.75" customHeight="1">
      <c r="E242" s="1"/>
      <c r="H242" s="1"/>
      <c r="K242" s="1"/>
      <c r="N242" s="1"/>
      <c r="Q242" s="1"/>
      <c r="T242" s="1"/>
      <c r="W242" s="1"/>
      <c r="Z242" s="1"/>
      <c r="AC242" s="3"/>
    </row>
    <row r="243" ht="15.75" customHeight="1">
      <c r="E243" s="1"/>
      <c r="H243" s="1"/>
      <c r="K243" s="1"/>
      <c r="N243" s="1"/>
      <c r="Q243" s="1"/>
      <c r="T243" s="1"/>
      <c r="W243" s="1"/>
      <c r="Z243" s="1"/>
      <c r="AC243" s="3"/>
    </row>
    <row r="244" ht="15.75" customHeight="1">
      <c r="E244" s="1"/>
      <c r="H244" s="1"/>
      <c r="K244" s="1"/>
      <c r="N244" s="1"/>
      <c r="Q244" s="1"/>
      <c r="T244" s="1"/>
      <c r="W244" s="1"/>
      <c r="Z244" s="1"/>
      <c r="AC244" s="3"/>
    </row>
    <row r="245" ht="15.75" customHeight="1">
      <c r="E245" s="1"/>
      <c r="H245" s="1"/>
      <c r="K245" s="1"/>
      <c r="N245" s="1"/>
      <c r="Q245" s="1"/>
      <c r="T245" s="1"/>
      <c r="W245" s="1"/>
      <c r="Z245" s="1"/>
      <c r="AC245" s="3"/>
    </row>
    <row r="246" ht="15.75" customHeight="1">
      <c r="E246" s="1"/>
      <c r="H246" s="1"/>
      <c r="K246" s="1"/>
      <c r="N246" s="1"/>
      <c r="Q246" s="1"/>
      <c r="T246" s="1"/>
      <c r="W246" s="1"/>
      <c r="Z246" s="1"/>
      <c r="AC246" s="3"/>
    </row>
    <row r="247" ht="15.75" customHeight="1">
      <c r="E247" s="1"/>
      <c r="H247" s="1"/>
      <c r="K247" s="1"/>
      <c r="N247" s="1"/>
      <c r="Q247" s="1"/>
      <c r="T247" s="1"/>
      <c r="W247" s="1"/>
      <c r="Z247" s="1"/>
      <c r="AC247" s="3"/>
    </row>
    <row r="248" ht="15.75" customHeight="1">
      <c r="E248" s="1"/>
      <c r="H248" s="1"/>
      <c r="K248" s="1"/>
      <c r="N248" s="1"/>
      <c r="Q248" s="1"/>
      <c r="T248" s="1"/>
      <c r="W248" s="1"/>
      <c r="Z248" s="1"/>
      <c r="AC248" s="3"/>
    </row>
    <row r="249" ht="15.75" customHeight="1">
      <c r="E249" s="1"/>
      <c r="H249" s="1"/>
      <c r="K249" s="1"/>
      <c r="N249" s="1"/>
      <c r="Q249" s="1"/>
      <c r="T249" s="1"/>
      <c r="W249" s="1"/>
      <c r="Z249" s="1"/>
      <c r="AC249" s="3"/>
    </row>
    <row r="250" ht="15.75" customHeight="1">
      <c r="E250" s="1"/>
      <c r="H250" s="1"/>
      <c r="K250" s="1"/>
      <c r="N250" s="1"/>
      <c r="Q250" s="1"/>
      <c r="T250" s="1"/>
      <c r="W250" s="1"/>
      <c r="Z250" s="1"/>
      <c r="AC250" s="3"/>
    </row>
    <row r="251" ht="15.75" customHeight="1">
      <c r="E251" s="1"/>
      <c r="H251" s="1"/>
      <c r="K251" s="1"/>
      <c r="N251" s="1"/>
      <c r="Q251" s="1"/>
      <c r="T251" s="1"/>
      <c r="W251" s="1"/>
      <c r="Z251" s="1"/>
      <c r="AC251" s="3"/>
    </row>
    <row r="252" ht="15.75" customHeight="1">
      <c r="E252" s="1"/>
      <c r="H252" s="1"/>
      <c r="K252" s="1"/>
      <c r="N252" s="1"/>
      <c r="Q252" s="1"/>
      <c r="T252" s="1"/>
      <c r="W252" s="1"/>
      <c r="Z252" s="1"/>
      <c r="AC252" s="3"/>
    </row>
    <row r="253" ht="15.75" customHeight="1">
      <c r="E253" s="1"/>
      <c r="H253" s="1"/>
      <c r="K253" s="1"/>
      <c r="N253" s="1"/>
      <c r="Q253" s="1"/>
      <c r="T253" s="1"/>
      <c r="W253" s="1"/>
      <c r="Z253" s="1"/>
      <c r="AC253" s="3"/>
    </row>
    <row r="254" ht="15.75" customHeight="1">
      <c r="E254" s="1"/>
      <c r="H254" s="1"/>
      <c r="K254" s="1"/>
      <c r="N254" s="1"/>
      <c r="Q254" s="1"/>
      <c r="T254" s="1"/>
      <c r="W254" s="1"/>
      <c r="Z254" s="1"/>
      <c r="AC254" s="3"/>
    </row>
    <row r="255" ht="15.75" customHeight="1">
      <c r="E255" s="1"/>
      <c r="H255" s="1"/>
      <c r="K255" s="1"/>
      <c r="N255" s="1"/>
      <c r="Q255" s="1"/>
      <c r="T255" s="1"/>
      <c r="W255" s="1"/>
      <c r="Z255" s="1"/>
      <c r="AC255" s="3"/>
    </row>
    <row r="256" ht="15.75" customHeight="1">
      <c r="E256" s="1"/>
      <c r="H256" s="1"/>
      <c r="K256" s="1"/>
      <c r="N256" s="1"/>
      <c r="Q256" s="1"/>
      <c r="T256" s="1"/>
      <c r="W256" s="1"/>
      <c r="Z256" s="1"/>
      <c r="AC256" s="3"/>
    </row>
    <row r="257" ht="15.75" customHeight="1">
      <c r="E257" s="1"/>
      <c r="H257" s="1"/>
      <c r="K257" s="1"/>
      <c r="N257" s="1"/>
      <c r="Q257" s="1"/>
      <c r="T257" s="1"/>
      <c r="W257" s="1"/>
      <c r="Z257" s="1"/>
      <c r="AC257" s="3"/>
    </row>
    <row r="258" ht="15.75" customHeight="1">
      <c r="E258" s="1"/>
      <c r="H258" s="1"/>
      <c r="K258" s="1"/>
      <c r="N258" s="1"/>
      <c r="Q258" s="1"/>
      <c r="T258" s="1"/>
      <c r="W258" s="1"/>
      <c r="Z258" s="1"/>
      <c r="AC258" s="3"/>
    </row>
    <row r="259" ht="15.75" customHeight="1">
      <c r="E259" s="1"/>
      <c r="H259" s="1"/>
      <c r="K259" s="1"/>
      <c r="N259" s="1"/>
      <c r="Q259" s="1"/>
      <c r="T259" s="1"/>
      <c r="W259" s="1"/>
      <c r="Z259" s="1"/>
      <c r="AC259" s="3"/>
    </row>
    <row r="260" ht="15.75" customHeight="1">
      <c r="E260" s="1"/>
      <c r="H260" s="1"/>
      <c r="K260" s="1"/>
      <c r="N260" s="1"/>
      <c r="Q260" s="1"/>
      <c r="T260" s="1"/>
      <c r="W260" s="1"/>
      <c r="Z260" s="1"/>
      <c r="AC260" s="3"/>
    </row>
    <row r="261" ht="15.75" customHeight="1">
      <c r="E261" s="1"/>
      <c r="H261" s="1"/>
      <c r="K261" s="1"/>
      <c r="N261" s="1"/>
      <c r="Q261" s="1"/>
      <c r="T261" s="1"/>
      <c r="W261" s="1"/>
      <c r="Z261" s="1"/>
      <c r="AC261" s="3"/>
    </row>
    <row r="262" ht="15.75" customHeight="1">
      <c r="E262" s="1"/>
      <c r="H262" s="1"/>
      <c r="K262" s="1"/>
      <c r="N262" s="1"/>
      <c r="Q262" s="1"/>
      <c r="T262" s="1"/>
      <c r="W262" s="1"/>
      <c r="Z262" s="1"/>
      <c r="AC262" s="3"/>
    </row>
    <row r="263" ht="15.75" customHeight="1">
      <c r="E263" s="1"/>
      <c r="H263" s="1"/>
      <c r="K263" s="1"/>
      <c r="N263" s="1"/>
      <c r="Q263" s="1"/>
      <c r="T263" s="1"/>
      <c r="W263" s="1"/>
      <c r="Z263" s="1"/>
      <c r="AC263" s="3"/>
    </row>
    <row r="264" ht="15.75" customHeight="1">
      <c r="E264" s="1"/>
      <c r="H264" s="1"/>
      <c r="K264" s="1"/>
      <c r="N264" s="1"/>
      <c r="Q264" s="1"/>
      <c r="T264" s="1"/>
      <c r="W264" s="1"/>
      <c r="Z264" s="1"/>
      <c r="AC264" s="3"/>
    </row>
    <row r="265" ht="15.75" customHeight="1">
      <c r="E265" s="1"/>
      <c r="H265" s="1"/>
      <c r="K265" s="1"/>
      <c r="N265" s="1"/>
      <c r="Q265" s="1"/>
      <c r="T265" s="1"/>
      <c r="W265" s="1"/>
      <c r="Z265" s="1"/>
      <c r="AC265" s="3"/>
    </row>
    <row r="266" ht="15.75" customHeight="1">
      <c r="E266" s="1"/>
      <c r="H266" s="1"/>
      <c r="K266" s="1"/>
      <c r="N266" s="1"/>
      <c r="Q266" s="1"/>
      <c r="T266" s="1"/>
      <c r="W266" s="1"/>
      <c r="Z266" s="1"/>
      <c r="AC266" s="3"/>
    </row>
    <row r="267" ht="15.75" customHeight="1">
      <c r="E267" s="1"/>
      <c r="H267" s="1"/>
      <c r="K267" s="1"/>
      <c r="N267" s="1"/>
      <c r="Q267" s="1"/>
      <c r="T267" s="1"/>
      <c r="W267" s="1"/>
      <c r="Z267" s="1"/>
      <c r="AC267" s="3"/>
    </row>
    <row r="268" ht="15.75" customHeight="1">
      <c r="E268" s="1"/>
      <c r="H268" s="1"/>
      <c r="K268" s="1"/>
      <c r="N268" s="1"/>
      <c r="Q268" s="1"/>
      <c r="T268" s="1"/>
      <c r="W268" s="1"/>
      <c r="Z268" s="1"/>
      <c r="AC268" s="3"/>
    </row>
    <row r="269" ht="15.75" customHeight="1">
      <c r="E269" s="1"/>
      <c r="H269" s="1"/>
      <c r="K269" s="1"/>
      <c r="N269" s="1"/>
      <c r="Q269" s="1"/>
      <c r="T269" s="1"/>
      <c r="W269" s="1"/>
      <c r="Z269" s="1"/>
      <c r="AC269" s="3"/>
    </row>
    <row r="270" ht="15.75" customHeight="1">
      <c r="E270" s="1"/>
      <c r="H270" s="1"/>
      <c r="K270" s="1"/>
      <c r="N270" s="1"/>
      <c r="Q270" s="1"/>
      <c r="T270" s="1"/>
      <c r="W270" s="1"/>
      <c r="Z270" s="1"/>
      <c r="AC270" s="3"/>
    </row>
    <row r="271" ht="15.75" customHeight="1">
      <c r="E271" s="1"/>
      <c r="H271" s="1"/>
      <c r="K271" s="1"/>
      <c r="N271" s="1"/>
      <c r="Q271" s="1"/>
      <c r="T271" s="1"/>
      <c r="W271" s="1"/>
      <c r="Z271" s="1"/>
      <c r="AC271" s="3"/>
    </row>
    <row r="272" ht="15.75" customHeight="1">
      <c r="E272" s="1"/>
      <c r="H272" s="1"/>
      <c r="K272" s="1"/>
      <c r="N272" s="1"/>
      <c r="Q272" s="1"/>
      <c r="T272" s="1"/>
      <c r="W272" s="1"/>
      <c r="Z272" s="1"/>
      <c r="AC272" s="3"/>
    </row>
    <row r="273" ht="15.75" customHeight="1">
      <c r="E273" s="1"/>
      <c r="H273" s="1"/>
      <c r="K273" s="1"/>
      <c r="N273" s="1"/>
      <c r="Q273" s="1"/>
      <c r="T273" s="1"/>
      <c r="W273" s="1"/>
      <c r="Z273" s="1"/>
      <c r="AC273" s="3"/>
    </row>
    <row r="274" ht="15.75" customHeight="1">
      <c r="E274" s="1"/>
      <c r="H274" s="1"/>
      <c r="K274" s="1"/>
      <c r="N274" s="1"/>
      <c r="Q274" s="1"/>
      <c r="T274" s="1"/>
      <c r="W274" s="1"/>
      <c r="Z274" s="1"/>
      <c r="AC274" s="3"/>
    </row>
    <row r="275" ht="15.75" customHeight="1">
      <c r="E275" s="1"/>
      <c r="H275" s="1"/>
      <c r="K275" s="1"/>
      <c r="N275" s="1"/>
      <c r="Q275" s="1"/>
      <c r="T275" s="1"/>
      <c r="W275" s="1"/>
      <c r="Z275" s="1"/>
      <c r="AC275" s="3"/>
    </row>
    <row r="276" ht="15.75" customHeight="1">
      <c r="E276" s="1"/>
      <c r="H276" s="1"/>
      <c r="K276" s="1"/>
      <c r="N276" s="1"/>
      <c r="Q276" s="1"/>
      <c r="T276" s="1"/>
      <c r="W276" s="1"/>
      <c r="Z276" s="1"/>
      <c r="AC276" s="3"/>
    </row>
    <row r="277" ht="15.75" customHeight="1">
      <c r="E277" s="1"/>
      <c r="H277" s="1"/>
      <c r="K277" s="1"/>
      <c r="N277" s="1"/>
      <c r="Q277" s="1"/>
      <c r="T277" s="1"/>
      <c r="W277" s="1"/>
      <c r="Z277" s="1"/>
      <c r="AC277" s="3"/>
    </row>
    <row r="278" ht="15.75" customHeight="1">
      <c r="E278" s="1"/>
      <c r="H278" s="1"/>
      <c r="K278" s="1"/>
      <c r="N278" s="1"/>
      <c r="Q278" s="1"/>
      <c r="T278" s="1"/>
      <c r="W278" s="1"/>
      <c r="Z278" s="1"/>
      <c r="AC278" s="3"/>
    </row>
    <row r="279" ht="15.75" customHeight="1">
      <c r="E279" s="1"/>
      <c r="H279" s="1"/>
      <c r="K279" s="1"/>
      <c r="N279" s="1"/>
      <c r="Q279" s="1"/>
      <c r="T279" s="1"/>
      <c r="W279" s="1"/>
      <c r="Z279" s="1"/>
      <c r="AC279" s="3"/>
    </row>
    <row r="280" ht="15.75" customHeight="1">
      <c r="E280" s="1"/>
      <c r="H280" s="1"/>
      <c r="K280" s="1"/>
      <c r="N280" s="1"/>
      <c r="Q280" s="1"/>
      <c r="T280" s="1"/>
      <c r="W280" s="1"/>
      <c r="Z280" s="1"/>
      <c r="AC280" s="3"/>
    </row>
    <row r="281" ht="15.75" customHeight="1">
      <c r="E281" s="1"/>
      <c r="H281" s="1"/>
      <c r="K281" s="1"/>
      <c r="N281" s="1"/>
      <c r="Q281" s="1"/>
      <c r="T281" s="1"/>
      <c r="W281" s="1"/>
      <c r="Z281" s="1"/>
      <c r="AC281" s="3"/>
    </row>
    <row r="282" ht="15.75" customHeight="1">
      <c r="E282" s="1"/>
      <c r="H282" s="1"/>
      <c r="K282" s="1"/>
      <c r="N282" s="1"/>
      <c r="Q282" s="1"/>
      <c r="T282" s="1"/>
      <c r="W282" s="1"/>
      <c r="Z282" s="1"/>
      <c r="AC282" s="3"/>
    </row>
    <row r="283" ht="15.75" customHeight="1">
      <c r="E283" s="1"/>
      <c r="H283" s="1"/>
      <c r="K283" s="1"/>
      <c r="N283" s="1"/>
      <c r="Q283" s="1"/>
      <c r="T283" s="1"/>
      <c r="W283" s="1"/>
      <c r="Z283" s="1"/>
      <c r="AC283" s="3"/>
    </row>
    <row r="284" ht="15.75" customHeight="1">
      <c r="E284" s="1"/>
      <c r="H284" s="1"/>
      <c r="K284" s="1"/>
      <c r="N284" s="1"/>
      <c r="Q284" s="1"/>
      <c r="T284" s="1"/>
      <c r="W284" s="1"/>
      <c r="Z284" s="1"/>
      <c r="AC284" s="3"/>
    </row>
    <row r="285" ht="15.75" customHeight="1">
      <c r="E285" s="1"/>
      <c r="H285" s="1"/>
      <c r="K285" s="1"/>
      <c r="N285" s="1"/>
      <c r="Q285" s="1"/>
      <c r="T285" s="1"/>
      <c r="W285" s="1"/>
      <c r="Z285" s="1"/>
      <c r="AC285" s="3"/>
    </row>
    <row r="286" ht="15.75" customHeight="1">
      <c r="E286" s="1"/>
      <c r="H286" s="1"/>
      <c r="K286" s="1"/>
      <c r="N286" s="1"/>
      <c r="Q286" s="1"/>
      <c r="T286" s="1"/>
      <c r="W286" s="1"/>
      <c r="Z286" s="1"/>
      <c r="AC286" s="3"/>
    </row>
    <row r="287" ht="15.75" customHeight="1">
      <c r="E287" s="1"/>
      <c r="H287" s="1"/>
      <c r="K287" s="1"/>
      <c r="N287" s="1"/>
      <c r="Q287" s="1"/>
      <c r="T287" s="1"/>
      <c r="W287" s="1"/>
      <c r="Z287" s="1"/>
      <c r="AC287" s="3"/>
    </row>
    <row r="288" ht="15.75" customHeight="1">
      <c r="E288" s="1"/>
      <c r="H288" s="1"/>
      <c r="K288" s="1"/>
      <c r="N288" s="1"/>
      <c r="Q288" s="1"/>
      <c r="T288" s="1"/>
      <c r="W288" s="1"/>
      <c r="Z288" s="1"/>
      <c r="AC288" s="3"/>
    </row>
    <row r="289" ht="15.75" customHeight="1">
      <c r="E289" s="1"/>
      <c r="H289" s="1"/>
      <c r="K289" s="1"/>
      <c r="N289" s="1"/>
      <c r="Q289" s="1"/>
      <c r="T289" s="1"/>
      <c r="W289" s="1"/>
      <c r="Z289" s="1"/>
      <c r="AC289" s="3"/>
    </row>
    <row r="290" ht="15.75" customHeight="1">
      <c r="E290" s="1"/>
      <c r="H290" s="1"/>
      <c r="K290" s="1"/>
      <c r="N290" s="1"/>
      <c r="Q290" s="1"/>
      <c r="T290" s="1"/>
      <c r="W290" s="1"/>
      <c r="Z290" s="1"/>
      <c r="AC290" s="3"/>
    </row>
    <row r="291" ht="15.75" customHeight="1">
      <c r="E291" s="1"/>
      <c r="H291" s="1"/>
      <c r="K291" s="1"/>
      <c r="N291" s="1"/>
      <c r="Q291" s="1"/>
      <c r="T291" s="1"/>
      <c r="W291" s="1"/>
      <c r="Z291" s="1"/>
      <c r="AC291" s="3"/>
    </row>
    <row r="292" ht="15.75" customHeight="1">
      <c r="E292" s="1"/>
      <c r="H292" s="1"/>
      <c r="K292" s="1"/>
      <c r="N292" s="1"/>
      <c r="Q292" s="1"/>
      <c r="T292" s="1"/>
      <c r="W292" s="1"/>
      <c r="Z292" s="1"/>
      <c r="AC292" s="3"/>
    </row>
    <row r="293" ht="15.75" customHeight="1">
      <c r="E293" s="1"/>
      <c r="H293" s="1"/>
      <c r="K293" s="1"/>
      <c r="N293" s="1"/>
      <c r="Q293" s="1"/>
      <c r="T293" s="1"/>
      <c r="W293" s="1"/>
      <c r="Z293" s="1"/>
      <c r="AC293" s="3"/>
    </row>
    <row r="294" ht="15.75" customHeight="1">
      <c r="E294" s="1"/>
      <c r="H294" s="1"/>
      <c r="K294" s="1"/>
      <c r="N294" s="1"/>
      <c r="Q294" s="1"/>
      <c r="T294" s="1"/>
      <c r="W294" s="1"/>
      <c r="Z294" s="1"/>
      <c r="AC294" s="3"/>
    </row>
    <row r="295" ht="15.75" customHeight="1">
      <c r="E295" s="1"/>
      <c r="H295" s="1"/>
      <c r="K295" s="1"/>
      <c r="N295" s="1"/>
      <c r="Q295" s="1"/>
      <c r="T295" s="1"/>
      <c r="W295" s="1"/>
      <c r="Z295" s="1"/>
      <c r="AC295" s="3"/>
    </row>
    <row r="296" ht="15.75" customHeight="1">
      <c r="E296" s="1"/>
      <c r="H296" s="1"/>
      <c r="K296" s="1"/>
      <c r="N296" s="1"/>
      <c r="Q296" s="1"/>
      <c r="T296" s="1"/>
      <c r="W296" s="1"/>
      <c r="Z296" s="1"/>
      <c r="AC296" s="3"/>
    </row>
    <row r="297" ht="15.75" customHeight="1">
      <c r="E297" s="1"/>
      <c r="H297" s="1"/>
      <c r="K297" s="1"/>
      <c r="N297" s="1"/>
      <c r="Q297" s="1"/>
      <c r="T297" s="1"/>
      <c r="W297" s="1"/>
      <c r="Z297" s="1"/>
      <c r="AC297" s="3"/>
    </row>
    <row r="298" ht="15.75" customHeight="1">
      <c r="E298" s="1"/>
      <c r="H298" s="1"/>
      <c r="K298" s="1"/>
      <c r="N298" s="1"/>
      <c r="Q298" s="1"/>
      <c r="T298" s="1"/>
      <c r="W298" s="1"/>
      <c r="Z298" s="1"/>
      <c r="AC298" s="3"/>
    </row>
    <row r="299" ht="15.75" customHeight="1">
      <c r="E299" s="1"/>
      <c r="H299" s="1"/>
      <c r="K299" s="1"/>
      <c r="N299" s="1"/>
      <c r="Q299" s="1"/>
      <c r="T299" s="1"/>
      <c r="W299" s="1"/>
      <c r="Z299" s="1"/>
      <c r="AC299" s="3"/>
    </row>
    <row r="300" ht="15.75" customHeight="1">
      <c r="E300" s="1"/>
      <c r="H300" s="1"/>
      <c r="K300" s="1"/>
      <c r="N300" s="1"/>
      <c r="Q300" s="1"/>
      <c r="T300" s="1"/>
      <c r="W300" s="1"/>
      <c r="Z300" s="1"/>
      <c r="AC300" s="3"/>
    </row>
    <row r="301" ht="15.75" customHeight="1">
      <c r="E301" s="1"/>
      <c r="H301" s="1"/>
      <c r="K301" s="1"/>
      <c r="N301" s="1"/>
      <c r="Q301" s="1"/>
      <c r="T301" s="1"/>
      <c r="W301" s="1"/>
      <c r="Z301" s="1"/>
      <c r="AC301" s="3"/>
    </row>
    <row r="302" ht="15.75" customHeight="1">
      <c r="E302" s="1"/>
      <c r="H302" s="1"/>
      <c r="K302" s="1"/>
      <c r="N302" s="1"/>
      <c r="Q302" s="1"/>
      <c r="T302" s="1"/>
      <c r="W302" s="1"/>
      <c r="Z302" s="1"/>
      <c r="AC302" s="3"/>
    </row>
    <row r="303" ht="15.75" customHeight="1">
      <c r="E303" s="1"/>
      <c r="H303" s="1"/>
      <c r="K303" s="1"/>
      <c r="N303" s="1"/>
      <c r="Q303" s="1"/>
      <c r="T303" s="1"/>
      <c r="W303" s="1"/>
      <c r="Z303" s="1"/>
      <c r="AC303" s="3"/>
    </row>
    <row r="304" ht="15.75" customHeight="1">
      <c r="E304" s="1"/>
      <c r="H304" s="1"/>
      <c r="K304" s="1"/>
      <c r="N304" s="1"/>
      <c r="Q304" s="1"/>
      <c r="T304" s="1"/>
      <c r="W304" s="1"/>
      <c r="Z304" s="1"/>
      <c r="AC304" s="3"/>
    </row>
    <row r="305" ht="15.75" customHeight="1">
      <c r="E305" s="1"/>
      <c r="H305" s="1"/>
      <c r="K305" s="1"/>
      <c r="N305" s="1"/>
      <c r="Q305" s="1"/>
      <c r="T305" s="1"/>
      <c r="W305" s="1"/>
      <c r="Z305" s="1"/>
      <c r="AC305" s="3"/>
    </row>
    <row r="306" ht="15.75" customHeight="1">
      <c r="E306" s="1"/>
      <c r="H306" s="1"/>
      <c r="K306" s="1"/>
      <c r="N306" s="1"/>
      <c r="Q306" s="1"/>
      <c r="T306" s="1"/>
      <c r="W306" s="1"/>
      <c r="Z306" s="1"/>
      <c r="AC306" s="3"/>
    </row>
    <row r="307" ht="15.75" customHeight="1">
      <c r="E307" s="1"/>
      <c r="H307" s="1"/>
      <c r="K307" s="1"/>
      <c r="N307" s="1"/>
      <c r="Q307" s="1"/>
      <c r="T307" s="1"/>
      <c r="W307" s="1"/>
      <c r="Z307" s="1"/>
      <c r="AC307" s="3"/>
    </row>
    <row r="308" ht="15.75" customHeight="1">
      <c r="E308" s="1"/>
      <c r="H308" s="1"/>
      <c r="K308" s="1"/>
      <c r="N308" s="1"/>
      <c r="Q308" s="1"/>
      <c r="T308" s="1"/>
      <c r="W308" s="1"/>
      <c r="Z308" s="1"/>
      <c r="AC308" s="3"/>
    </row>
    <row r="309" ht="15.75" customHeight="1">
      <c r="E309" s="1"/>
      <c r="H309" s="1"/>
      <c r="K309" s="1"/>
      <c r="N309" s="1"/>
      <c r="Q309" s="1"/>
      <c r="T309" s="1"/>
      <c r="W309" s="1"/>
      <c r="Z309" s="1"/>
      <c r="AC309" s="3"/>
    </row>
    <row r="310" ht="15.75" customHeight="1">
      <c r="E310" s="1"/>
      <c r="H310" s="1"/>
      <c r="K310" s="1"/>
      <c r="N310" s="1"/>
      <c r="Q310" s="1"/>
      <c r="T310" s="1"/>
      <c r="W310" s="1"/>
      <c r="Z310" s="1"/>
      <c r="AC310" s="3"/>
    </row>
    <row r="311" ht="15.75" customHeight="1">
      <c r="E311" s="1"/>
      <c r="H311" s="1"/>
      <c r="K311" s="1"/>
      <c r="N311" s="1"/>
      <c r="Q311" s="1"/>
      <c r="T311" s="1"/>
      <c r="W311" s="1"/>
      <c r="Z311" s="1"/>
      <c r="AC311" s="3"/>
    </row>
    <row r="312" ht="15.75" customHeight="1">
      <c r="E312" s="1"/>
      <c r="H312" s="1"/>
      <c r="K312" s="1"/>
      <c r="N312" s="1"/>
      <c r="Q312" s="1"/>
      <c r="T312" s="1"/>
      <c r="W312" s="1"/>
      <c r="Z312" s="1"/>
      <c r="AC312" s="3"/>
    </row>
    <row r="313" ht="15.75" customHeight="1">
      <c r="E313" s="1"/>
      <c r="H313" s="1"/>
      <c r="K313" s="1"/>
      <c r="N313" s="1"/>
      <c r="Q313" s="1"/>
      <c r="T313" s="1"/>
      <c r="W313" s="1"/>
      <c r="Z313" s="1"/>
      <c r="AC313" s="3"/>
    </row>
    <row r="314" ht="15.75" customHeight="1">
      <c r="E314" s="1"/>
      <c r="H314" s="1"/>
      <c r="K314" s="1"/>
      <c r="N314" s="1"/>
      <c r="Q314" s="1"/>
      <c r="T314" s="1"/>
      <c r="W314" s="1"/>
      <c r="Z314" s="1"/>
      <c r="AC314" s="3"/>
    </row>
    <row r="315" ht="15.75" customHeight="1">
      <c r="E315" s="1"/>
      <c r="H315" s="1"/>
      <c r="K315" s="1"/>
      <c r="N315" s="1"/>
      <c r="Q315" s="1"/>
      <c r="T315" s="1"/>
      <c r="W315" s="1"/>
      <c r="Z315" s="1"/>
      <c r="AC315" s="3"/>
    </row>
    <row r="316" ht="15.75" customHeight="1">
      <c r="E316" s="1"/>
      <c r="H316" s="1"/>
      <c r="K316" s="1"/>
      <c r="N316" s="1"/>
      <c r="Q316" s="1"/>
      <c r="T316" s="1"/>
      <c r="W316" s="1"/>
      <c r="Z316" s="1"/>
      <c r="AC316" s="3"/>
    </row>
    <row r="317" ht="15.75" customHeight="1">
      <c r="E317" s="1"/>
      <c r="H317" s="1"/>
      <c r="K317" s="1"/>
      <c r="N317" s="1"/>
      <c r="Q317" s="1"/>
      <c r="T317" s="1"/>
      <c r="W317" s="1"/>
      <c r="Z317" s="1"/>
      <c r="AC317" s="3"/>
    </row>
    <row r="318" ht="15.75" customHeight="1">
      <c r="E318" s="1"/>
      <c r="H318" s="1"/>
      <c r="K318" s="1"/>
      <c r="N318" s="1"/>
      <c r="Q318" s="1"/>
      <c r="T318" s="1"/>
      <c r="W318" s="1"/>
      <c r="Z318" s="1"/>
      <c r="AC318" s="3"/>
    </row>
    <row r="319" ht="15.75" customHeight="1">
      <c r="E319" s="1"/>
      <c r="H319" s="1"/>
      <c r="K319" s="1"/>
      <c r="N319" s="1"/>
      <c r="Q319" s="1"/>
      <c r="T319" s="1"/>
      <c r="W319" s="1"/>
      <c r="Z319" s="1"/>
      <c r="AC319" s="3"/>
    </row>
    <row r="320" ht="15.75" customHeight="1">
      <c r="E320" s="1"/>
      <c r="H320" s="1"/>
      <c r="K320" s="1"/>
      <c r="N320" s="1"/>
      <c r="Q320" s="1"/>
      <c r="T320" s="1"/>
      <c r="W320" s="1"/>
      <c r="Z320" s="1"/>
      <c r="AC320" s="3"/>
    </row>
    <row r="321" ht="15.75" customHeight="1">
      <c r="E321" s="1"/>
      <c r="H321" s="1"/>
      <c r="K321" s="1"/>
      <c r="N321" s="1"/>
      <c r="Q321" s="1"/>
      <c r="T321" s="1"/>
      <c r="W321" s="1"/>
      <c r="Z321" s="1"/>
      <c r="AC321" s="3"/>
    </row>
    <row r="322" ht="15.75" customHeight="1">
      <c r="E322" s="1"/>
      <c r="H322" s="1"/>
      <c r="K322" s="1"/>
      <c r="N322" s="1"/>
      <c r="Q322" s="1"/>
      <c r="T322" s="1"/>
      <c r="W322" s="1"/>
      <c r="Z322" s="1"/>
      <c r="AC322" s="3"/>
    </row>
    <row r="323" ht="15.75" customHeight="1">
      <c r="E323" s="1"/>
      <c r="H323" s="1"/>
      <c r="K323" s="1"/>
      <c r="N323" s="1"/>
      <c r="Q323" s="1"/>
      <c r="T323" s="1"/>
      <c r="W323" s="1"/>
      <c r="Z323" s="1"/>
      <c r="AC323" s="3"/>
    </row>
    <row r="324" ht="15.75" customHeight="1">
      <c r="E324" s="1"/>
      <c r="H324" s="1"/>
      <c r="K324" s="1"/>
      <c r="N324" s="1"/>
      <c r="Q324" s="1"/>
      <c r="T324" s="1"/>
      <c r="W324" s="1"/>
      <c r="Z324" s="1"/>
      <c r="AC324" s="3"/>
    </row>
    <row r="325" ht="15.75" customHeight="1">
      <c r="E325" s="1"/>
      <c r="H325" s="1"/>
      <c r="K325" s="1"/>
      <c r="N325" s="1"/>
      <c r="Q325" s="1"/>
      <c r="T325" s="1"/>
      <c r="W325" s="1"/>
      <c r="Z325" s="1"/>
      <c r="AC325" s="3"/>
    </row>
    <row r="326" ht="15.75" customHeight="1">
      <c r="E326" s="1"/>
      <c r="H326" s="1"/>
      <c r="K326" s="1"/>
      <c r="N326" s="1"/>
      <c r="Q326" s="1"/>
      <c r="T326" s="1"/>
      <c r="W326" s="1"/>
      <c r="Z326" s="1"/>
      <c r="AC326" s="3"/>
    </row>
    <row r="327" ht="15.75" customHeight="1">
      <c r="E327" s="1"/>
      <c r="H327" s="1"/>
      <c r="K327" s="1"/>
      <c r="N327" s="1"/>
      <c r="Q327" s="1"/>
      <c r="T327" s="1"/>
      <c r="W327" s="1"/>
      <c r="Z327" s="1"/>
      <c r="AC327" s="3"/>
    </row>
    <row r="328" ht="15.75" customHeight="1">
      <c r="E328" s="1"/>
      <c r="H328" s="1"/>
      <c r="K328" s="1"/>
      <c r="N328" s="1"/>
      <c r="Q328" s="1"/>
      <c r="T328" s="1"/>
      <c r="W328" s="1"/>
      <c r="Z328" s="1"/>
      <c r="AC328" s="3"/>
    </row>
    <row r="329" ht="15.75" customHeight="1">
      <c r="E329" s="1"/>
      <c r="H329" s="1"/>
      <c r="K329" s="1"/>
      <c r="N329" s="1"/>
      <c r="Q329" s="1"/>
      <c r="T329" s="1"/>
      <c r="W329" s="1"/>
      <c r="Z329" s="1"/>
      <c r="AC329" s="3"/>
    </row>
    <row r="330" ht="15.75" customHeight="1">
      <c r="E330" s="1"/>
      <c r="H330" s="1"/>
      <c r="K330" s="1"/>
      <c r="N330" s="1"/>
      <c r="Q330" s="1"/>
      <c r="T330" s="1"/>
      <c r="W330" s="1"/>
      <c r="Z330" s="1"/>
      <c r="AC330" s="3"/>
    </row>
    <row r="331" ht="15.75" customHeight="1">
      <c r="E331" s="1"/>
      <c r="H331" s="1"/>
      <c r="K331" s="1"/>
      <c r="N331" s="1"/>
      <c r="Q331" s="1"/>
      <c r="T331" s="1"/>
      <c r="W331" s="1"/>
      <c r="Z331" s="1"/>
      <c r="AC331" s="3"/>
    </row>
    <row r="332" ht="15.75" customHeight="1">
      <c r="E332" s="1"/>
      <c r="H332" s="1"/>
      <c r="K332" s="1"/>
      <c r="N332" s="1"/>
      <c r="Q332" s="1"/>
      <c r="T332" s="1"/>
      <c r="W332" s="1"/>
      <c r="Z332" s="1"/>
      <c r="AC332" s="3"/>
    </row>
    <row r="333" ht="15.75" customHeight="1">
      <c r="E333" s="1"/>
      <c r="H333" s="1"/>
      <c r="K333" s="1"/>
      <c r="N333" s="1"/>
      <c r="Q333" s="1"/>
      <c r="T333" s="1"/>
      <c r="W333" s="1"/>
      <c r="Z333" s="1"/>
      <c r="AC333" s="3"/>
    </row>
    <row r="334" ht="15.75" customHeight="1">
      <c r="E334" s="1"/>
      <c r="H334" s="1"/>
      <c r="K334" s="1"/>
      <c r="N334" s="1"/>
      <c r="Q334" s="1"/>
      <c r="T334" s="1"/>
      <c r="W334" s="1"/>
      <c r="Z334" s="1"/>
      <c r="AC334" s="3"/>
    </row>
    <row r="335" ht="15.75" customHeight="1">
      <c r="E335" s="1"/>
      <c r="H335" s="1"/>
      <c r="K335" s="1"/>
      <c r="N335" s="1"/>
      <c r="Q335" s="1"/>
      <c r="T335" s="1"/>
      <c r="W335" s="1"/>
      <c r="Z335" s="1"/>
      <c r="AC335" s="3"/>
    </row>
    <row r="336" ht="15.75" customHeight="1">
      <c r="E336" s="1"/>
      <c r="H336" s="1"/>
      <c r="K336" s="1"/>
      <c r="N336" s="1"/>
      <c r="Q336" s="1"/>
      <c r="T336" s="1"/>
      <c r="W336" s="1"/>
      <c r="Z336" s="1"/>
      <c r="AC336" s="3"/>
    </row>
    <row r="337" ht="15.75" customHeight="1">
      <c r="E337" s="1"/>
      <c r="H337" s="1"/>
      <c r="K337" s="1"/>
      <c r="N337" s="1"/>
      <c r="Q337" s="1"/>
      <c r="T337" s="1"/>
      <c r="W337" s="1"/>
      <c r="Z337" s="1"/>
      <c r="AC337" s="3"/>
    </row>
    <row r="338" ht="15.75" customHeight="1">
      <c r="E338" s="1"/>
      <c r="H338" s="1"/>
      <c r="K338" s="1"/>
      <c r="N338" s="1"/>
      <c r="Q338" s="1"/>
      <c r="T338" s="1"/>
      <c r="W338" s="1"/>
      <c r="Z338" s="1"/>
      <c r="AC338" s="3"/>
    </row>
    <row r="339" ht="15.75" customHeight="1">
      <c r="E339" s="1"/>
      <c r="H339" s="1"/>
      <c r="K339" s="1"/>
      <c r="N339" s="1"/>
      <c r="Q339" s="1"/>
      <c r="T339" s="1"/>
      <c r="W339" s="1"/>
      <c r="Z339" s="1"/>
      <c r="AC339" s="3"/>
    </row>
    <row r="340" ht="15.75" customHeight="1">
      <c r="E340" s="1"/>
      <c r="H340" s="1"/>
      <c r="K340" s="1"/>
      <c r="N340" s="1"/>
      <c r="Q340" s="1"/>
      <c r="T340" s="1"/>
      <c r="W340" s="1"/>
      <c r="Z340" s="1"/>
      <c r="AC340" s="3"/>
    </row>
    <row r="341" ht="15.75" customHeight="1">
      <c r="E341" s="1"/>
      <c r="H341" s="1"/>
      <c r="K341" s="1"/>
      <c r="N341" s="1"/>
      <c r="Q341" s="1"/>
      <c r="T341" s="1"/>
      <c r="W341" s="1"/>
      <c r="Z341" s="1"/>
      <c r="AC341" s="3"/>
    </row>
    <row r="342" ht="15.75" customHeight="1">
      <c r="E342" s="1"/>
      <c r="H342" s="1"/>
      <c r="K342" s="1"/>
      <c r="N342" s="1"/>
      <c r="Q342" s="1"/>
      <c r="T342" s="1"/>
      <c r="W342" s="1"/>
      <c r="Z342" s="1"/>
      <c r="AC342" s="3"/>
    </row>
    <row r="343" ht="15.75" customHeight="1">
      <c r="E343" s="1"/>
      <c r="H343" s="1"/>
      <c r="K343" s="1"/>
      <c r="N343" s="1"/>
      <c r="Q343" s="1"/>
      <c r="T343" s="1"/>
      <c r="W343" s="1"/>
      <c r="Z343" s="1"/>
      <c r="AC343" s="3"/>
    </row>
    <row r="344" ht="15.75" customHeight="1">
      <c r="E344" s="1"/>
      <c r="H344" s="1"/>
      <c r="K344" s="1"/>
      <c r="N344" s="1"/>
      <c r="Q344" s="1"/>
      <c r="T344" s="1"/>
      <c r="W344" s="1"/>
      <c r="Z344" s="1"/>
      <c r="AC344" s="3"/>
    </row>
    <row r="345" ht="15.75" customHeight="1">
      <c r="E345" s="1"/>
      <c r="H345" s="1"/>
      <c r="K345" s="1"/>
      <c r="N345" s="1"/>
      <c r="Q345" s="1"/>
      <c r="T345" s="1"/>
      <c r="W345" s="1"/>
      <c r="Z345" s="1"/>
      <c r="AC345" s="3"/>
    </row>
    <row r="346" ht="15.75" customHeight="1">
      <c r="E346" s="1"/>
      <c r="H346" s="1"/>
      <c r="K346" s="1"/>
      <c r="N346" s="1"/>
      <c r="Q346" s="1"/>
      <c r="T346" s="1"/>
      <c r="W346" s="1"/>
      <c r="Z346" s="1"/>
      <c r="AC346" s="3"/>
    </row>
    <row r="347" ht="15.75" customHeight="1">
      <c r="E347" s="1"/>
      <c r="H347" s="1"/>
      <c r="K347" s="1"/>
      <c r="N347" s="1"/>
      <c r="Q347" s="1"/>
      <c r="T347" s="1"/>
      <c r="W347" s="1"/>
      <c r="Z347" s="1"/>
      <c r="AC347" s="3"/>
    </row>
    <row r="348" ht="15.75" customHeight="1">
      <c r="E348" s="1"/>
      <c r="H348" s="1"/>
      <c r="K348" s="1"/>
      <c r="N348" s="1"/>
      <c r="Q348" s="1"/>
      <c r="T348" s="1"/>
      <c r="W348" s="1"/>
      <c r="Z348" s="1"/>
      <c r="AC348" s="3"/>
    </row>
    <row r="349" ht="15.75" customHeight="1">
      <c r="E349" s="1"/>
      <c r="H349" s="1"/>
      <c r="K349" s="1"/>
      <c r="N349" s="1"/>
      <c r="Q349" s="1"/>
      <c r="T349" s="1"/>
      <c r="W349" s="1"/>
      <c r="Z349" s="1"/>
      <c r="AC349" s="3"/>
    </row>
    <row r="350" ht="15.75" customHeight="1">
      <c r="E350" s="1"/>
      <c r="H350" s="1"/>
      <c r="K350" s="1"/>
      <c r="N350" s="1"/>
      <c r="Q350" s="1"/>
      <c r="T350" s="1"/>
      <c r="W350" s="1"/>
      <c r="Z350" s="1"/>
      <c r="AC350" s="3"/>
    </row>
    <row r="351" ht="15.75" customHeight="1">
      <c r="E351" s="1"/>
      <c r="H351" s="1"/>
      <c r="K351" s="1"/>
      <c r="N351" s="1"/>
      <c r="Q351" s="1"/>
      <c r="T351" s="1"/>
      <c r="W351" s="1"/>
      <c r="Z351" s="1"/>
      <c r="AC351" s="3"/>
    </row>
    <row r="352" ht="15.75" customHeight="1">
      <c r="E352" s="1"/>
      <c r="H352" s="1"/>
      <c r="K352" s="1"/>
      <c r="N352" s="1"/>
      <c r="Q352" s="1"/>
      <c r="T352" s="1"/>
      <c r="W352" s="1"/>
      <c r="Z352" s="1"/>
      <c r="AC352" s="3"/>
    </row>
    <row r="353" ht="15.75" customHeight="1">
      <c r="E353" s="1"/>
      <c r="H353" s="1"/>
      <c r="K353" s="1"/>
      <c r="N353" s="1"/>
      <c r="Q353" s="1"/>
      <c r="T353" s="1"/>
      <c r="W353" s="1"/>
      <c r="Z353" s="1"/>
      <c r="AC353" s="3"/>
    </row>
    <row r="354" ht="15.75" customHeight="1">
      <c r="E354" s="1"/>
      <c r="H354" s="1"/>
      <c r="K354" s="1"/>
      <c r="N354" s="1"/>
      <c r="Q354" s="1"/>
      <c r="T354" s="1"/>
      <c r="W354" s="1"/>
      <c r="Z354" s="1"/>
      <c r="AC354" s="3"/>
    </row>
    <row r="355" ht="15.75" customHeight="1">
      <c r="E355" s="1"/>
      <c r="H355" s="1"/>
      <c r="K355" s="1"/>
      <c r="N355" s="1"/>
      <c r="Q355" s="1"/>
      <c r="T355" s="1"/>
      <c r="W355" s="1"/>
      <c r="Z355" s="1"/>
      <c r="AC355" s="3"/>
    </row>
    <row r="356" ht="15.75" customHeight="1">
      <c r="E356" s="1"/>
      <c r="H356" s="1"/>
      <c r="K356" s="1"/>
      <c r="N356" s="1"/>
      <c r="Q356" s="1"/>
      <c r="T356" s="1"/>
      <c r="W356" s="1"/>
      <c r="Z356" s="1"/>
      <c r="AC356" s="3"/>
    </row>
    <row r="357" ht="15.75" customHeight="1">
      <c r="E357" s="1"/>
      <c r="H357" s="1"/>
      <c r="K357" s="1"/>
      <c r="N357" s="1"/>
      <c r="Q357" s="1"/>
      <c r="T357" s="1"/>
      <c r="W357" s="1"/>
      <c r="Z357" s="1"/>
      <c r="AC357" s="3"/>
    </row>
    <row r="358" ht="15.75" customHeight="1">
      <c r="E358" s="1"/>
      <c r="H358" s="1"/>
      <c r="K358" s="1"/>
      <c r="N358" s="1"/>
      <c r="Q358" s="1"/>
      <c r="T358" s="1"/>
      <c r="W358" s="1"/>
      <c r="Z358" s="1"/>
      <c r="AC358" s="3"/>
    </row>
    <row r="359" ht="15.75" customHeight="1">
      <c r="E359" s="1"/>
      <c r="H359" s="1"/>
      <c r="K359" s="1"/>
      <c r="N359" s="1"/>
      <c r="Q359" s="1"/>
      <c r="T359" s="1"/>
      <c r="W359" s="1"/>
      <c r="Z359" s="1"/>
      <c r="AC359" s="3"/>
    </row>
    <row r="360" ht="15.75" customHeight="1">
      <c r="E360" s="1"/>
      <c r="H360" s="1"/>
      <c r="K360" s="1"/>
      <c r="N360" s="1"/>
      <c r="Q360" s="1"/>
      <c r="T360" s="1"/>
      <c r="W360" s="1"/>
      <c r="Z360" s="1"/>
      <c r="AC360" s="3"/>
    </row>
    <row r="361" ht="15.75" customHeight="1">
      <c r="E361" s="1"/>
      <c r="H361" s="1"/>
      <c r="K361" s="1"/>
      <c r="N361" s="1"/>
      <c r="Q361" s="1"/>
      <c r="T361" s="1"/>
      <c r="W361" s="1"/>
      <c r="Z361" s="1"/>
      <c r="AC361" s="3"/>
    </row>
    <row r="362" ht="15.75" customHeight="1">
      <c r="E362" s="1"/>
      <c r="H362" s="1"/>
      <c r="K362" s="1"/>
      <c r="N362" s="1"/>
      <c r="Q362" s="1"/>
      <c r="T362" s="1"/>
      <c r="W362" s="1"/>
      <c r="Z362" s="1"/>
      <c r="AC362" s="3"/>
    </row>
    <row r="363" ht="15.75" customHeight="1">
      <c r="E363" s="1"/>
      <c r="H363" s="1"/>
      <c r="K363" s="1"/>
      <c r="N363" s="1"/>
      <c r="Q363" s="1"/>
      <c r="T363" s="1"/>
      <c r="W363" s="1"/>
      <c r="Z363" s="1"/>
      <c r="AC363" s="3"/>
    </row>
    <row r="364" ht="15.75" customHeight="1">
      <c r="E364" s="1"/>
      <c r="H364" s="1"/>
      <c r="K364" s="1"/>
      <c r="N364" s="1"/>
      <c r="Q364" s="1"/>
      <c r="T364" s="1"/>
      <c r="W364" s="1"/>
      <c r="Z364" s="1"/>
      <c r="AC364" s="3"/>
    </row>
    <row r="365" ht="15.75" customHeight="1">
      <c r="E365" s="1"/>
      <c r="H365" s="1"/>
      <c r="K365" s="1"/>
      <c r="N365" s="1"/>
      <c r="Q365" s="1"/>
      <c r="T365" s="1"/>
      <c r="W365" s="1"/>
      <c r="Z365" s="1"/>
      <c r="AC365" s="3"/>
    </row>
    <row r="366" ht="15.75" customHeight="1">
      <c r="E366" s="1"/>
      <c r="H366" s="1"/>
      <c r="K366" s="1"/>
      <c r="N366" s="1"/>
      <c r="Q366" s="1"/>
      <c r="T366" s="1"/>
      <c r="W366" s="1"/>
      <c r="Z366" s="1"/>
      <c r="AC366" s="3"/>
    </row>
    <row r="367" ht="15.75" customHeight="1">
      <c r="E367" s="1"/>
      <c r="H367" s="1"/>
      <c r="K367" s="1"/>
      <c r="N367" s="1"/>
      <c r="Q367" s="1"/>
      <c r="T367" s="1"/>
      <c r="W367" s="1"/>
      <c r="Z367" s="1"/>
      <c r="AC367" s="3"/>
    </row>
    <row r="368" ht="15.75" customHeight="1">
      <c r="E368" s="1"/>
      <c r="H368" s="1"/>
      <c r="K368" s="1"/>
      <c r="N368" s="1"/>
      <c r="Q368" s="1"/>
      <c r="T368" s="1"/>
      <c r="W368" s="1"/>
      <c r="Z368" s="1"/>
      <c r="AC368" s="3"/>
    </row>
    <row r="369" ht="15.75" customHeight="1">
      <c r="E369" s="1"/>
      <c r="H369" s="1"/>
      <c r="K369" s="1"/>
      <c r="N369" s="1"/>
      <c r="Q369" s="1"/>
      <c r="T369" s="1"/>
      <c r="W369" s="1"/>
      <c r="Z369" s="1"/>
      <c r="AC369" s="3"/>
    </row>
    <row r="370" ht="15.75" customHeight="1">
      <c r="E370" s="1"/>
      <c r="H370" s="1"/>
      <c r="K370" s="1"/>
      <c r="N370" s="1"/>
      <c r="Q370" s="1"/>
      <c r="T370" s="1"/>
      <c r="W370" s="1"/>
      <c r="Z370" s="1"/>
      <c r="AC370" s="3"/>
    </row>
    <row r="371" ht="15.75" customHeight="1">
      <c r="E371" s="1"/>
      <c r="H371" s="1"/>
      <c r="K371" s="1"/>
      <c r="N371" s="1"/>
      <c r="Q371" s="1"/>
      <c r="T371" s="1"/>
      <c r="W371" s="1"/>
      <c r="Z371" s="1"/>
      <c r="AC371" s="3"/>
    </row>
    <row r="372" ht="15.75" customHeight="1">
      <c r="E372" s="1"/>
      <c r="H372" s="1"/>
      <c r="K372" s="1"/>
      <c r="N372" s="1"/>
      <c r="Q372" s="1"/>
      <c r="T372" s="1"/>
      <c r="W372" s="1"/>
      <c r="Z372" s="1"/>
      <c r="AC372" s="3"/>
    </row>
    <row r="373" ht="15.75" customHeight="1">
      <c r="E373" s="1"/>
      <c r="H373" s="1"/>
      <c r="K373" s="1"/>
      <c r="N373" s="1"/>
      <c r="Q373" s="1"/>
      <c r="T373" s="1"/>
      <c r="W373" s="1"/>
      <c r="Z373" s="1"/>
      <c r="AC373" s="3"/>
    </row>
    <row r="374" ht="15.75" customHeight="1">
      <c r="E374" s="1"/>
      <c r="H374" s="1"/>
      <c r="K374" s="1"/>
      <c r="N374" s="1"/>
      <c r="Q374" s="1"/>
      <c r="T374" s="1"/>
      <c r="W374" s="1"/>
      <c r="Z374" s="1"/>
      <c r="AC374" s="3"/>
    </row>
    <row r="375" ht="15.75" customHeight="1">
      <c r="E375" s="1"/>
      <c r="H375" s="1"/>
      <c r="K375" s="1"/>
      <c r="N375" s="1"/>
      <c r="Q375" s="1"/>
      <c r="T375" s="1"/>
      <c r="W375" s="1"/>
      <c r="Z375" s="1"/>
      <c r="AC375" s="3"/>
    </row>
    <row r="376" ht="15.75" customHeight="1">
      <c r="E376" s="1"/>
      <c r="H376" s="1"/>
      <c r="K376" s="1"/>
      <c r="N376" s="1"/>
      <c r="Q376" s="1"/>
      <c r="T376" s="1"/>
      <c r="W376" s="1"/>
      <c r="Z376" s="1"/>
      <c r="AC376" s="3"/>
    </row>
    <row r="377" ht="15.75" customHeight="1">
      <c r="E377" s="1"/>
      <c r="H377" s="1"/>
      <c r="K377" s="1"/>
      <c r="N377" s="1"/>
      <c r="Q377" s="1"/>
      <c r="T377" s="1"/>
      <c r="W377" s="1"/>
      <c r="Z377" s="1"/>
      <c r="AC377" s="3"/>
    </row>
    <row r="378" ht="15.75" customHeight="1">
      <c r="E378" s="1"/>
      <c r="H378" s="1"/>
      <c r="K378" s="1"/>
      <c r="N378" s="1"/>
      <c r="Q378" s="1"/>
      <c r="T378" s="1"/>
      <c r="W378" s="1"/>
      <c r="Z378" s="1"/>
      <c r="AC378" s="3"/>
    </row>
    <row r="379" ht="15.75" customHeight="1">
      <c r="E379" s="1"/>
      <c r="H379" s="1"/>
      <c r="K379" s="1"/>
      <c r="N379" s="1"/>
      <c r="Q379" s="1"/>
      <c r="T379" s="1"/>
      <c r="W379" s="1"/>
      <c r="Z379" s="1"/>
      <c r="AC379" s="3"/>
    </row>
    <row r="380" ht="15.75" customHeight="1">
      <c r="E380" s="1"/>
      <c r="H380" s="1"/>
      <c r="K380" s="1"/>
      <c r="N380" s="1"/>
      <c r="Q380" s="1"/>
      <c r="T380" s="1"/>
      <c r="W380" s="1"/>
      <c r="Z380" s="1"/>
      <c r="AC380" s="3"/>
    </row>
    <row r="381" ht="15.75" customHeight="1">
      <c r="E381" s="1"/>
      <c r="H381" s="1"/>
      <c r="K381" s="1"/>
      <c r="N381" s="1"/>
      <c r="Q381" s="1"/>
      <c r="T381" s="1"/>
      <c r="W381" s="1"/>
      <c r="Z381" s="1"/>
      <c r="AC381" s="3"/>
    </row>
    <row r="382" ht="15.75" customHeight="1">
      <c r="E382" s="1"/>
      <c r="H382" s="1"/>
      <c r="K382" s="1"/>
      <c r="N382" s="1"/>
      <c r="Q382" s="1"/>
      <c r="T382" s="1"/>
      <c r="W382" s="1"/>
      <c r="Z382" s="1"/>
      <c r="AC382" s="3"/>
    </row>
    <row r="383" ht="15.75" customHeight="1">
      <c r="E383" s="1"/>
      <c r="H383" s="1"/>
      <c r="K383" s="1"/>
      <c r="N383" s="1"/>
      <c r="Q383" s="1"/>
      <c r="T383" s="1"/>
      <c r="W383" s="1"/>
      <c r="Z383" s="1"/>
      <c r="AC383" s="3"/>
    </row>
    <row r="384" ht="15.75" customHeight="1">
      <c r="E384" s="1"/>
      <c r="H384" s="1"/>
      <c r="K384" s="1"/>
      <c r="N384" s="1"/>
      <c r="Q384" s="1"/>
      <c r="T384" s="1"/>
      <c r="W384" s="1"/>
      <c r="Z384" s="1"/>
      <c r="AC384" s="3"/>
    </row>
    <row r="385" ht="15.75" customHeight="1">
      <c r="E385" s="1"/>
      <c r="H385" s="1"/>
      <c r="K385" s="1"/>
      <c r="N385" s="1"/>
      <c r="Q385" s="1"/>
      <c r="T385" s="1"/>
      <c r="W385" s="1"/>
      <c r="Z385" s="1"/>
      <c r="AC385" s="3"/>
    </row>
    <row r="386" ht="15.75" customHeight="1">
      <c r="E386" s="1"/>
      <c r="H386" s="1"/>
      <c r="K386" s="1"/>
      <c r="N386" s="1"/>
      <c r="Q386" s="1"/>
      <c r="T386" s="1"/>
      <c r="W386" s="1"/>
      <c r="Z386" s="1"/>
      <c r="AC386" s="3"/>
    </row>
    <row r="387" ht="15.75" customHeight="1">
      <c r="E387" s="1"/>
      <c r="H387" s="1"/>
      <c r="K387" s="1"/>
      <c r="N387" s="1"/>
      <c r="Q387" s="1"/>
      <c r="T387" s="1"/>
      <c r="W387" s="1"/>
      <c r="Z387" s="1"/>
      <c r="AC387" s="3"/>
    </row>
    <row r="388" ht="15.75" customHeight="1">
      <c r="E388" s="1"/>
      <c r="H388" s="1"/>
      <c r="K388" s="1"/>
      <c r="N388" s="1"/>
      <c r="Q388" s="1"/>
      <c r="T388" s="1"/>
      <c r="W388" s="1"/>
      <c r="Z388" s="1"/>
      <c r="AC388" s="3"/>
    </row>
    <row r="389" ht="15.75" customHeight="1">
      <c r="E389" s="1"/>
      <c r="H389" s="1"/>
      <c r="K389" s="1"/>
      <c r="N389" s="1"/>
      <c r="Q389" s="1"/>
      <c r="T389" s="1"/>
      <c r="W389" s="1"/>
      <c r="Z389" s="1"/>
      <c r="AC389" s="3"/>
    </row>
    <row r="390" ht="15.75" customHeight="1">
      <c r="E390" s="1"/>
      <c r="H390" s="1"/>
      <c r="K390" s="1"/>
      <c r="N390" s="1"/>
      <c r="Q390" s="1"/>
      <c r="T390" s="1"/>
      <c r="W390" s="1"/>
      <c r="Z390" s="1"/>
      <c r="AC390" s="3"/>
    </row>
    <row r="391" ht="15.75" customHeight="1">
      <c r="E391" s="1"/>
      <c r="H391" s="1"/>
      <c r="K391" s="1"/>
      <c r="N391" s="1"/>
      <c r="Q391" s="1"/>
      <c r="T391" s="1"/>
      <c r="W391" s="1"/>
      <c r="Z391" s="1"/>
      <c r="AC391" s="3"/>
    </row>
    <row r="392" ht="15.75" customHeight="1">
      <c r="E392" s="1"/>
      <c r="H392" s="1"/>
      <c r="K392" s="1"/>
      <c r="N392" s="1"/>
      <c r="Q392" s="1"/>
      <c r="T392" s="1"/>
      <c r="W392" s="1"/>
      <c r="Z392" s="1"/>
      <c r="AC392" s="3"/>
    </row>
    <row r="393" ht="15.75" customHeight="1">
      <c r="E393" s="1"/>
      <c r="H393" s="1"/>
      <c r="K393" s="1"/>
      <c r="N393" s="1"/>
      <c r="Q393" s="1"/>
      <c r="T393" s="1"/>
      <c r="W393" s="1"/>
      <c r="Z393" s="1"/>
      <c r="AC393" s="3"/>
    </row>
    <row r="394" ht="15.75" customHeight="1">
      <c r="E394" s="1"/>
      <c r="H394" s="1"/>
      <c r="K394" s="1"/>
      <c r="N394" s="1"/>
      <c r="Q394" s="1"/>
      <c r="T394" s="1"/>
      <c r="W394" s="1"/>
      <c r="Z394" s="1"/>
      <c r="AC394" s="3"/>
    </row>
    <row r="395" ht="15.75" customHeight="1">
      <c r="E395" s="1"/>
      <c r="H395" s="1"/>
      <c r="K395" s="1"/>
      <c r="N395" s="1"/>
      <c r="Q395" s="1"/>
      <c r="T395" s="1"/>
      <c r="W395" s="1"/>
      <c r="Z395" s="1"/>
      <c r="AC395" s="3"/>
    </row>
    <row r="396" ht="15.75" customHeight="1">
      <c r="E396" s="1"/>
      <c r="H396" s="1"/>
      <c r="K396" s="1"/>
      <c r="N396" s="1"/>
      <c r="Q396" s="1"/>
      <c r="T396" s="1"/>
      <c r="W396" s="1"/>
      <c r="Z396" s="1"/>
      <c r="AC396" s="3"/>
    </row>
    <row r="397" ht="15.75" customHeight="1">
      <c r="E397" s="1"/>
      <c r="H397" s="1"/>
      <c r="K397" s="1"/>
      <c r="N397" s="1"/>
      <c r="Q397" s="1"/>
      <c r="T397" s="1"/>
      <c r="W397" s="1"/>
      <c r="Z397" s="1"/>
      <c r="AC397" s="3"/>
    </row>
    <row r="398" ht="15.75" customHeight="1">
      <c r="E398" s="1"/>
      <c r="H398" s="1"/>
      <c r="K398" s="1"/>
      <c r="N398" s="1"/>
      <c r="Q398" s="1"/>
      <c r="T398" s="1"/>
      <c r="W398" s="1"/>
      <c r="Z398" s="1"/>
      <c r="AC398" s="3"/>
    </row>
    <row r="399" ht="15.75" customHeight="1">
      <c r="E399" s="1"/>
      <c r="H399" s="1"/>
      <c r="K399" s="1"/>
      <c r="N399" s="1"/>
      <c r="Q399" s="1"/>
      <c r="T399" s="1"/>
      <c r="W399" s="1"/>
      <c r="Z399" s="1"/>
      <c r="AC399" s="3"/>
    </row>
    <row r="400" ht="15.75" customHeight="1">
      <c r="E400" s="1"/>
      <c r="H400" s="1"/>
      <c r="K400" s="1"/>
      <c r="N400" s="1"/>
      <c r="Q400" s="1"/>
      <c r="T400" s="1"/>
      <c r="W400" s="1"/>
      <c r="Z400" s="1"/>
      <c r="AC400" s="3"/>
    </row>
    <row r="401" ht="15.75" customHeight="1">
      <c r="E401" s="1"/>
      <c r="H401" s="1"/>
      <c r="K401" s="1"/>
      <c r="N401" s="1"/>
      <c r="Q401" s="1"/>
      <c r="T401" s="1"/>
      <c r="W401" s="1"/>
      <c r="Z401" s="1"/>
      <c r="AC401" s="3"/>
    </row>
    <row r="402" ht="15.75" customHeight="1">
      <c r="E402" s="1"/>
      <c r="H402" s="1"/>
      <c r="K402" s="1"/>
      <c r="N402" s="1"/>
      <c r="Q402" s="1"/>
      <c r="T402" s="1"/>
      <c r="W402" s="1"/>
      <c r="Z402" s="1"/>
      <c r="AC402" s="3"/>
    </row>
    <row r="403" ht="15.75" customHeight="1">
      <c r="E403" s="1"/>
      <c r="H403" s="1"/>
      <c r="K403" s="1"/>
      <c r="N403" s="1"/>
      <c r="Q403" s="1"/>
      <c r="T403" s="1"/>
      <c r="W403" s="1"/>
      <c r="Z403" s="1"/>
      <c r="AC403" s="3"/>
    </row>
    <row r="404" ht="15.75" customHeight="1">
      <c r="E404" s="1"/>
      <c r="H404" s="1"/>
      <c r="K404" s="1"/>
      <c r="N404" s="1"/>
      <c r="Q404" s="1"/>
      <c r="T404" s="1"/>
      <c r="W404" s="1"/>
      <c r="Z404" s="1"/>
      <c r="AC404" s="3"/>
    </row>
    <row r="405" ht="15.75" customHeight="1">
      <c r="E405" s="1"/>
      <c r="H405" s="1"/>
      <c r="K405" s="1"/>
      <c r="N405" s="1"/>
      <c r="Q405" s="1"/>
      <c r="T405" s="1"/>
      <c r="W405" s="1"/>
      <c r="Z405" s="1"/>
      <c r="AC405" s="3"/>
    </row>
    <row r="406" ht="15.75" customHeight="1">
      <c r="E406" s="1"/>
      <c r="H406" s="1"/>
      <c r="K406" s="1"/>
      <c r="N406" s="1"/>
      <c r="Q406" s="1"/>
      <c r="T406" s="1"/>
      <c r="W406" s="1"/>
      <c r="Z406" s="1"/>
      <c r="AC406" s="3"/>
    </row>
    <row r="407" ht="15.75" customHeight="1">
      <c r="E407" s="1"/>
      <c r="H407" s="1"/>
      <c r="K407" s="1"/>
      <c r="N407" s="1"/>
      <c r="Q407" s="1"/>
      <c r="T407" s="1"/>
      <c r="W407" s="1"/>
      <c r="Z407" s="1"/>
      <c r="AC407" s="3"/>
    </row>
    <row r="408" ht="15.75" customHeight="1">
      <c r="E408" s="1"/>
      <c r="H408" s="1"/>
      <c r="K408" s="1"/>
      <c r="N408" s="1"/>
      <c r="Q408" s="1"/>
      <c r="T408" s="1"/>
      <c r="W408" s="1"/>
      <c r="Z408" s="1"/>
      <c r="AC408" s="3"/>
    </row>
    <row r="409" ht="15.75" customHeight="1">
      <c r="E409" s="1"/>
      <c r="H409" s="1"/>
      <c r="K409" s="1"/>
      <c r="N409" s="1"/>
      <c r="Q409" s="1"/>
      <c r="T409" s="1"/>
      <c r="W409" s="1"/>
      <c r="Z409" s="1"/>
      <c r="AC409" s="3"/>
    </row>
    <row r="410" ht="15.75" customHeight="1">
      <c r="E410" s="1"/>
      <c r="H410" s="1"/>
      <c r="K410" s="1"/>
      <c r="N410" s="1"/>
      <c r="Q410" s="1"/>
      <c r="T410" s="1"/>
      <c r="W410" s="1"/>
      <c r="Z410" s="1"/>
      <c r="AC410" s="3"/>
    </row>
    <row r="411" ht="15.75" customHeight="1">
      <c r="E411" s="1"/>
      <c r="H411" s="1"/>
      <c r="K411" s="1"/>
      <c r="N411" s="1"/>
      <c r="Q411" s="1"/>
      <c r="T411" s="1"/>
      <c r="W411" s="1"/>
      <c r="Z411" s="1"/>
      <c r="AC411" s="3"/>
    </row>
    <row r="412" ht="15.75" customHeight="1">
      <c r="E412" s="1"/>
      <c r="H412" s="1"/>
      <c r="K412" s="1"/>
      <c r="N412" s="1"/>
      <c r="Q412" s="1"/>
      <c r="T412" s="1"/>
      <c r="W412" s="1"/>
      <c r="Z412" s="1"/>
      <c r="AC412" s="3"/>
    </row>
    <row r="413" ht="15.75" customHeight="1">
      <c r="E413" s="1"/>
      <c r="H413" s="1"/>
      <c r="K413" s="1"/>
      <c r="N413" s="1"/>
      <c r="Q413" s="1"/>
      <c r="T413" s="1"/>
      <c r="W413" s="1"/>
      <c r="Z413" s="1"/>
      <c r="AC413" s="3"/>
    </row>
    <row r="414" ht="15.75" customHeight="1">
      <c r="E414" s="1"/>
      <c r="H414" s="1"/>
      <c r="K414" s="1"/>
      <c r="N414" s="1"/>
      <c r="Q414" s="1"/>
      <c r="T414" s="1"/>
      <c r="W414" s="1"/>
      <c r="Z414" s="1"/>
      <c r="AC414" s="3"/>
    </row>
    <row r="415" ht="15.75" customHeight="1">
      <c r="E415" s="1"/>
      <c r="H415" s="1"/>
      <c r="K415" s="1"/>
      <c r="N415" s="1"/>
      <c r="Q415" s="1"/>
      <c r="T415" s="1"/>
      <c r="W415" s="1"/>
      <c r="Z415" s="1"/>
      <c r="AC415" s="3"/>
    </row>
    <row r="416" ht="15.75" customHeight="1">
      <c r="E416" s="1"/>
      <c r="H416" s="1"/>
      <c r="K416" s="1"/>
      <c r="N416" s="1"/>
      <c r="Q416" s="1"/>
      <c r="T416" s="1"/>
      <c r="W416" s="1"/>
      <c r="Z416" s="1"/>
      <c r="AC416" s="3"/>
    </row>
    <row r="417" ht="15.75" customHeight="1">
      <c r="E417" s="1"/>
      <c r="H417" s="1"/>
      <c r="K417" s="1"/>
      <c r="N417" s="1"/>
      <c r="Q417" s="1"/>
      <c r="T417" s="1"/>
      <c r="W417" s="1"/>
      <c r="Z417" s="1"/>
      <c r="AC417" s="3"/>
    </row>
    <row r="418" ht="15.75" customHeight="1">
      <c r="E418" s="1"/>
      <c r="H418" s="1"/>
      <c r="K418" s="1"/>
      <c r="N418" s="1"/>
      <c r="Q418" s="1"/>
      <c r="T418" s="1"/>
      <c r="W418" s="1"/>
      <c r="Z418" s="1"/>
      <c r="AC418" s="3"/>
    </row>
    <row r="419" ht="15.75" customHeight="1">
      <c r="E419" s="1"/>
      <c r="H419" s="1"/>
      <c r="K419" s="1"/>
      <c r="N419" s="1"/>
      <c r="Q419" s="1"/>
      <c r="T419" s="1"/>
      <c r="W419" s="1"/>
      <c r="Z419" s="1"/>
      <c r="AC419" s="3"/>
    </row>
    <row r="420" ht="15.75" customHeight="1">
      <c r="E420" s="1"/>
      <c r="H420" s="1"/>
      <c r="K420" s="1"/>
      <c r="N420" s="1"/>
      <c r="Q420" s="1"/>
      <c r="T420" s="1"/>
      <c r="W420" s="1"/>
      <c r="Z420" s="1"/>
      <c r="AC420" s="3"/>
    </row>
    <row r="421" ht="15.75" customHeight="1">
      <c r="E421" s="1"/>
      <c r="H421" s="1"/>
      <c r="K421" s="1"/>
      <c r="N421" s="1"/>
      <c r="Q421" s="1"/>
      <c r="T421" s="1"/>
      <c r="W421" s="1"/>
      <c r="Z421" s="1"/>
      <c r="AC421" s="3"/>
    </row>
    <row r="422" ht="15.75" customHeight="1">
      <c r="E422" s="1"/>
      <c r="H422" s="1"/>
      <c r="K422" s="1"/>
      <c r="N422" s="1"/>
      <c r="Q422" s="1"/>
      <c r="T422" s="1"/>
      <c r="W422" s="1"/>
      <c r="Z422" s="1"/>
      <c r="AC422" s="3"/>
    </row>
    <row r="423" ht="15.75" customHeight="1">
      <c r="E423" s="1"/>
      <c r="H423" s="1"/>
      <c r="K423" s="1"/>
      <c r="N423" s="1"/>
      <c r="Q423" s="1"/>
      <c r="T423" s="1"/>
      <c r="W423" s="1"/>
      <c r="Z423" s="1"/>
      <c r="AC423" s="3"/>
    </row>
    <row r="424" ht="15.75" customHeight="1">
      <c r="E424" s="1"/>
      <c r="H424" s="1"/>
      <c r="K424" s="1"/>
      <c r="N424" s="1"/>
      <c r="Q424" s="1"/>
      <c r="T424" s="1"/>
      <c r="W424" s="1"/>
      <c r="Z424" s="1"/>
      <c r="AC424" s="3"/>
    </row>
    <row r="425" ht="15.75" customHeight="1">
      <c r="E425" s="1"/>
      <c r="H425" s="1"/>
      <c r="K425" s="1"/>
      <c r="N425" s="1"/>
      <c r="Q425" s="1"/>
      <c r="T425" s="1"/>
      <c r="W425" s="1"/>
      <c r="Z425" s="1"/>
      <c r="AC425" s="3"/>
    </row>
    <row r="426" ht="15.75" customHeight="1">
      <c r="E426" s="1"/>
      <c r="H426" s="1"/>
      <c r="K426" s="1"/>
      <c r="N426" s="1"/>
      <c r="Q426" s="1"/>
      <c r="T426" s="1"/>
      <c r="W426" s="1"/>
      <c r="Z426" s="1"/>
      <c r="AC426" s="3"/>
    </row>
    <row r="427" ht="15.75" customHeight="1">
      <c r="E427" s="1"/>
      <c r="H427" s="1"/>
      <c r="K427" s="1"/>
      <c r="N427" s="1"/>
      <c r="Q427" s="1"/>
      <c r="T427" s="1"/>
      <c r="W427" s="1"/>
      <c r="Z427" s="1"/>
      <c r="AC427" s="3"/>
    </row>
    <row r="428" ht="15.75" customHeight="1">
      <c r="E428" s="1"/>
      <c r="H428" s="1"/>
      <c r="K428" s="1"/>
      <c r="N428" s="1"/>
      <c r="Q428" s="1"/>
      <c r="T428" s="1"/>
      <c r="W428" s="1"/>
      <c r="Z428" s="1"/>
      <c r="AC428" s="3"/>
    </row>
    <row r="429" ht="15.75" customHeight="1">
      <c r="E429" s="1"/>
      <c r="H429" s="1"/>
      <c r="K429" s="1"/>
      <c r="N429" s="1"/>
      <c r="Q429" s="1"/>
      <c r="T429" s="1"/>
      <c r="W429" s="1"/>
      <c r="Z429" s="1"/>
      <c r="AC429" s="3"/>
    </row>
    <row r="430" ht="15.75" customHeight="1">
      <c r="E430" s="1"/>
      <c r="H430" s="1"/>
      <c r="K430" s="1"/>
      <c r="N430" s="1"/>
      <c r="Q430" s="1"/>
      <c r="T430" s="1"/>
      <c r="W430" s="1"/>
      <c r="Z430" s="1"/>
      <c r="AC430" s="3"/>
    </row>
    <row r="431" ht="15.75" customHeight="1">
      <c r="E431" s="1"/>
      <c r="H431" s="1"/>
      <c r="K431" s="1"/>
      <c r="N431" s="1"/>
      <c r="Q431" s="1"/>
      <c r="T431" s="1"/>
      <c r="W431" s="1"/>
      <c r="Z431" s="1"/>
      <c r="AC431" s="3"/>
    </row>
    <row r="432" ht="15.75" customHeight="1">
      <c r="E432" s="1"/>
      <c r="H432" s="1"/>
      <c r="K432" s="1"/>
      <c r="N432" s="1"/>
      <c r="Q432" s="1"/>
      <c r="T432" s="1"/>
      <c r="W432" s="1"/>
      <c r="Z432" s="1"/>
      <c r="AC432" s="3"/>
    </row>
    <row r="433" ht="15.75" customHeight="1">
      <c r="E433" s="1"/>
      <c r="H433" s="1"/>
      <c r="K433" s="1"/>
      <c r="N433" s="1"/>
      <c r="Q433" s="1"/>
      <c r="T433" s="1"/>
      <c r="W433" s="1"/>
      <c r="Z433" s="1"/>
      <c r="AC433" s="3"/>
    </row>
    <row r="434" ht="15.75" customHeight="1">
      <c r="E434" s="1"/>
      <c r="H434" s="1"/>
      <c r="K434" s="1"/>
      <c r="N434" s="1"/>
      <c r="Q434" s="1"/>
      <c r="T434" s="1"/>
      <c r="W434" s="1"/>
      <c r="Z434" s="1"/>
      <c r="AC434" s="3"/>
    </row>
    <row r="435" ht="15.75" customHeight="1">
      <c r="E435" s="1"/>
      <c r="H435" s="1"/>
      <c r="K435" s="1"/>
      <c r="N435" s="1"/>
      <c r="Q435" s="1"/>
      <c r="T435" s="1"/>
      <c r="W435" s="1"/>
      <c r="Z435" s="1"/>
      <c r="AC435" s="3"/>
    </row>
    <row r="436" ht="15.75" customHeight="1">
      <c r="E436" s="1"/>
      <c r="H436" s="1"/>
      <c r="K436" s="1"/>
      <c r="N436" s="1"/>
      <c r="Q436" s="1"/>
      <c r="T436" s="1"/>
      <c r="W436" s="1"/>
      <c r="Z436" s="1"/>
      <c r="AC436" s="3"/>
    </row>
    <row r="437" ht="15.75" customHeight="1">
      <c r="E437" s="1"/>
      <c r="H437" s="1"/>
      <c r="K437" s="1"/>
      <c r="N437" s="1"/>
      <c r="Q437" s="1"/>
      <c r="T437" s="1"/>
      <c r="W437" s="1"/>
      <c r="Z437" s="1"/>
      <c r="AC437" s="3"/>
    </row>
    <row r="438" ht="15.75" customHeight="1">
      <c r="E438" s="1"/>
      <c r="H438" s="1"/>
      <c r="K438" s="1"/>
      <c r="N438" s="1"/>
      <c r="Q438" s="1"/>
      <c r="T438" s="1"/>
      <c r="W438" s="1"/>
      <c r="Z438" s="1"/>
      <c r="AC438" s="3"/>
    </row>
    <row r="439" ht="15.75" customHeight="1">
      <c r="E439" s="1"/>
      <c r="H439" s="1"/>
      <c r="K439" s="1"/>
      <c r="N439" s="1"/>
      <c r="Q439" s="1"/>
      <c r="T439" s="1"/>
      <c r="W439" s="1"/>
      <c r="Z439" s="1"/>
      <c r="AC439" s="3"/>
    </row>
    <row r="440" ht="15.75" customHeight="1">
      <c r="E440" s="1"/>
      <c r="H440" s="1"/>
      <c r="K440" s="1"/>
      <c r="N440" s="1"/>
      <c r="Q440" s="1"/>
      <c r="T440" s="1"/>
      <c r="W440" s="1"/>
      <c r="Z440" s="1"/>
      <c r="AC440" s="3"/>
    </row>
    <row r="441" ht="15.75" customHeight="1">
      <c r="E441" s="1"/>
      <c r="H441" s="1"/>
      <c r="K441" s="1"/>
      <c r="N441" s="1"/>
      <c r="Q441" s="1"/>
      <c r="T441" s="1"/>
      <c r="W441" s="1"/>
      <c r="Z441" s="1"/>
      <c r="AC441" s="3"/>
    </row>
    <row r="442" ht="15.75" customHeight="1">
      <c r="E442" s="1"/>
      <c r="H442" s="1"/>
      <c r="K442" s="1"/>
      <c r="N442" s="1"/>
      <c r="Q442" s="1"/>
      <c r="T442" s="1"/>
      <c r="W442" s="1"/>
      <c r="Z442" s="1"/>
      <c r="AC442" s="3"/>
    </row>
    <row r="443" ht="15.75" customHeight="1">
      <c r="E443" s="1"/>
      <c r="H443" s="1"/>
      <c r="K443" s="1"/>
      <c r="N443" s="1"/>
      <c r="Q443" s="1"/>
      <c r="T443" s="1"/>
      <c r="W443" s="1"/>
      <c r="Z443" s="1"/>
      <c r="AC443" s="3"/>
    </row>
    <row r="444" ht="15.75" customHeight="1">
      <c r="E444" s="1"/>
      <c r="H444" s="1"/>
      <c r="K444" s="1"/>
      <c r="N444" s="1"/>
      <c r="Q444" s="1"/>
      <c r="T444" s="1"/>
      <c r="W444" s="1"/>
      <c r="Z444" s="1"/>
      <c r="AC444" s="3"/>
    </row>
    <row r="445" ht="15.75" customHeight="1">
      <c r="E445" s="1"/>
      <c r="H445" s="1"/>
      <c r="K445" s="1"/>
      <c r="N445" s="1"/>
      <c r="Q445" s="1"/>
      <c r="T445" s="1"/>
      <c r="W445" s="1"/>
      <c r="Z445" s="1"/>
      <c r="AC445" s="3"/>
    </row>
    <row r="446" ht="15.75" customHeight="1">
      <c r="E446" s="1"/>
      <c r="H446" s="1"/>
      <c r="K446" s="1"/>
      <c r="N446" s="1"/>
      <c r="Q446" s="1"/>
      <c r="T446" s="1"/>
      <c r="W446" s="1"/>
      <c r="Z446" s="1"/>
      <c r="AC446" s="3"/>
    </row>
    <row r="447" ht="15.75" customHeight="1">
      <c r="E447" s="1"/>
      <c r="H447" s="1"/>
      <c r="K447" s="1"/>
      <c r="N447" s="1"/>
      <c r="Q447" s="1"/>
      <c r="T447" s="1"/>
      <c r="W447" s="1"/>
      <c r="Z447" s="1"/>
      <c r="AC447" s="3"/>
    </row>
    <row r="448" ht="15.75" customHeight="1">
      <c r="E448" s="1"/>
      <c r="H448" s="1"/>
      <c r="K448" s="1"/>
      <c r="N448" s="1"/>
      <c r="Q448" s="1"/>
      <c r="T448" s="1"/>
      <c r="W448" s="1"/>
      <c r="Z448" s="1"/>
      <c r="AC448" s="3"/>
    </row>
    <row r="449" ht="15.75" customHeight="1">
      <c r="E449" s="1"/>
      <c r="H449" s="1"/>
      <c r="K449" s="1"/>
      <c r="N449" s="1"/>
      <c r="Q449" s="1"/>
      <c r="T449" s="1"/>
      <c r="W449" s="1"/>
      <c r="Z449" s="1"/>
      <c r="AC449" s="3"/>
    </row>
    <row r="450" ht="15.75" customHeight="1">
      <c r="E450" s="1"/>
      <c r="H450" s="1"/>
      <c r="K450" s="1"/>
      <c r="N450" s="1"/>
      <c r="Q450" s="1"/>
      <c r="T450" s="1"/>
      <c r="W450" s="1"/>
      <c r="Z450" s="1"/>
      <c r="AC450" s="3"/>
    </row>
    <row r="451" ht="15.75" customHeight="1">
      <c r="E451" s="1"/>
      <c r="H451" s="1"/>
      <c r="K451" s="1"/>
      <c r="N451" s="1"/>
      <c r="Q451" s="1"/>
      <c r="T451" s="1"/>
      <c r="W451" s="1"/>
      <c r="Z451" s="1"/>
      <c r="AC451" s="3"/>
    </row>
    <row r="452" ht="15.75" customHeight="1">
      <c r="E452" s="1"/>
      <c r="H452" s="1"/>
      <c r="K452" s="1"/>
      <c r="N452" s="1"/>
      <c r="Q452" s="1"/>
      <c r="T452" s="1"/>
      <c r="W452" s="1"/>
      <c r="Z452" s="1"/>
      <c r="AC452" s="3"/>
    </row>
    <row r="453" ht="15.75" customHeight="1">
      <c r="E453" s="1"/>
      <c r="H453" s="1"/>
      <c r="K453" s="1"/>
      <c r="N453" s="1"/>
      <c r="Q453" s="1"/>
      <c r="T453" s="1"/>
      <c r="W453" s="1"/>
      <c r="Z453" s="1"/>
      <c r="AC453" s="3"/>
    </row>
    <row r="454" ht="15.75" customHeight="1">
      <c r="E454" s="1"/>
      <c r="H454" s="1"/>
      <c r="K454" s="1"/>
      <c r="N454" s="1"/>
      <c r="Q454" s="1"/>
      <c r="T454" s="1"/>
      <c r="W454" s="1"/>
      <c r="Z454" s="1"/>
      <c r="AC454" s="3"/>
    </row>
    <row r="455" ht="15.75" customHeight="1">
      <c r="E455" s="1"/>
      <c r="H455" s="1"/>
      <c r="K455" s="1"/>
      <c r="N455" s="1"/>
      <c r="Q455" s="1"/>
      <c r="T455" s="1"/>
      <c r="W455" s="1"/>
      <c r="Z455" s="1"/>
      <c r="AC455" s="3"/>
    </row>
    <row r="456" ht="15.75" customHeight="1">
      <c r="E456" s="1"/>
      <c r="H456" s="1"/>
      <c r="K456" s="1"/>
      <c r="N456" s="1"/>
      <c r="Q456" s="1"/>
      <c r="T456" s="1"/>
      <c r="W456" s="1"/>
      <c r="Z456" s="1"/>
      <c r="AC456" s="3"/>
    </row>
    <row r="457" ht="15.75" customHeight="1">
      <c r="E457" s="1"/>
      <c r="H457" s="1"/>
      <c r="K457" s="1"/>
      <c r="N457" s="1"/>
      <c r="Q457" s="1"/>
      <c r="T457" s="1"/>
      <c r="W457" s="1"/>
      <c r="Z457" s="1"/>
      <c r="AC457" s="3"/>
    </row>
    <row r="458" ht="15.75" customHeight="1">
      <c r="E458" s="1"/>
      <c r="H458" s="1"/>
      <c r="K458" s="1"/>
      <c r="N458" s="1"/>
      <c r="Q458" s="1"/>
      <c r="T458" s="1"/>
      <c r="W458" s="1"/>
      <c r="Z458" s="1"/>
      <c r="AC458" s="3"/>
    </row>
    <row r="459" ht="15.75" customHeight="1">
      <c r="E459" s="1"/>
      <c r="H459" s="1"/>
      <c r="K459" s="1"/>
      <c r="N459" s="1"/>
      <c r="Q459" s="1"/>
      <c r="T459" s="1"/>
      <c r="W459" s="1"/>
      <c r="Z459" s="1"/>
      <c r="AC459" s="3"/>
    </row>
    <row r="460" ht="15.75" customHeight="1">
      <c r="E460" s="1"/>
      <c r="H460" s="1"/>
      <c r="K460" s="1"/>
      <c r="N460" s="1"/>
      <c r="Q460" s="1"/>
      <c r="T460" s="1"/>
      <c r="W460" s="1"/>
      <c r="Z460" s="1"/>
      <c r="AC460" s="3"/>
    </row>
    <row r="461" ht="15.75" customHeight="1">
      <c r="E461" s="1"/>
      <c r="H461" s="1"/>
      <c r="K461" s="1"/>
      <c r="N461" s="1"/>
      <c r="Q461" s="1"/>
      <c r="T461" s="1"/>
      <c r="W461" s="1"/>
      <c r="Z461" s="1"/>
      <c r="AC461" s="3"/>
    </row>
    <row r="462" ht="15.75" customHeight="1">
      <c r="E462" s="1"/>
      <c r="H462" s="1"/>
      <c r="K462" s="1"/>
      <c r="N462" s="1"/>
      <c r="Q462" s="1"/>
      <c r="T462" s="1"/>
      <c r="W462" s="1"/>
      <c r="Z462" s="1"/>
      <c r="AC462" s="3"/>
    </row>
    <row r="463" ht="15.75" customHeight="1">
      <c r="E463" s="1"/>
      <c r="H463" s="1"/>
      <c r="K463" s="1"/>
      <c r="N463" s="1"/>
      <c r="Q463" s="1"/>
      <c r="T463" s="1"/>
      <c r="W463" s="1"/>
      <c r="Z463" s="1"/>
      <c r="AC463" s="3"/>
    </row>
    <row r="464" ht="15.75" customHeight="1">
      <c r="E464" s="1"/>
      <c r="H464" s="1"/>
      <c r="K464" s="1"/>
      <c r="N464" s="1"/>
      <c r="Q464" s="1"/>
      <c r="T464" s="1"/>
      <c r="W464" s="1"/>
      <c r="Z464" s="1"/>
      <c r="AC464" s="3"/>
    </row>
    <row r="465" ht="15.75" customHeight="1">
      <c r="E465" s="1"/>
      <c r="H465" s="1"/>
      <c r="K465" s="1"/>
      <c r="N465" s="1"/>
      <c r="Q465" s="1"/>
      <c r="T465" s="1"/>
      <c r="W465" s="1"/>
      <c r="Z465" s="1"/>
      <c r="AC465" s="3"/>
    </row>
    <row r="466" ht="15.75" customHeight="1">
      <c r="E466" s="1"/>
      <c r="H466" s="1"/>
      <c r="K466" s="1"/>
      <c r="N466" s="1"/>
      <c r="Q466" s="1"/>
      <c r="T466" s="1"/>
      <c r="W466" s="1"/>
      <c r="Z466" s="1"/>
      <c r="AC466" s="3"/>
    </row>
    <row r="467" ht="15.75" customHeight="1">
      <c r="E467" s="1"/>
      <c r="H467" s="1"/>
      <c r="K467" s="1"/>
      <c r="N467" s="1"/>
      <c r="Q467" s="1"/>
      <c r="T467" s="1"/>
      <c r="W467" s="1"/>
      <c r="Z467" s="1"/>
      <c r="AC467" s="3"/>
    </row>
    <row r="468" ht="15.75" customHeight="1">
      <c r="E468" s="1"/>
      <c r="H468" s="1"/>
      <c r="K468" s="1"/>
      <c r="N468" s="1"/>
      <c r="Q468" s="1"/>
      <c r="T468" s="1"/>
      <c r="W468" s="1"/>
      <c r="Z468" s="1"/>
      <c r="AC468" s="3"/>
    </row>
    <row r="469" ht="15.75" customHeight="1">
      <c r="E469" s="1"/>
      <c r="H469" s="1"/>
      <c r="K469" s="1"/>
      <c r="N469" s="1"/>
      <c r="Q469" s="1"/>
      <c r="T469" s="1"/>
      <c r="W469" s="1"/>
      <c r="Z469" s="1"/>
      <c r="AC469" s="3"/>
    </row>
    <row r="470" ht="15.75" customHeight="1">
      <c r="E470" s="1"/>
      <c r="H470" s="1"/>
      <c r="K470" s="1"/>
      <c r="N470" s="1"/>
      <c r="Q470" s="1"/>
      <c r="T470" s="1"/>
      <c r="W470" s="1"/>
      <c r="Z470" s="1"/>
      <c r="AC470" s="3"/>
    </row>
    <row r="471" ht="15.75" customHeight="1">
      <c r="E471" s="1"/>
      <c r="H471" s="1"/>
      <c r="K471" s="1"/>
      <c r="N471" s="1"/>
      <c r="Q471" s="1"/>
      <c r="T471" s="1"/>
      <c r="W471" s="1"/>
      <c r="Z471" s="1"/>
      <c r="AC471" s="3"/>
    </row>
    <row r="472" ht="15.75" customHeight="1">
      <c r="E472" s="1"/>
      <c r="H472" s="1"/>
      <c r="K472" s="1"/>
      <c r="N472" s="1"/>
      <c r="Q472" s="1"/>
      <c r="T472" s="1"/>
      <c r="W472" s="1"/>
      <c r="Z472" s="1"/>
      <c r="AC472" s="3"/>
    </row>
    <row r="473" ht="15.75" customHeight="1">
      <c r="E473" s="1"/>
      <c r="H473" s="1"/>
      <c r="K473" s="1"/>
      <c r="N473" s="1"/>
      <c r="Q473" s="1"/>
      <c r="T473" s="1"/>
      <c r="W473" s="1"/>
      <c r="Z473" s="1"/>
      <c r="AC473" s="3"/>
    </row>
    <row r="474" ht="15.75" customHeight="1">
      <c r="E474" s="1"/>
      <c r="H474" s="1"/>
      <c r="K474" s="1"/>
      <c r="N474" s="1"/>
      <c r="Q474" s="1"/>
      <c r="T474" s="1"/>
      <c r="W474" s="1"/>
      <c r="Z474" s="1"/>
      <c r="AC474" s="3"/>
    </row>
    <row r="475" ht="15.75" customHeight="1">
      <c r="E475" s="1"/>
      <c r="H475" s="1"/>
      <c r="K475" s="1"/>
      <c r="N475" s="1"/>
      <c r="Q475" s="1"/>
      <c r="T475" s="1"/>
      <c r="W475" s="1"/>
      <c r="Z475" s="1"/>
      <c r="AC475" s="3"/>
    </row>
    <row r="476" ht="15.75" customHeight="1">
      <c r="E476" s="1"/>
      <c r="H476" s="1"/>
      <c r="K476" s="1"/>
      <c r="N476" s="1"/>
      <c r="Q476" s="1"/>
      <c r="T476" s="1"/>
      <c r="W476" s="1"/>
      <c r="Z476" s="1"/>
      <c r="AC476" s="3"/>
    </row>
    <row r="477" ht="15.75" customHeight="1">
      <c r="E477" s="1"/>
      <c r="H477" s="1"/>
      <c r="K477" s="1"/>
      <c r="N477" s="1"/>
      <c r="Q477" s="1"/>
      <c r="T477" s="1"/>
      <c r="W477" s="1"/>
      <c r="Z477" s="1"/>
      <c r="AC477" s="3"/>
    </row>
    <row r="478" ht="15.75" customHeight="1">
      <c r="E478" s="1"/>
      <c r="H478" s="1"/>
      <c r="K478" s="1"/>
      <c r="N478" s="1"/>
      <c r="Q478" s="1"/>
      <c r="T478" s="1"/>
      <c r="W478" s="1"/>
      <c r="Z478" s="1"/>
      <c r="AC478" s="3"/>
    </row>
    <row r="479" ht="15.75" customHeight="1">
      <c r="E479" s="1"/>
      <c r="H479" s="1"/>
      <c r="K479" s="1"/>
      <c r="N479" s="1"/>
      <c r="Q479" s="1"/>
      <c r="T479" s="1"/>
      <c r="W479" s="1"/>
      <c r="Z479" s="1"/>
      <c r="AC479" s="3"/>
    </row>
    <row r="480" ht="15.75" customHeight="1">
      <c r="E480" s="1"/>
      <c r="H480" s="1"/>
      <c r="K480" s="1"/>
      <c r="N480" s="1"/>
      <c r="Q480" s="1"/>
      <c r="T480" s="1"/>
      <c r="W480" s="1"/>
      <c r="Z480" s="1"/>
      <c r="AC480" s="3"/>
    </row>
    <row r="481" ht="15.75" customHeight="1">
      <c r="E481" s="1"/>
      <c r="H481" s="1"/>
      <c r="K481" s="1"/>
      <c r="N481" s="1"/>
      <c r="Q481" s="1"/>
      <c r="T481" s="1"/>
      <c r="W481" s="1"/>
      <c r="Z481" s="1"/>
      <c r="AC481" s="3"/>
    </row>
    <row r="482" ht="15.75" customHeight="1">
      <c r="E482" s="1"/>
      <c r="H482" s="1"/>
      <c r="K482" s="1"/>
      <c r="N482" s="1"/>
      <c r="Q482" s="1"/>
      <c r="T482" s="1"/>
      <c r="W482" s="1"/>
      <c r="Z482" s="1"/>
      <c r="AC482" s="3"/>
    </row>
    <row r="483" ht="15.75" customHeight="1">
      <c r="E483" s="1"/>
      <c r="H483" s="1"/>
      <c r="K483" s="1"/>
      <c r="N483" s="1"/>
      <c r="Q483" s="1"/>
      <c r="T483" s="1"/>
      <c r="W483" s="1"/>
      <c r="Z483" s="1"/>
      <c r="AC483" s="3"/>
    </row>
    <row r="484" ht="15.75" customHeight="1">
      <c r="E484" s="1"/>
      <c r="H484" s="1"/>
      <c r="K484" s="1"/>
      <c r="N484" s="1"/>
      <c r="Q484" s="1"/>
      <c r="T484" s="1"/>
      <c r="W484" s="1"/>
      <c r="Z484" s="1"/>
      <c r="AC484" s="3"/>
    </row>
    <row r="485" ht="15.75" customHeight="1">
      <c r="E485" s="1"/>
      <c r="H485" s="1"/>
      <c r="K485" s="1"/>
      <c r="N485" s="1"/>
      <c r="Q485" s="1"/>
      <c r="T485" s="1"/>
      <c r="W485" s="1"/>
      <c r="Z485" s="1"/>
      <c r="AC485" s="3"/>
    </row>
    <row r="486" ht="15.75" customHeight="1">
      <c r="E486" s="1"/>
      <c r="H486" s="1"/>
      <c r="K486" s="1"/>
      <c r="N486" s="1"/>
      <c r="Q486" s="1"/>
      <c r="T486" s="1"/>
      <c r="W486" s="1"/>
      <c r="Z486" s="1"/>
      <c r="AC486" s="3"/>
    </row>
    <row r="487" ht="15.75" customHeight="1">
      <c r="E487" s="1"/>
      <c r="H487" s="1"/>
      <c r="K487" s="1"/>
      <c r="N487" s="1"/>
      <c r="Q487" s="1"/>
      <c r="T487" s="1"/>
      <c r="W487" s="1"/>
      <c r="Z487" s="1"/>
      <c r="AC487" s="3"/>
    </row>
    <row r="488" ht="15.75" customHeight="1">
      <c r="E488" s="1"/>
      <c r="H488" s="1"/>
      <c r="K488" s="1"/>
      <c r="N488" s="1"/>
      <c r="Q488" s="1"/>
      <c r="T488" s="1"/>
      <c r="W488" s="1"/>
      <c r="Z488" s="1"/>
      <c r="AC488" s="3"/>
    </row>
    <row r="489" ht="15.75" customHeight="1">
      <c r="E489" s="1"/>
      <c r="H489" s="1"/>
      <c r="K489" s="1"/>
      <c r="N489" s="1"/>
      <c r="Q489" s="1"/>
      <c r="T489" s="1"/>
      <c r="W489" s="1"/>
      <c r="Z489" s="1"/>
      <c r="AC489" s="3"/>
    </row>
    <row r="490" ht="15.75" customHeight="1">
      <c r="E490" s="1"/>
      <c r="H490" s="1"/>
      <c r="K490" s="1"/>
      <c r="N490" s="1"/>
      <c r="Q490" s="1"/>
      <c r="T490" s="1"/>
      <c r="W490" s="1"/>
      <c r="Z490" s="1"/>
      <c r="AC490" s="3"/>
    </row>
    <row r="491" ht="15.75" customHeight="1">
      <c r="E491" s="1"/>
      <c r="H491" s="1"/>
      <c r="K491" s="1"/>
      <c r="N491" s="1"/>
      <c r="Q491" s="1"/>
      <c r="T491" s="1"/>
      <c r="W491" s="1"/>
      <c r="Z491" s="1"/>
      <c r="AC491" s="3"/>
    </row>
    <row r="492" ht="15.75" customHeight="1">
      <c r="E492" s="1"/>
      <c r="H492" s="1"/>
      <c r="K492" s="1"/>
      <c r="N492" s="1"/>
      <c r="Q492" s="1"/>
      <c r="T492" s="1"/>
      <c r="W492" s="1"/>
      <c r="Z492" s="1"/>
      <c r="AC492" s="3"/>
    </row>
    <row r="493" ht="15.75" customHeight="1">
      <c r="E493" s="1"/>
      <c r="H493" s="1"/>
      <c r="K493" s="1"/>
      <c r="N493" s="1"/>
      <c r="Q493" s="1"/>
      <c r="T493" s="1"/>
      <c r="W493" s="1"/>
      <c r="Z493" s="1"/>
      <c r="AC493" s="3"/>
    </row>
    <row r="494" ht="15.75" customHeight="1">
      <c r="E494" s="1"/>
      <c r="H494" s="1"/>
      <c r="K494" s="1"/>
      <c r="N494" s="1"/>
      <c r="Q494" s="1"/>
      <c r="T494" s="1"/>
      <c r="W494" s="1"/>
      <c r="Z494" s="1"/>
      <c r="AC494" s="3"/>
    </row>
    <row r="495" ht="15.75" customHeight="1">
      <c r="E495" s="1"/>
      <c r="H495" s="1"/>
      <c r="K495" s="1"/>
      <c r="N495" s="1"/>
      <c r="Q495" s="1"/>
      <c r="T495" s="1"/>
      <c r="W495" s="1"/>
      <c r="Z495" s="1"/>
      <c r="AC495" s="3"/>
    </row>
    <row r="496" ht="15.75" customHeight="1">
      <c r="E496" s="1"/>
      <c r="H496" s="1"/>
      <c r="K496" s="1"/>
      <c r="N496" s="1"/>
      <c r="Q496" s="1"/>
      <c r="T496" s="1"/>
      <c r="W496" s="1"/>
      <c r="Z496" s="1"/>
      <c r="AC496" s="3"/>
    </row>
    <row r="497" ht="15.75" customHeight="1">
      <c r="E497" s="1"/>
      <c r="H497" s="1"/>
      <c r="K497" s="1"/>
      <c r="N497" s="1"/>
      <c r="Q497" s="1"/>
      <c r="T497" s="1"/>
      <c r="W497" s="1"/>
      <c r="Z497" s="1"/>
      <c r="AC497" s="3"/>
    </row>
    <row r="498" ht="15.75" customHeight="1">
      <c r="E498" s="1"/>
      <c r="H498" s="1"/>
      <c r="K498" s="1"/>
      <c r="N498" s="1"/>
      <c r="Q498" s="1"/>
      <c r="T498" s="1"/>
      <c r="W498" s="1"/>
      <c r="Z498" s="1"/>
      <c r="AC498" s="3"/>
    </row>
    <row r="499" ht="15.75" customHeight="1">
      <c r="E499" s="1"/>
      <c r="H499" s="1"/>
      <c r="K499" s="1"/>
      <c r="N499" s="1"/>
      <c r="Q499" s="1"/>
      <c r="T499" s="1"/>
      <c r="W499" s="1"/>
      <c r="Z499" s="1"/>
      <c r="AC499" s="3"/>
    </row>
    <row r="500" ht="15.75" customHeight="1">
      <c r="E500" s="1"/>
      <c r="H500" s="1"/>
      <c r="K500" s="1"/>
      <c r="N500" s="1"/>
      <c r="Q500" s="1"/>
      <c r="T500" s="1"/>
      <c r="W500" s="1"/>
      <c r="Z500" s="1"/>
      <c r="AC500" s="3"/>
    </row>
    <row r="501" ht="15.75" customHeight="1">
      <c r="E501" s="1"/>
      <c r="H501" s="1"/>
      <c r="K501" s="1"/>
      <c r="N501" s="1"/>
      <c r="Q501" s="1"/>
      <c r="T501" s="1"/>
      <c r="W501" s="1"/>
      <c r="Z501" s="1"/>
      <c r="AC501" s="3"/>
    </row>
    <row r="502" ht="15.75" customHeight="1">
      <c r="E502" s="1"/>
      <c r="H502" s="1"/>
      <c r="K502" s="1"/>
      <c r="N502" s="1"/>
      <c r="Q502" s="1"/>
      <c r="T502" s="1"/>
      <c r="W502" s="1"/>
      <c r="Z502" s="1"/>
      <c r="AC502" s="3"/>
    </row>
    <row r="503" ht="15.75" customHeight="1">
      <c r="E503" s="1"/>
      <c r="H503" s="1"/>
      <c r="K503" s="1"/>
      <c r="N503" s="1"/>
      <c r="Q503" s="1"/>
      <c r="T503" s="1"/>
      <c r="W503" s="1"/>
      <c r="Z503" s="1"/>
      <c r="AC503" s="3"/>
    </row>
    <row r="504" ht="15.75" customHeight="1">
      <c r="E504" s="1"/>
      <c r="H504" s="1"/>
      <c r="K504" s="1"/>
      <c r="N504" s="1"/>
      <c r="Q504" s="1"/>
      <c r="T504" s="1"/>
      <c r="W504" s="1"/>
      <c r="Z504" s="1"/>
      <c r="AC504" s="3"/>
    </row>
    <row r="505" ht="15.75" customHeight="1">
      <c r="E505" s="1"/>
      <c r="H505" s="1"/>
      <c r="K505" s="1"/>
      <c r="N505" s="1"/>
      <c r="Q505" s="1"/>
      <c r="T505" s="1"/>
      <c r="W505" s="1"/>
      <c r="Z505" s="1"/>
      <c r="AC505" s="3"/>
    </row>
    <row r="506" ht="15.75" customHeight="1">
      <c r="E506" s="1"/>
      <c r="H506" s="1"/>
      <c r="K506" s="1"/>
      <c r="N506" s="1"/>
      <c r="Q506" s="1"/>
      <c r="T506" s="1"/>
      <c r="W506" s="1"/>
      <c r="Z506" s="1"/>
      <c r="AC506" s="3"/>
    </row>
    <row r="507" ht="15.75" customHeight="1">
      <c r="E507" s="1"/>
      <c r="H507" s="1"/>
      <c r="K507" s="1"/>
      <c r="N507" s="1"/>
      <c r="Q507" s="1"/>
      <c r="T507" s="1"/>
      <c r="W507" s="1"/>
      <c r="Z507" s="1"/>
      <c r="AC507" s="3"/>
    </row>
    <row r="508" ht="15.75" customHeight="1">
      <c r="E508" s="1"/>
      <c r="H508" s="1"/>
      <c r="K508" s="1"/>
      <c r="N508" s="1"/>
      <c r="Q508" s="1"/>
      <c r="T508" s="1"/>
      <c r="W508" s="1"/>
      <c r="Z508" s="1"/>
      <c r="AC508" s="3"/>
    </row>
    <row r="509" ht="15.75" customHeight="1">
      <c r="E509" s="1"/>
      <c r="H509" s="1"/>
      <c r="K509" s="1"/>
      <c r="N509" s="1"/>
      <c r="Q509" s="1"/>
      <c r="T509" s="1"/>
      <c r="W509" s="1"/>
      <c r="Z509" s="1"/>
      <c r="AC509" s="3"/>
    </row>
    <row r="510" ht="15.75" customHeight="1">
      <c r="E510" s="1"/>
      <c r="H510" s="1"/>
      <c r="K510" s="1"/>
      <c r="N510" s="1"/>
      <c r="Q510" s="1"/>
      <c r="T510" s="1"/>
      <c r="W510" s="1"/>
      <c r="Z510" s="1"/>
      <c r="AC510" s="3"/>
    </row>
    <row r="511" ht="15.75" customHeight="1">
      <c r="E511" s="1"/>
      <c r="H511" s="1"/>
      <c r="K511" s="1"/>
      <c r="N511" s="1"/>
      <c r="Q511" s="1"/>
      <c r="T511" s="1"/>
      <c r="W511" s="1"/>
      <c r="Z511" s="1"/>
      <c r="AC511" s="3"/>
    </row>
    <row r="512" ht="15.75" customHeight="1">
      <c r="E512" s="1"/>
      <c r="H512" s="1"/>
      <c r="K512" s="1"/>
      <c r="N512" s="1"/>
      <c r="Q512" s="1"/>
      <c r="T512" s="1"/>
      <c r="W512" s="1"/>
      <c r="Z512" s="1"/>
      <c r="AC512" s="3"/>
    </row>
    <row r="513" ht="15.75" customHeight="1">
      <c r="E513" s="1"/>
      <c r="H513" s="1"/>
      <c r="K513" s="1"/>
      <c r="N513" s="1"/>
      <c r="Q513" s="1"/>
      <c r="T513" s="1"/>
      <c r="W513" s="1"/>
      <c r="Z513" s="1"/>
      <c r="AC513" s="3"/>
    </row>
    <row r="514" ht="15.75" customHeight="1">
      <c r="E514" s="1"/>
      <c r="H514" s="1"/>
      <c r="K514" s="1"/>
      <c r="N514" s="1"/>
      <c r="Q514" s="1"/>
      <c r="T514" s="1"/>
      <c r="W514" s="1"/>
      <c r="Z514" s="1"/>
      <c r="AC514" s="3"/>
    </row>
    <row r="515" ht="15.75" customHeight="1">
      <c r="E515" s="1"/>
      <c r="H515" s="1"/>
      <c r="K515" s="1"/>
      <c r="N515" s="1"/>
      <c r="Q515" s="1"/>
      <c r="T515" s="1"/>
      <c r="W515" s="1"/>
      <c r="Z515" s="1"/>
      <c r="AC515" s="3"/>
    </row>
    <row r="516" ht="15.75" customHeight="1">
      <c r="E516" s="1"/>
      <c r="H516" s="1"/>
      <c r="K516" s="1"/>
      <c r="N516" s="1"/>
      <c r="Q516" s="1"/>
      <c r="T516" s="1"/>
      <c r="W516" s="1"/>
      <c r="Z516" s="1"/>
      <c r="AC516" s="3"/>
    </row>
    <row r="517" ht="15.75" customHeight="1">
      <c r="E517" s="1"/>
      <c r="H517" s="1"/>
      <c r="K517" s="1"/>
      <c r="N517" s="1"/>
      <c r="Q517" s="1"/>
      <c r="T517" s="1"/>
      <c r="W517" s="1"/>
      <c r="Z517" s="1"/>
      <c r="AC517" s="3"/>
    </row>
    <row r="518" ht="15.75" customHeight="1">
      <c r="E518" s="1"/>
      <c r="H518" s="1"/>
      <c r="K518" s="1"/>
      <c r="N518" s="1"/>
      <c r="Q518" s="1"/>
      <c r="T518" s="1"/>
      <c r="W518" s="1"/>
      <c r="Z518" s="1"/>
      <c r="AC518" s="3"/>
    </row>
    <row r="519" ht="15.75" customHeight="1">
      <c r="E519" s="1"/>
      <c r="H519" s="1"/>
      <c r="K519" s="1"/>
      <c r="N519" s="1"/>
      <c r="Q519" s="1"/>
      <c r="T519" s="1"/>
      <c r="W519" s="1"/>
      <c r="Z519" s="1"/>
      <c r="AC519" s="3"/>
    </row>
    <row r="520" ht="15.75" customHeight="1">
      <c r="E520" s="1"/>
      <c r="H520" s="1"/>
      <c r="K520" s="1"/>
      <c r="N520" s="1"/>
      <c r="Q520" s="1"/>
      <c r="T520" s="1"/>
      <c r="W520" s="1"/>
      <c r="Z520" s="1"/>
      <c r="AC520" s="3"/>
    </row>
    <row r="521" ht="15.75" customHeight="1">
      <c r="E521" s="1"/>
      <c r="H521" s="1"/>
      <c r="K521" s="1"/>
      <c r="N521" s="1"/>
      <c r="Q521" s="1"/>
      <c r="T521" s="1"/>
      <c r="W521" s="1"/>
      <c r="Z521" s="1"/>
      <c r="AC521" s="3"/>
    </row>
    <row r="522" ht="15.75" customHeight="1">
      <c r="E522" s="1"/>
      <c r="H522" s="1"/>
      <c r="K522" s="1"/>
      <c r="N522" s="1"/>
      <c r="Q522" s="1"/>
      <c r="T522" s="1"/>
      <c r="W522" s="1"/>
      <c r="Z522" s="1"/>
      <c r="AC522" s="3"/>
    </row>
    <row r="523" ht="15.75" customHeight="1">
      <c r="E523" s="1"/>
      <c r="H523" s="1"/>
      <c r="K523" s="1"/>
      <c r="N523" s="1"/>
      <c r="Q523" s="1"/>
      <c r="T523" s="1"/>
      <c r="W523" s="1"/>
      <c r="Z523" s="1"/>
      <c r="AC523" s="3"/>
    </row>
    <row r="524" ht="15.75" customHeight="1">
      <c r="E524" s="1"/>
      <c r="H524" s="1"/>
      <c r="K524" s="1"/>
      <c r="N524" s="1"/>
      <c r="Q524" s="1"/>
      <c r="T524" s="1"/>
      <c r="W524" s="1"/>
      <c r="Z524" s="1"/>
      <c r="AC524" s="3"/>
    </row>
    <row r="525" ht="15.75" customHeight="1">
      <c r="E525" s="1"/>
      <c r="H525" s="1"/>
      <c r="K525" s="1"/>
      <c r="N525" s="1"/>
      <c r="Q525" s="1"/>
      <c r="T525" s="1"/>
      <c r="W525" s="1"/>
      <c r="Z525" s="1"/>
      <c r="AC525" s="3"/>
    </row>
    <row r="526" ht="15.75" customHeight="1">
      <c r="E526" s="1"/>
      <c r="H526" s="1"/>
      <c r="K526" s="1"/>
      <c r="N526" s="1"/>
      <c r="Q526" s="1"/>
      <c r="T526" s="1"/>
      <c r="W526" s="1"/>
      <c r="Z526" s="1"/>
      <c r="AC526" s="3"/>
    </row>
    <row r="527" ht="15.75" customHeight="1">
      <c r="E527" s="1"/>
      <c r="H527" s="1"/>
      <c r="K527" s="1"/>
      <c r="N527" s="1"/>
      <c r="Q527" s="1"/>
      <c r="T527" s="1"/>
      <c r="W527" s="1"/>
      <c r="Z527" s="1"/>
      <c r="AC527" s="3"/>
    </row>
    <row r="528" ht="15.75" customHeight="1">
      <c r="E528" s="1"/>
      <c r="H528" s="1"/>
      <c r="K528" s="1"/>
      <c r="N528" s="1"/>
      <c r="Q528" s="1"/>
      <c r="T528" s="1"/>
      <c r="W528" s="1"/>
      <c r="Z528" s="1"/>
      <c r="AC528" s="3"/>
    </row>
    <row r="529" ht="15.75" customHeight="1">
      <c r="E529" s="1"/>
      <c r="H529" s="1"/>
      <c r="K529" s="1"/>
      <c r="N529" s="1"/>
      <c r="Q529" s="1"/>
      <c r="T529" s="1"/>
      <c r="W529" s="1"/>
      <c r="Z529" s="1"/>
      <c r="AC529" s="3"/>
    </row>
    <row r="530" ht="15.75" customHeight="1">
      <c r="E530" s="1"/>
      <c r="H530" s="1"/>
      <c r="K530" s="1"/>
      <c r="N530" s="1"/>
      <c r="Q530" s="1"/>
      <c r="T530" s="1"/>
      <c r="W530" s="1"/>
      <c r="Z530" s="1"/>
      <c r="AC530" s="3"/>
    </row>
    <row r="531" ht="15.75" customHeight="1">
      <c r="E531" s="1"/>
      <c r="H531" s="1"/>
      <c r="K531" s="1"/>
      <c r="N531" s="1"/>
      <c r="Q531" s="1"/>
      <c r="T531" s="1"/>
      <c r="W531" s="1"/>
      <c r="Z531" s="1"/>
      <c r="AC531" s="3"/>
    </row>
    <row r="532" ht="15.75" customHeight="1">
      <c r="E532" s="1"/>
      <c r="H532" s="1"/>
      <c r="K532" s="1"/>
      <c r="N532" s="1"/>
      <c r="Q532" s="1"/>
      <c r="T532" s="1"/>
      <c r="W532" s="1"/>
      <c r="Z532" s="1"/>
      <c r="AC532" s="3"/>
    </row>
    <row r="533" ht="15.75" customHeight="1">
      <c r="E533" s="1"/>
      <c r="H533" s="1"/>
      <c r="K533" s="1"/>
      <c r="N533" s="1"/>
      <c r="Q533" s="1"/>
      <c r="T533" s="1"/>
      <c r="W533" s="1"/>
      <c r="Z533" s="1"/>
      <c r="AC533" s="3"/>
    </row>
    <row r="534" ht="15.75" customHeight="1">
      <c r="E534" s="1"/>
      <c r="H534" s="1"/>
      <c r="K534" s="1"/>
      <c r="N534" s="1"/>
      <c r="Q534" s="1"/>
      <c r="T534" s="1"/>
      <c r="W534" s="1"/>
      <c r="Z534" s="1"/>
      <c r="AC534" s="3"/>
    </row>
    <row r="535" ht="15.75" customHeight="1">
      <c r="E535" s="1"/>
      <c r="H535" s="1"/>
      <c r="K535" s="1"/>
      <c r="N535" s="1"/>
      <c r="Q535" s="1"/>
      <c r="T535" s="1"/>
      <c r="W535" s="1"/>
      <c r="Z535" s="1"/>
      <c r="AC535" s="3"/>
    </row>
    <row r="536" ht="15.75" customHeight="1">
      <c r="E536" s="1"/>
      <c r="H536" s="1"/>
      <c r="K536" s="1"/>
      <c r="N536" s="1"/>
      <c r="Q536" s="1"/>
      <c r="T536" s="1"/>
      <c r="W536" s="1"/>
      <c r="Z536" s="1"/>
      <c r="AC536" s="3"/>
    </row>
    <row r="537" ht="15.75" customHeight="1">
      <c r="E537" s="1"/>
      <c r="H537" s="1"/>
      <c r="K537" s="1"/>
      <c r="N537" s="1"/>
      <c r="Q537" s="1"/>
      <c r="T537" s="1"/>
      <c r="W537" s="1"/>
      <c r="Z537" s="1"/>
      <c r="AC537" s="3"/>
    </row>
    <row r="538" ht="15.75" customHeight="1">
      <c r="E538" s="1"/>
      <c r="H538" s="1"/>
      <c r="K538" s="1"/>
      <c r="N538" s="1"/>
      <c r="Q538" s="1"/>
      <c r="T538" s="1"/>
      <c r="W538" s="1"/>
      <c r="Z538" s="1"/>
      <c r="AC538" s="3"/>
    </row>
    <row r="539" ht="15.75" customHeight="1">
      <c r="E539" s="1"/>
      <c r="H539" s="1"/>
      <c r="K539" s="1"/>
      <c r="N539" s="1"/>
      <c r="Q539" s="1"/>
      <c r="T539" s="1"/>
      <c r="W539" s="1"/>
      <c r="Z539" s="1"/>
      <c r="AC539" s="3"/>
    </row>
    <row r="540" ht="15.75" customHeight="1">
      <c r="E540" s="1"/>
      <c r="H540" s="1"/>
      <c r="K540" s="1"/>
      <c r="N540" s="1"/>
      <c r="Q540" s="1"/>
      <c r="T540" s="1"/>
      <c r="W540" s="1"/>
      <c r="Z540" s="1"/>
      <c r="AC540" s="3"/>
    </row>
    <row r="541" ht="15.75" customHeight="1">
      <c r="E541" s="1"/>
      <c r="H541" s="1"/>
      <c r="K541" s="1"/>
      <c r="N541" s="1"/>
      <c r="Q541" s="1"/>
      <c r="T541" s="1"/>
      <c r="W541" s="1"/>
      <c r="Z541" s="1"/>
      <c r="AC541" s="3"/>
    </row>
    <row r="542" ht="15.75" customHeight="1">
      <c r="E542" s="1"/>
      <c r="H542" s="1"/>
      <c r="K542" s="1"/>
      <c r="N542" s="1"/>
      <c r="Q542" s="1"/>
      <c r="T542" s="1"/>
      <c r="W542" s="1"/>
      <c r="Z542" s="1"/>
      <c r="AC542" s="3"/>
    </row>
    <row r="543" ht="15.75" customHeight="1">
      <c r="E543" s="1"/>
      <c r="H543" s="1"/>
      <c r="K543" s="1"/>
      <c r="N543" s="1"/>
      <c r="Q543" s="1"/>
      <c r="T543" s="1"/>
      <c r="W543" s="1"/>
      <c r="Z543" s="1"/>
      <c r="AC543" s="3"/>
    </row>
    <row r="544" ht="15.75" customHeight="1">
      <c r="E544" s="1"/>
      <c r="H544" s="1"/>
      <c r="K544" s="1"/>
      <c r="N544" s="1"/>
      <c r="Q544" s="1"/>
      <c r="T544" s="1"/>
      <c r="W544" s="1"/>
      <c r="Z544" s="1"/>
      <c r="AC544" s="3"/>
    </row>
    <row r="545" ht="15.75" customHeight="1">
      <c r="E545" s="1"/>
      <c r="H545" s="1"/>
      <c r="K545" s="1"/>
      <c r="N545" s="1"/>
      <c r="Q545" s="1"/>
      <c r="T545" s="1"/>
      <c r="W545" s="1"/>
      <c r="Z545" s="1"/>
      <c r="AC545" s="3"/>
    </row>
    <row r="546" ht="15.75" customHeight="1">
      <c r="E546" s="1"/>
      <c r="H546" s="1"/>
      <c r="K546" s="1"/>
      <c r="N546" s="1"/>
      <c r="Q546" s="1"/>
      <c r="T546" s="1"/>
      <c r="W546" s="1"/>
      <c r="Z546" s="1"/>
      <c r="AC546" s="3"/>
    </row>
    <row r="547" ht="15.75" customHeight="1">
      <c r="E547" s="1"/>
      <c r="H547" s="1"/>
      <c r="K547" s="1"/>
      <c r="N547" s="1"/>
      <c r="Q547" s="1"/>
      <c r="T547" s="1"/>
      <c r="W547" s="1"/>
      <c r="Z547" s="1"/>
      <c r="AC547" s="3"/>
    </row>
    <row r="548" ht="15.75" customHeight="1">
      <c r="E548" s="1"/>
      <c r="H548" s="1"/>
      <c r="K548" s="1"/>
      <c r="N548" s="1"/>
      <c r="Q548" s="1"/>
      <c r="T548" s="1"/>
      <c r="W548" s="1"/>
      <c r="Z548" s="1"/>
      <c r="AC548" s="3"/>
    </row>
    <row r="549" ht="15.75" customHeight="1">
      <c r="E549" s="1"/>
      <c r="H549" s="1"/>
      <c r="K549" s="1"/>
      <c r="N549" s="1"/>
      <c r="Q549" s="1"/>
      <c r="T549" s="1"/>
      <c r="W549" s="1"/>
      <c r="Z549" s="1"/>
      <c r="AC549" s="3"/>
    </row>
    <row r="550" ht="15.75" customHeight="1">
      <c r="E550" s="1"/>
      <c r="H550" s="1"/>
      <c r="K550" s="1"/>
      <c r="N550" s="1"/>
      <c r="Q550" s="1"/>
      <c r="T550" s="1"/>
      <c r="W550" s="1"/>
      <c r="Z550" s="1"/>
      <c r="AC550" s="3"/>
    </row>
    <row r="551" ht="15.75" customHeight="1">
      <c r="E551" s="1"/>
      <c r="H551" s="1"/>
      <c r="K551" s="1"/>
      <c r="N551" s="1"/>
      <c r="Q551" s="1"/>
      <c r="T551" s="1"/>
      <c r="W551" s="1"/>
      <c r="Z551" s="1"/>
      <c r="AC551" s="3"/>
    </row>
    <row r="552" ht="15.75" customHeight="1">
      <c r="E552" s="1"/>
      <c r="H552" s="1"/>
      <c r="K552" s="1"/>
      <c r="N552" s="1"/>
      <c r="Q552" s="1"/>
      <c r="T552" s="1"/>
      <c r="W552" s="1"/>
      <c r="Z552" s="1"/>
      <c r="AC552" s="3"/>
    </row>
    <row r="553" ht="15.75" customHeight="1">
      <c r="E553" s="1"/>
      <c r="H553" s="1"/>
      <c r="K553" s="1"/>
      <c r="N553" s="1"/>
      <c r="Q553" s="1"/>
      <c r="T553" s="1"/>
      <c r="W553" s="1"/>
      <c r="Z553" s="1"/>
      <c r="AC553" s="3"/>
    </row>
    <row r="554" ht="15.75" customHeight="1">
      <c r="E554" s="1"/>
      <c r="H554" s="1"/>
      <c r="K554" s="1"/>
      <c r="N554" s="1"/>
      <c r="Q554" s="1"/>
      <c r="T554" s="1"/>
      <c r="W554" s="1"/>
      <c r="Z554" s="1"/>
      <c r="AC554" s="3"/>
    </row>
    <row r="555" ht="15.75" customHeight="1">
      <c r="E555" s="1"/>
      <c r="H555" s="1"/>
      <c r="K555" s="1"/>
      <c r="N555" s="1"/>
      <c r="Q555" s="1"/>
      <c r="T555" s="1"/>
      <c r="W555" s="1"/>
      <c r="Z555" s="1"/>
      <c r="AC555" s="3"/>
    </row>
    <row r="556" ht="15.75" customHeight="1">
      <c r="E556" s="1"/>
      <c r="H556" s="1"/>
      <c r="K556" s="1"/>
      <c r="N556" s="1"/>
      <c r="Q556" s="1"/>
      <c r="T556" s="1"/>
      <c r="W556" s="1"/>
      <c r="Z556" s="1"/>
      <c r="AC556" s="3"/>
    </row>
    <row r="557" ht="15.75" customHeight="1">
      <c r="E557" s="1"/>
      <c r="H557" s="1"/>
      <c r="K557" s="1"/>
      <c r="N557" s="1"/>
      <c r="Q557" s="1"/>
      <c r="T557" s="1"/>
      <c r="W557" s="1"/>
      <c r="Z557" s="1"/>
      <c r="AC557" s="3"/>
    </row>
    <row r="558" ht="15.75" customHeight="1">
      <c r="E558" s="1"/>
      <c r="H558" s="1"/>
      <c r="K558" s="1"/>
      <c r="N558" s="1"/>
      <c r="Q558" s="1"/>
      <c r="T558" s="1"/>
      <c r="W558" s="1"/>
      <c r="Z558" s="1"/>
      <c r="AC558" s="3"/>
    </row>
    <row r="559" ht="15.75" customHeight="1">
      <c r="E559" s="1"/>
      <c r="H559" s="1"/>
      <c r="K559" s="1"/>
      <c r="N559" s="1"/>
      <c r="Q559" s="1"/>
      <c r="T559" s="1"/>
      <c r="W559" s="1"/>
      <c r="Z559" s="1"/>
      <c r="AC559" s="3"/>
    </row>
    <row r="560" ht="15.75" customHeight="1">
      <c r="E560" s="1"/>
      <c r="H560" s="1"/>
      <c r="K560" s="1"/>
      <c r="N560" s="1"/>
      <c r="Q560" s="1"/>
      <c r="T560" s="1"/>
      <c r="W560" s="1"/>
      <c r="Z560" s="1"/>
      <c r="AC560" s="3"/>
    </row>
    <row r="561" ht="15.75" customHeight="1">
      <c r="E561" s="1"/>
      <c r="H561" s="1"/>
      <c r="K561" s="1"/>
      <c r="N561" s="1"/>
      <c r="Q561" s="1"/>
      <c r="T561" s="1"/>
      <c r="W561" s="1"/>
      <c r="Z561" s="1"/>
      <c r="AC561" s="3"/>
    </row>
    <row r="562" ht="15.75" customHeight="1">
      <c r="E562" s="1"/>
      <c r="H562" s="1"/>
      <c r="K562" s="1"/>
      <c r="N562" s="1"/>
      <c r="Q562" s="1"/>
      <c r="T562" s="1"/>
      <c r="W562" s="1"/>
      <c r="Z562" s="1"/>
      <c r="AC562" s="3"/>
    </row>
    <row r="563" ht="15.75" customHeight="1">
      <c r="E563" s="1"/>
      <c r="H563" s="1"/>
      <c r="K563" s="1"/>
      <c r="N563" s="1"/>
      <c r="Q563" s="1"/>
      <c r="T563" s="1"/>
      <c r="W563" s="1"/>
      <c r="Z563" s="1"/>
      <c r="AC563" s="3"/>
    </row>
    <row r="564" ht="15.75" customHeight="1">
      <c r="E564" s="1"/>
      <c r="H564" s="1"/>
      <c r="K564" s="1"/>
      <c r="N564" s="1"/>
      <c r="Q564" s="1"/>
      <c r="T564" s="1"/>
      <c r="W564" s="1"/>
      <c r="Z564" s="1"/>
      <c r="AC564" s="3"/>
    </row>
    <row r="565" ht="15.75" customHeight="1">
      <c r="E565" s="1"/>
      <c r="H565" s="1"/>
      <c r="K565" s="1"/>
      <c r="N565" s="1"/>
      <c r="Q565" s="1"/>
      <c r="T565" s="1"/>
      <c r="W565" s="1"/>
      <c r="Z565" s="1"/>
      <c r="AC565" s="3"/>
    </row>
    <row r="566" ht="15.75" customHeight="1">
      <c r="E566" s="1"/>
      <c r="H566" s="1"/>
      <c r="K566" s="1"/>
      <c r="N566" s="1"/>
      <c r="Q566" s="1"/>
      <c r="T566" s="1"/>
      <c r="W566" s="1"/>
      <c r="Z566" s="1"/>
      <c r="AC566" s="3"/>
    </row>
    <row r="567" ht="15.75" customHeight="1">
      <c r="E567" s="1"/>
      <c r="H567" s="1"/>
      <c r="K567" s="1"/>
      <c r="N567" s="1"/>
      <c r="Q567" s="1"/>
      <c r="T567" s="1"/>
      <c r="W567" s="1"/>
      <c r="Z567" s="1"/>
      <c r="AC567" s="3"/>
    </row>
    <row r="568" ht="15.75" customHeight="1">
      <c r="E568" s="1"/>
      <c r="H568" s="1"/>
      <c r="K568" s="1"/>
      <c r="N568" s="1"/>
      <c r="Q568" s="1"/>
      <c r="T568" s="1"/>
      <c r="W568" s="1"/>
      <c r="Z568" s="1"/>
      <c r="AC568" s="3"/>
    </row>
    <row r="569" ht="15.75" customHeight="1">
      <c r="E569" s="1"/>
      <c r="H569" s="1"/>
      <c r="K569" s="1"/>
      <c r="N569" s="1"/>
      <c r="Q569" s="1"/>
      <c r="T569" s="1"/>
      <c r="W569" s="1"/>
      <c r="Z569" s="1"/>
      <c r="AC569" s="3"/>
    </row>
    <row r="570" ht="15.75" customHeight="1">
      <c r="E570" s="1"/>
      <c r="H570" s="1"/>
      <c r="K570" s="1"/>
      <c r="N570" s="1"/>
      <c r="Q570" s="1"/>
      <c r="T570" s="1"/>
      <c r="W570" s="1"/>
      <c r="Z570" s="1"/>
      <c r="AC570" s="3"/>
    </row>
    <row r="571" ht="15.75" customHeight="1">
      <c r="E571" s="1"/>
      <c r="H571" s="1"/>
      <c r="K571" s="1"/>
      <c r="N571" s="1"/>
      <c r="Q571" s="1"/>
      <c r="T571" s="1"/>
      <c r="W571" s="1"/>
      <c r="Z571" s="1"/>
      <c r="AC571" s="3"/>
    </row>
    <row r="572" ht="15.75" customHeight="1">
      <c r="E572" s="1"/>
      <c r="H572" s="1"/>
      <c r="K572" s="1"/>
      <c r="N572" s="1"/>
      <c r="Q572" s="1"/>
      <c r="T572" s="1"/>
      <c r="W572" s="1"/>
      <c r="Z572" s="1"/>
      <c r="AC572" s="3"/>
    </row>
    <row r="573" ht="15.75" customHeight="1">
      <c r="E573" s="1"/>
      <c r="H573" s="1"/>
      <c r="K573" s="1"/>
      <c r="N573" s="1"/>
      <c r="Q573" s="1"/>
      <c r="T573" s="1"/>
      <c r="W573" s="1"/>
      <c r="Z573" s="1"/>
      <c r="AC573" s="3"/>
    </row>
    <row r="574" ht="15.75" customHeight="1">
      <c r="E574" s="1"/>
      <c r="H574" s="1"/>
      <c r="K574" s="1"/>
      <c r="N574" s="1"/>
      <c r="Q574" s="1"/>
      <c r="T574" s="1"/>
      <c r="W574" s="1"/>
      <c r="Z574" s="1"/>
      <c r="AC574" s="3"/>
    </row>
    <row r="575" ht="15.75" customHeight="1">
      <c r="E575" s="1"/>
      <c r="H575" s="1"/>
      <c r="K575" s="1"/>
      <c r="N575" s="1"/>
      <c r="Q575" s="1"/>
      <c r="T575" s="1"/>
      <c r="W575" s="1"/>
      <c r="Z575" s="1"/>
      <c r="AC575" s="3"/>
    </row>
    <row r="576" ht="15.75" customHeight="1">
      <c r="E576" s="1"/>
      <c r="H576" s="1"/>
      <c r="K576" s="1"/>
      <c r="N576" s="1"/>
      <c r="Q576" s="1"/>
      <c r="T576" s="1"/>
      <c r="W576" s="1"/>
      <c r="Z576" s="1"/>
      <c r="AC576" s="3"/>
    </row>
    <row r="577" ht="15.75" customHeight="1">
      <c r="E577" s="1"/>
      <c r="H577" s="1"/>
      <c r="K577" s="1"/>
      <c r="N577" s="1"/>
      <c r="Q577" s="1"/>
      <c r="T577" s="1"/>
      <c r="W577" s="1"/>
      <c r="Z577" s="1"/>
      <c r="AC577" s="3"/>
    </row>
    <row r="578" ht="15.75" customHeight="1">
      <c r="E578" s="1"/>
      <c r="H578" s="1"/>
      <c r="K578" s="1"/>
      <c r="N578" s="1"/>
      <c r="Q578" s="1"/>
      <c r="T578" s="1"/>
      <c r="W578" s="1"/>
      <c r="Z578" s="1"/>
      <c r="AC578" s="3"/>
    </row>
    <row r="579" ht="15.75" customHeight="1">
      <c r="E579" s="1"/>
      <c r="H579" s="1"/>
      <c r="K579" s="1"/>
      <c r="N579" s="1"/>
      <c r="Q579" s="1"/>
      <c r="T579" s="1"/>
      <c r="W579" s="1"/>
      <c r="Z579" s="1"/>
      <c r="AC579" s="3"/>
    </row>
    <row r="580" ht="15.75" customHeight="1">
      <c r="E580" s="1"/>
      <c r="H580" s="1"/>
      <c r="K580" s="1"/>
      <c r="N580" s="1"/>
      <c r="Q580" s="1"/>
      <c r="T580" s="1"/>
      <c r="W580" s="1"/>
      <c r="Z580" s="1"/>
      <c r="AC580" s="3"/>
    </row>
    <row r="581" ht="15.75" customHeight="1">
      <c r="E581" s="1"/>
      <c r="H581" s="1"/>
      <c r="K581" s="1"/>
      <c r="N581" s="1"/>
      <c r="Q581" s="1"/>
      <c r="T581" s="1"/>
      <c r="W581" s="1"/>
      <c r="Z581" s="1"/>
      <c r="AC581" s="3"/>
    </row>
    <row r="582" ht="15.75" customHeight="1">
      <c r="E582" s="1"/>
      <c r="H582" s="1"/>
      <c r="K582" s="1"/>
      <c r="N582" s="1"/>
      <c r="Q582" s="1"/>
      <c r="T582" s="1"/>
      <c r="W582" s="1"/>
      <c r="Z582" s="1"/>
      <c r="AC582" s="3"/>
    </row>
    <row r="583" ht="15.75" customHeight="1">
      <c r="E583" s="1"/>
      <c r="H583" s="1"/>
      <c r="K583" s="1"/>
      <c r="N583" s="1"/>
      <c r="Q583" s="1"/>
      <c r="T583" s="1"/>
      <c r="W583" s="1"/>
      <c r="Z583" s="1"/>
      <c r="AC583" s="3"/>
    </row>
    <row r="584" ht="15.75" customHeight="1">
      <c r="E584" s="1"/>
      <c r="H584" s="1"/>
      <c r="K584" s="1"/>
      <c r="N584" s="1"/>
      <c r="Q584" s="1"/>
      <c r="T584" s="1"/>
      <c r="W584" s="1"/>
      <c r="Z584" s="1"/>
      <c r="AC584" s="3"/>
    </row>
    <row r="585" ht="15.75" customHeight="1">
      <c r="E585" s="1"/>
      <c r="H585" s="1"/>
      <c r="K585" s="1"/>
      <c r="N585" s="1"/>
      <c r="Q585" s="1"/>
      <c r="T585" s="1"/>
      <c r="W585" s="1"/>
      <c r="Z585" s="1"/>
      <c r="AC585" s="3"/>
    </row>
    <row r="586" ht="15.75" customHeight="1">
      <c r="E586" s="1"/>
      <c r="H586" s="1"/>
      <c r="K586" s="1"/>
      <c r="N586" s="1"/>
      <c r="Q586" s="1"/>
      <c r="T586" s="1"/>
      <c r="W586" s="1"/>
      <c r="Z586" s="1"/>
      <c r="AC586" s="3"/>
    </row>
    <row r="587" ht="15.75" customHeight="1">
      <c r="E587" s="1"/>
      <c r="H587" s="1"/>
      <c r="K587" s="1"/>
      <c r="N587" s="1"/>
      <c r="Q587" s="1"/>
      <c r="T587" s="1"/>
      <c r="W587" s="1"/>
      <c r="Z587" s="1"/>
      <c r="AC587" s="3"/>
    </row>
    <row r="588" ht="15.75" customHeight="1">
      <c r="E588" s="1"/>
      <c r="H588" s="1"/>
      <c r="K588" s="1"/>
      <c r="N588" s="1"/>
      <c r="Q588" s="1"/>
      <c r="T588" s="1"/>
      <c r="W588" s="1"/>
      <c r="Z588" s="1"/>
      <c r="AC588" s="3"/>
    </row>
    <row r="589" ht="15.75" customHeight="1">
      <c r="E589" s="1"/>
      <c r="H589" s="1"/>
      <c r="K589" s="1"/>
      <c r="N589" s="1"/>
      <c r="Q589" s="1"/>
      <c r="T589" s="1"/>
      <c r="W589" s="1"/>
      <c r="Z589" s="1"/>
      <c r="AC589" s="3"/>
    </row>
    <row r="590" ht="15.75" customHeight="1">
      <c r="E590" s="1"/>
      <c r="H590" s="1"/>
      <c r="K590" s="1"/>
      <c r="N590" s="1"/>
      <c r="Q590" s="1"/>
      <c r="T590" s="1"/>
      <c r="W590" s="1"/>
      <c r="Z590" s="1"/>
      <c r="AC590" s="3"/>
    </row>
    <row r="591" ht="15.75" customHeight="1">
      <c r="E591" s="1"/>
      <c r="H591" s="1"/>
      <c r="K591" s="1"/>
      <c r="N591" s="1"/>
      <c r="Q591" s="1"/>
      <c r="T591" s="1"/>
      <c r="W591" s="1"/>
      <c r="Z591" s="1"/>
      <c r="AC591" s="3"/>
    </row>
    <row r="592" ht="15.75" customHeight="1">
      <c r="E592" s="1"/>
      <c r="H592" s="1"/>
      <c r="K592" s="1"/>
      <c r="N592" s="1"/>
      <c r="Q592" s="1"/>
      <c r="T592" s="1"/>
      <c r="W592" s="1"/>
      <c r="Z592" s="1"/>
      <c r="AC592" s="3"/>
    </row>
    <row r="593" ht="15.75" customHeight="1">
      <c r="E593" s="1"/>
      <c r="H593" s="1"/>
      <c r="K593" s="1"/>
      <c r="N593" s="1"/>
      <c r="Q593" s="1"/>
      <c r="T593" s="1"/>
      <c r="W593" s="1"/>
      <c r="Z593" s="1"/>
      <c r="AC593" s="3"/>
    </row>
    <row r="594" ht="15.75" customHeight="1">
      <c r="E594" s="1"/>
      <c r="H594" s="1"/>
      <c r="K594" s="1"/>
      <c r="N594" s="1"/>
      <c r="Q594" s="1"/>
      <c r="T594" s="1"/>
      <c r="W594" s="1"/>
      <c r="Z594" s="1"/>
      <c r="AC594" s="3"/>
    </row>
    <row r="595" ht="15.75" customHeight="1">
      <c r="E595" s="1"/>
      <c r="H595" s="1"/>
      <c r="K595" s="1"/>
      <c r="N595" s="1"/>
      <c r="Q595" s="1"/>
      <c r="T595" s="1"/>
      <c r="W595" s="1"/>
      <c r="Z595" s="1"/>
      <c r="AC595" s="3"/>
    </row>
    <row r="596" ht="15.75" customHeight="1">
      <c r="E596" s="1"/>
      <c r="H596" s="1"/>
      <c r="K596" s="1"/>
      <c r="N596" s="1"/>
      <c r="Q596" s="1"/>
      <c r="T596" s="1"/>
      <c r="W596" s="1"/>
      <c r="Z596" s="1"/>
      <c r="AC596" s="3"/>
    </row>
    <row r="597" ht="15.75" customHeight="1">
      <c r="E597" s="1"/>
      <c r="H597" s="1"/>
      <c r="K597" s="1"/>
      <c r="N597" s="1"/>
      <c r="Q597" s="1"/>
      <c r="T597" s="1"/>
      <c r="W597" s="1"/>
      <c r="Z597" s="1"/>
      <c r="AC597" s="3"/>
    </row>
    <row r="598" ht="15.75" customHeight="1">
      <c r="E598" s="1"/>
      <c r="H598" s="1"/>
      <c r="K598" s="1"/>
      <c r="N598" s="1"/>
      <c r="Q598" s="1"/>
      <c r="T598" s="1"/>
      <c r="W598" s="1"/>
      <c r="Z598" s="1"/>
      <c r="AC598" s="3"/>
    </row>
    <row r="599" ht="15.75" customHeight="1">
      <c r="E599" s="1"/>
      <c r="H599" s="1"/>
      <c r="K599" s="1"/>
      <c r="N599" s="1"/>
      <c r="Q599" s="1"/>
      <c r="T599" s="1"/>
      <c r="W599" s="1"/>
      <c r="Z599" s="1"/>
      <c r="AC599" s="3"/>
    </row>
    <row r="600" ht="15.75" customHeight="1">
      <c r="E600" s="1"/>
      <c r="H600" s="1"/>
      <c r="K600" s="1"/>
      <c r="N600" s="1"/>
      <c r="Q600" s="1"/>
      <c r="T600" s="1"/>
      <c r="W600" s="1"/>
      <c r="Z600" s="1"/>
      <c r="AC600" s="3"/>
    </row>
    <row r="601" ht="15.75" customHeight="1">
      <c r="E601" s="1"/>
      <c r="H601" s="1"/>
      <c r="K601" s="1"/>
      <c r="N601" s="1"/>
      <c r="Q601" s="1"/>
      <c r="T601" s="1"/>
      <c r="W601" s="1"/>
      <c r="Z601" s="1"/>
      <c r="AC601" s="3"/>
    </row>
    <row r="602" ht="15.75" customHeight="1">
      <c r="E602" s="1"/>
      <c r="H602" s="1"/>
      <c r="K602" s="1"/>
      <c r="N602" s="1"/>
      <c r="Q602" s="1"/>
      <c r="T602" s="1"/>
      <c r="W602" s="1"/>
      <c r="Z602" s="1"/>
      <c r="AC602" s="3"/>
    </row>
    <row r="603" ht="15.75" customHeight="1">
      <c r="E603" s="1"/>
      <c r="H603" s="1"/>
      <c r="K603" s="1"/>
      <c r="N603" s="1"/>
      <c r="Q603" s="1"/>
      <c r="T603" s="1"/>
      <c r="W603" s="1"/>
      <c r="Z603" s="1"/>
      <c r="AC603" s="3"/>
    </row>
    <row r="604" ht="15.75" customHeight="1">
      <c r="E604" s="1"/>
      <c r="H604" s="1"/>
      <c r="K604" s="1"/>
      <c r="N604" s="1"/>
      <c r="Q604" s="1"/>
      <c r="T604" s="1"/>
      <c r="W604" s="1"/>
      <c r="Z604" s="1"/>
      <c r="AC604" s="3"/>
    </row>
    <row r="605" ht="15.75" customHeight="1">
      <c r="E605" s="1"/>
      <c r="H605" s="1"/>
      <c r="K605" s="1"/>
      <c r="N605" s="1"/>
      <c r="Q605" s="1"/>
      <c r="T605" s="1"/>
      <c r="W605" s="1"/>
      <c r="Z605" s="1"/>
      <c r="AC605" s="3"/>
    </row>
    <row r="606" ht="15.75" customHeight="1">
      <c r="E606" s="1"/>
      <c r="H606" s="1"/>
      <c r="K606" s="1"/>
      <c r="N606" s="1"/>
      <c r="Q606" s="1"/>
      <c r="T606" s="1"/>
      <c r="W606" s="1"/>
      <c r="Z606" s="1"/>
      <c r="AC606" s="3"/>
    </row>
    <row r="607" ht="15.75" customHeight="1">
      <c r="E607" s="1"/>
      <c r="H607" s="1"/>
      <c r="K607" s="1"/>
      <c r="N607" s="1"/>
      <c r="Q607" s="1"/>
      <c r="T607" s="1"/>
      <c r="W607" s="1"/>
      <c r="Z607" s="1"/>
      <c r="AC607" s="3"/>
    </row>
    <row r="608" ht="15.75" customHeight="1">
      <c r="E608" s="1"/>
      <c r="H608" s="1"/>
      <c r="K608" s="1"/>
      <c r="N608" s="1"/>
      <c r="Q608" s="1"/>
      <c r="T608" s="1"/>
      <c r="W608" s="1"/>
      <c r="Z608" s="1"/>
      <c r="AC608" s="3"/>
    </row>
    <row r="609" ht="15.75" customHeight="1">
      <c r="E609" s="1"/>
      <c r="H609" s="1"/>
      <c r="K609" s="1"/>
      <c r="N609" s="1"/>
      <c r="Q609" s="1"/>
      <c r="T609" s="1"/>
      <c r="W609" s="1"/>
      <c r="Z609" s="1"/>
      <c r="AC609" s="3"/>
    </row>
    <row r="610" ht="15.75" customHeight="1">
      <c r="E610" s="1"/>
      <c r="H610" s="1"/>
      <c r="K610" s="1"/>
      <c r="N610" s="1"/>
      <c r="Q610" s="1"/>
      <c r="T610" s="1"/>
      <c r="W610" s="1"/>
      <c r="Z610" s="1"/>
      <c r="AC610" s="3"/>
    </row>
    <row r="611" ht="15.75" customHeight="1">
      <c r="E611" s="1"/>
      <c r="H611" s="1"/>
      <c r="K611" s="1"/>
      <c r="N611" s="1"/>
      <c r="Q611" s="1"/>
      <c r="T611" s="1"/>
      <c r="W611" s="1"/>
      <c r="Z611" s="1"/>
      <c r="AC611" s="3"/>
    </row>
    <row r="612" ht="15.75" customHeight="1">
      <c r="E612" s="1"/>
      <c r="H612" s="1"/>
      <c r="K612" s="1"/>
      <c r="N612" s="1"/>
      <c r="Q612" s="1"/>
      <c r="T612" s="1"/>
      <c r="W612" s="1"/>
      <c r="Z612" s="1"/>
      <c r="AC612" s="3"/>
    </row>
    <row r="613" ht="15.75" customHeight="1">
      <c r="E613" s="1"/>
      <c r="H613" s="1"/>
      <c r="K613" s="1"/>
      <c r="N613" s="1"/>
      <c r="Q613" s="1"/>
      <c r="T613" s="1"/>
      <c r="W613" s="1"/>
      <c r="Z613" s="1"/>
      <c r="AC613" s="3"/>
    </row>
    <row r="614" ht="15.75" customHeight="1">
      <c r="E614" s="1"/>
      <c r="H614" s="1"/>
      <c r="K614" s="1"/>
      <c r="N614" s="1"/>
      <c r="Q614" s="1"/>
      <c r="T614" s="1"/>
      <c r="W614" s="1"/>
      <c r="Z614" s="1"/>
      <c r="AC614" s="3"/>
    </row>
    <row r="615" ht="15.75" customHeight="1">
      <c r="E615" s="1"/>
      <c r="H615" s="1"/>
      <c r="K615" s="1"/>
      <c r="N615" s="1"/>
      <c r="Q615" s="1"/>
      <c r="T615" s="1"/>
      <c r="W615" s="1"/>
      <c r="Z615" s="1"/>
      <c r="AC615" s="3"/>
    </row>
    <row r="616" ht="15.75" customHeight="1">
      <c r="E616" s="1"/>
      <c r="H616" s="1"/>
      <c r="K616" s="1"/>
      <c r="N616" s="1"/>
      <c r="Q616" s="1"/>
      <c r="T616" s="1"/>
      <c r="W616" s="1"/>
      <c r="Z616" s="1"/>
      <c r="AC616" s="3"/>
    </row>
    <row r="617" ht="15.75" customHeight="1">
      <c r="E617" s="1"/>
      <c r="H617" s="1"/>
      <c r="K617" s="1"/>
      <c r="N617" s="1"/>
      <c r="Q617" s="1"/>
      <c r="T617" s="1"/>
      <c r="W617" s="1"/>
      <c r="Z617" s="1"/>
      <c r="AC617" s="3"/>
    </row>
    <row r="618" ht="15.75" customHeight="1">
      <c r="E618" s="1"/>
      <c r="H618" s="1"/>
      <c r="K618" s="1"/>
      <c r="N618" s="1"/>
      <c r="Q618" s="1"/>
      <c r="T618" s="1"/>
      <c r="W618" s="1"/>
      <c r="Z618" s="1"/>
      <c r="AC618" s="3"/>
    </row>
    <row r="619" ht="15.75" customHeight="1">
      <c r="E619" s="1"/>
      <c r="H619" s="1"/>
      <c r="K619" s="1"/>
      <c r="N619" s="1"/>
      <c r="Q619" s="1"/>
      <c r="T619" s="1"/>
      <c r="W619" s="1"/>
      <c r="Z619" s="1"/>
      <c r="AC619" s="3"/>
    </row>
    <row r="620" ht="15.75" customHeight="1">
      <c r="E620" s="1"/>
      <c r="H620" s="1"/>
      <c r="K620" s="1"/>
      <c r="N620" s="1"/>
      <c r="Q620" s="1"/>
      <c r="T620" s="1"/>
      <c r="W620" s="1"/>
      <c r="Z620" s="1"/>
      <c r="AC620" s="3"/>
    </row>
    <row r="621" ht="15.75" customHeight="1">
      <c r="E621" s="1"/>
      <c r="H621" s="1"/>
      <c r="K621" s="1"/>
      <c r="N621" s="1"/>
      <c r="Q621" s="1"/>
      <c r="T621" s="1"/>
      <c r="W621" s="1"/>
      <c r="Z621" s="1"/>
      <c r="AC621" s="3"/>
    </row>
    <row r="622" ht="15.75" customHeight="1">
      <c r="E622" s="1"/>
      <c r="H622" s="1"/>
      <c r="K622" s="1"/>
      <c r="N622" s="1"/>
      <c r="Q622" s="1"/>
      <c r="T622" s="1"/>
      <c r="W622" s="1"/>
      <c r="Z622" s="1"/>
      <c r="AC622" s="3"/>
    </row>
    <row r="623" ht="15.75" customHeight="1">
      <c r="E623" s="1"/>
      <c r="H623" s="1"/>
      <c r="K623" s="1"/>
      <c r="N623" s="1"/>
      <c r="Q623" s="1"/>
      <c r="T623" s="1"/>
      <c r="W623" s="1"/>
      <c r="Z623" s="1"/>
      <c r="AC623" s="3"/>
    </row>
    <row r="624" ht="15.75" customHeight="1">
      <c r="E624" s="1"/>
      <c r="H624" s="1"/>
      <c r="K624" s="1"/>
      <c r="N624" s="1"/>
      <c r="Q624" s="1"/>
      <c r="T624" s="1"/>
      <c r="W624" s="1"/>
      <c r="Z624" s="1"/>
      <c r="AC624" s="3"/>
    </row>
    <row r="625" ht="15.75" customHeight="1">
      <c r="E625" s="1"/>
      <c r="H625" s="1"/>
      <c r="K625" s="1"/>
      <c r="N625" s="1"/>
      <c r="Q625" s="1"/>
      <c r="T625" s="1"/>
      <c r="W625" s="1"/>
      <c r="Z625" s="1"/>
      <c r="AC625" s="3"/>
    </row>
    <row r="626" ht="15.75" customHeight="1">
      <c r="E626" s="1"/>
      <c r="H626" s="1"/>
      <c r="K626" s="1"/>
      <c r="N626" s="1"/>
      <c r="Q626" s="1"/>
      <c r="T626" s="1"/>
      <c r="W626" s="1"/>
      <c r="Z626" s="1"/>
      <c r="AC626" s="3"/>
    </row>
    <row r="627" ht="15.75" customHeight="1">
      <c r="E627" s="1"/>
      <c r="H627" s="1"/>
      <c r="K627" s="1"/>
      <c r="N627" s="1"/>
      <c r="Q627" s="1"/>
      <c r="T627" s="1"/>
      <c r="W627" s="1"/>
      <c r="Z627" s="1"/>
      <c r="AC627" s="3"/>
    </row>
    <row r="628" ht="15.75" customHeight="1">
      <c r="E628" s="1"/>
      <c r="H628" s="1"/>
      <c r="K628" s="1"/>
      <c r="N628" s="1"/>
      <c r="Q628" s="1"/>
      <c r="T628" s="1"/>
      <c r="W628" s="1"/>
      <c r="Z628" s="1"/>
      <c r="AC628" s="3"/>
    </row>
    <row r="629" ht="15.75" customHeight="1">
      <c r="E629" s="1"/>
      <c r="H629" s="1"/>
      <c r="K629" s="1"/>
      <c r="N629" s="1"/>
      <c r="Q629" s="1"/>
      <c r="T629" s="1"/>
      <c r="W629" s="1"/>
      <c r="Z629" s="1"/>
      <c r="AC629" s="3"/>
    </row>
    <row r="630" ht="15.75" customHeight="1">
      <c r="E630" s="1"/>
      <c r="H630" s="1"/>
      <c r="K630" s="1"/>
      <c r="N630" s="1"/>
      <c r="Q630" s="1"/>
      <c r="T630" s="1"/>
      <c r="W630" s="1"/>
      <c r="Z630" s="1"/>
      <c r="AC630" s="3"/>
    </row>
    <row r="631" ht="15.75" customHeight="1">
      <c r="E631" s="1"/>
      <c r="H631" s="1"/>
      <c r="K631" s="1"/>
      <c r="N631" s="1"/>
      <c r="Q631" s="1"/>
      <c r="T631" s="1"/>
      <c r="W631" s="1"/>
      <c r="Z631" s="1"/>
      <c r="AC631" s="3"/>
    </row>
    <row r="632" ht="15.75" customHeight="1">
      <c r="E632" s="1"/>
      <c r="H632" s="1"/>
      <c r="K632" s="1"/>
      <c r="N632" s="1"/>
      <c r="Q632" s="1"/>
      <c r="T632" s="1"/>
      <c r="W632" s="1"/>
      <c r="Z632" s="1"/>
      <c r="AC632" s="3"/>
    </row>
    <row r="633" ht="15.75" customHeight="1">
      <c r="E633" s="1"/>
      <c r="H633" s="1"/>
      <c r="K633" s="1"/>
      <c r="N633" s="1"/>
      <c r="Q633" s="1"/>
      <c r="T633" s="1"/>
      <c r="W633" s="1"/>
      <c r="Z633" s="1"/>
      <c r="AC633" s="3"/>
    </row>
    <row r="634" ht="15.75" customHeight="1">
      <c r="E634" s="1"/>
      <c r="H634" s="1"/>
      <c r="K634" s="1"/>
      <c r="N634" s="1"/>
      <c r="Q634" s="1"/>
      <c r="T634" s="1"/>
      <c r="W634" s="1"/>
      <c r="Z634" s="1"/>
      <c r="AC634" s="3"/>
    </row>
    <row r="635" ht="15.75" customHeight="1">
      <c r="E635" s="1"/>
      <c r="H635" s="1"/>
      <c r="K635" s="1"/>
      <c r="N635" s="1"/>
      <c r="Q635" s="1"/>
      <c r="T635" s="1"/>
      <c r="W635" s="1"/>
      <c r="Z635" s="1"/>
      <c r="AC635" s="3"/>
    </row>
    <row r="636" ht="15.75" customHeight="1">
      <c r="E636" s="1"/>
      <c r="H636" s="1"/>
      <c r="K636" s="1"/>
      <c r="N636" s="1"/>
      <c r="Q636" s="1"/>
      <c r="T636" s="1"/>
      <c r="W636" s="1"/>
      <c r="Z636" s="1"/>
      <c r="AC636" s="3"/>
    </row>
    <row r="637" ht="15.75" customHeight="1">
      <c r="E637" s="1"/>
      <c r="H637" s="1"/>
      <c r="K637" s="1"/>
      <c r="N637" s="1"/>
      <c r="Q637" s="1"/>
      <c r="T637" s="1"/>
      <c r="W637" s="1"/>
      <c r="Z637" s="1"/>
      <c r="AC637" s="3"/>
    </row>
    <row r="638" ht="15.75" customHeight="1">
      <c r="E638" s="1"/>
      <c r="H638" s="1"/>
      <c r="K638" s="1"/>
      <c r="N638" s="1"/>
      <c r="Q638" s="1"/>
      <c r="T638" s="1"/>
      <c r="W638" s="1"/>
      <c r="Z638" s="1"/>
      <c r="AC638" s="3"/>
    </row>
    <row r="639" ht="15.75" customHeight="1">
      <c r="E639" s="1"/>
      <c r="H639" s="1"/>
      <c r="K639" s="1"/>
      <c r="N639" s="1"/>
      <c r="Q639" s="1"/>
      <c r="T639" s="1"/>
      <c r="W639" s="1"/>
      <c r="Z639" s="1"/>
      <c r="AC639" s="3"/>
    </row>
    <row r="640" ht="15.75" customHeight="1">
      <c r="E640" s="1"/>
      <c r="H640" s="1"/>
      <c r="K640" s="1"/>
      <c r="N640" s="1"/>
      <c r="Q640" s="1"/>
      <c r="T640" s="1"/>
      <c r="W640" s="1"/>
      <c r="Z640" s="1"/>
      <c r="AC640" s="3"/>
    </row>
    <row r="641" ht="15.75" customHeight="1">
      <c r="E641" s="1"/>
      <c r="H641" s="1"/>
      <c r="K641" s="1"/>
      <c r="N641" s="1"/>
      <c r="Q641" s="1"/>
      <c r="T641" s="1"/>
      <c r="W641" s="1"/>
      <c r="Z641" s="1"/>
      <c r="AC641" s="3"/>
    </row>
    <row r="642" ht="15.75" customHeight="1">
      <c r="E642" s="1"/>
      <c r="H642" s="1"/>
      <c r="K642" s="1"/>
      <c r="N642" s="1"/>
      <c r="Q642" s="1"/>
      <c r="T642" s="1"/>
      <c r="W642" s="1"/>
      <c r="Z642" s="1"/>
      <c r="AC642" s="3"/>
    </row>
    <row r="643" ht="15.75" customHeight="1">
      <c r="E643" s="1"/>
      <c r="H643" s="1"/>
      <c r="K643" s="1"/>
      <c r="N643" s="1"/>
      <c r="Q643" s="1"/>
      <c r="T643" s="1"/>
      <c r="W643" s="1"/>
      <c r="Z643" s="1"/>
      <c r="AC643" s="3"/>
    </row>
    <row r="644" ht="15.75" customHeight="1">
      <c r="E644" s="1"/>
      <c r="H644" s="1"/>
      <c r="K644" s="1"/>
      <c r="N644" s="1"/>
      <c r="Q644" s="1"/>
      <c r="T644" s="1"/>
      <c r="W644" s="1"/>
      <c r="Z644" s="1"/>
      <c r="AC644" s="3"/>
    </row>
    <row r="645" ht="15.75" customHeight="1">
      <c r="E645" s="1"/>
      <c r="H645" s="1"/>
      <c r="K645" s="1"/>
      <c r="N645" s="1"/>
      <c r="Q645" s="1"/>
      <c r="T645" s="1"/>
      <c r="W645" s="1"/>
      <c r="Z645" s="1"/>
      <c r="AC645" s="3"/>
    </row>
    <row r="646" ht="15.75" customHeight="1">
      <c r="E646" s="1"/>
      <c r="H646" s="1"/>
      <c r="K646" s="1"/>
      <c r="N646" s="1"/>
      <c r="Q646" s="1"/>
      <c r="T646" s="1"/>
      <c r="W646" s="1"/>
      <c r="Z646" s="1"/>
      <c r="AC646" s="3"/>
    </row>
    <row r="647" ht="15.75" customHeight="1">
      <c r="E647" s="1"/>
      <c r="H647" s="1"/>
      <c r="K647" s="1"/>
      <c r="N647" s="1"/>
      <c r="Q647" s="1"/>
      <c r="T647" s="1"/>
      <c r="W647" s="1"/>
      <c r="Z647" s="1"/>
      <c r="AC647" s="3"/>
    </row>
    <row r="648" ht="15.75" customHeight="1">
      <c r="E648" s="1"/>
      <c r="H648" s="1"/>
      <c r="K648" s="1"/>
      <c r="N648" s="1"/>
      <c r="Q648" s="1"/>
      <c r="T648" s="1"/>
      <c r="W648" s="1"/>
      <c r="Z648" s="1"/>
      <c r="AC648" s="3"/>
    </row>
    <row r="649" ht="15.75" customHeight="1">
      <c r="E649" s="1"/>
      <c r="H649" s="1"/>
      <c r="K649" s="1"/>
      <c r="N649" s="1"/>
      <c r="Q649" s="1"/>
      <c r="T649" s="1"/>
      <c r="W649" s="1"/>
      <c r="Z649" s="1"/>
      <c r="AC649" s="3"/>
    </row>
    <row r="650" ht="15.75" customHeight="1">
      <c r="E650" s="1"/>
      <c r="H650" s="1"/>
      <c r="K650" s="1"/>
      <c r="N650" s="1"/>
      <c r="Q650" s="1"/>
      <c r="T650" s="1"/>
      <c r="W650" s="1"/>
      <c r="Z650" s="1"/>
      <c r="AC650" s="3"/>
    </row>
    <row r="651" ht="15.75" customHeight="1">
      <c r="E651" s="1"/>
      <c r="H651" s="1"/>
      <c r="K651" s="1"/>
      <c r="N651" s="1"/>
      <c r="Q651" s="1"/>
      <c r="T651" s="1"/>
      <c r="W651" s="1"/>
      <c r="Z651" s="1"/>
      <c r="AC651" s="3"/>
    </row>
    <row r="652" ht="15.75" customHeight="1">
      <c r="E652" s="1"/>
      <c r="H652" s="1"/>
      <c r="K652" s="1"/>
      <c r="N652" s="1"/>
      <c r="Q652" s="1"/>
      <c r="T652" s="1"/>
      <c r="W652" s="1"/>
      <c r="Z652" s="1"/>
      <c r="AC652" s="3"/>
    </row>
    <row r="653" ht="15.75" customHeight="1">
      <c r="E653" s="1"/>
      <c r="H653" s="1"/>
      <c r="K653" s="1"/>
      <c r="N653" s="1"/>
      <c r="Q653" s="1"/>
      <c r="T653" s="1"/>
      <c r="W653" s="1"/>
      <c r="Z653" s="1"/>
      <c r="AC653" s="3"/>
    </row>
    <row r="654" ht="15.75" customHeight="1">
      <c r="E654" s="1"/>
      <c r="H654" s="1"/>
      <c r="K654" s="1"/>
      <c r="N654" s="1"/>
      <c r="Q654" s="1"/>
      <c r="T654" s="1"/>
      <c r="W654" s="1"/>
      <c r="Z654" s="1"/>
      <c r="AC654" s="3"/>
    </row>
    <row r="655" ht="15.75" customHeight="1">
      <c r="E655" s="1"/>
      <c r="H655" s="1"/>
      <c r="K655" s="1"/>
      <c r="N655" s="1"/>
      <c r="Q655" s="1"/>
      <c r="T655" s="1"/>
      <c r="W655" s="1"/>
      <c r="Z655" s="1"/>
      <c r="AC655" s="3"/>
    </row>
    <row r="656" ht="15.75" customHeight="1">
      <c r="E656" s="1"/>
      <c r="H656" s="1"/>
      <c r="K656" s="1"/>
      <c r="N656" s="1"/>
      <c r="Q656" s="1"/>
      <c r="T656" s="1"/>
      <c r="W656" s="1"/>
      <c r="Z656" s="1"/>
      <c r="AC656" s="3"/>
    </row>
    <row r="657" ht="15.75" customHeight="1">
      <c r="E657" s="1"/>
      <c r="H657" s="1"/>
      <c r="K657" s="1"/>
      <c r="N657" s="1"/>
      <c r="Q657" s="1"/>
      <c r="T657" s="1"/>
      <c r="W657" s="1"/>
      <c r="Z657" s="1"/>
      <c r="AC657" s="3"/>
    </row>
    <row r="658" ht="15.75" customHeight="1">
      <c r="E658" s="1"/>
      <c r="H658" s="1"/>
      <c r="K658" s="1"/>
      <c r="N658" s="1"/>
      <c r="Q658" s="1"/>
      <c r="T658" s="1"/>
      <c r="W658" s="1"/>
      <c r="Z658" s="1"/>
      <c r="AC658" s="3"/>
    </row>
    <row r="659" ht="15.75" customHeight="1">
      <c r="E659" s="1"/>
      <c r="H659" s="1"/>
      <c r="K659" s="1"/>
      <c r="N659" s="1"/>
      <c r="Q659" s="1"/>
      <c r="T659" s="1"/>
      <c r="W659" s="1"/>
      <c r="Z659" s="1"/>
      <c r="AC659" s="3"/>
    </row>
    <row r="660" ht="15.75" customHeight="1">
      <c r="E660" s="1"/>
      <c r="H660" s="1"/>
      <c r="K660" s="1"/>
      <c r="N660" s="1"/>
      <c r="Q660" s="1"/>
      <c r="T660" s="1"/>
      <c r="W660" s="1"/>
      <c r="Z660" s="1"/>
      <c r="AC660" s="3"/>
    </row>
    <row r="661" ht="15.75" customHeight="1">
      <c r="E661" s="1"/>
      <c r="H661" s="1"/>
      <c r="K661" s="1"/>
      <c r="N661" s="1"/>
      <c r="Q661" s="1"/>
      <c r="T661" s="1"/>
      <c r="W661" s="1"/>
      <c r="Z661" s="1"/>
      <c r="AC661" s="3"/>
    </row>
    <row r="662" ht="15.75" customHeight="1">
      <c r="E662" s="1"/>
      <c r="H662" s="1"/>
      <c r="K662" s="1"/>
      <c r="N662" s="1"/>
      <c r="Q662" s="1"/>
      <c r="T662" s="1"/>
      <c r="W662" s="1"/>
      <c r="Z662" s="1"/>
      <c r="AC662" s="3"/>
    </row>
    <row r="663" ht="15.75" customHeight="1">
      <c r="E663" s="1"/>
      <c r="H663" s="1"/>
      <c r="K663" s="1"/>
      <c r="N663" s="1"/>
      <c r="Q663" s="1"/>
      <c r="T663" s="1"/>
      <c r="W663" s="1"/>
      <c r="Z663" s="1"/>
      <c r="AC663" s="3"/>
    </row>
    <row r="664" ht="15.75" customHeight="1">
      <c r="E664" s="1"/>
      <c r="H664" s="1"/>
      <c r="K664" s="1"/>
      <c r="N664" s="1"/>
      <c r="Q664" s="1"/>
      <c r="T664" s="1"/>
      <c r="W664" s="1"/>
      <c r="Z664" s="1"/>
      <c r="AC664" s="3"/>
    </row>
    <row r="665" ht="15.75" customHeight="1">
      <c r="E665" s="1"/>
      <c r="H665" s="1"/>
      <c r="K665" s="1"/>
      <c r="N665" s="1"/>
      <c r="Q665" s="1"/>
      <c r="T665" s="1"/>
      <c r="W665" s="1"/>
      <c r="Z665" s="1"/>
      <c r="AC665" s="3"/>
    </row>
    <row r="666" ht="15.75" customHeight="1">
      <c r="E666" s="1"/>
      <c r="H666" s="1"/>
      <c r="K666" s="1"/>
      <c r="N666" s="1"/>
      <c r="Q666" s="1"/>
      <c r="T666" s="1"/>
      <c r="W666" s="1"/>
      <c r="Z666" s="1"/>
      <c r="AC666" s="3"/>
    </row>
    <row r="667" ht="15.75" customHeight="1">
      <c r="E667" s="1"/>
      <c r="H667" s="1"/>
      <c r="K667" s="1"/>
      <c r="N667" s="1"/>
      <c r="Q667" s="1"/>
      <c r="T667" s="1"/>
      <c r="W667" s="1"/>
      <c r="Z667" s="1"/>
      <c r="AC667" s="3"/>
    </row>
    <row r="668" ht="15.75" customHeight="1">
      <c r="E668" s="1"/>
      <c r="H668" s="1"/>
      <c r="K668" s="1"/>
      <c r="N668" s="1"/>
      <c r="Q668" s="1"/>
      <c r="T668" s="1"/>
      <c r="W668" s="1"/>
      <c r="Z668" s="1"/>
      <c r="AC668" s="3"/>
    </row>
    <row r="669" ht="15.75" customHeight="1">
      <c r="E669" s="1"/>
      <c r="H669" s="1"/>
      <c r="K669" s="1"/>
      <c r="N669" s="1"/>
      <c r="Q669" s="1"/>
      <c r="T669" s="1"/>
      <c r="W669" s="1"/>
      <c r="Z669" s="1"/>
      <c r="AC669" s="3"/>
    </row>
    <row r="670" ht="15.75" customHeight="1">
      <c r="E670" s="1"/>
      <c r="H670" s="1"/>
      <c r="K670" s="1"/>
      <c r="N670" s="1"/>
      <c r="Q670" s="1"/>
      <c r="T670" s="1"/>
      <c r="W670" s="1"/>
      <c r="Z670" s="1"/>
      <c r="AC670" s="3"/>
    </row>
    <row r="671" ht="15.75" customHeight="1">
      <c r="E671" s="1"/>
      <c r="H671" s="1"/>
      <c r="K671" s="1"/>
      <c r="N671" s="1"/>
      <c r="Q671" s="1"/>
      <c r="T671" s="1"/>
      <c r="W671" s="1"/>
      <c r="Z671" s="1"/>
      <c r="AC671" s="3"/>
    </row>
    <row r="672" ht="15.75" customHeight="1">
      <c r="E672" s="1"/>
      <c r="H672" s="1"/>
      <c r="K672" s="1"/>
      <c r="N672" s="1"/>
      <c r="Q672" s="1"/>
      <c r="T672" s="1"/>
      <c r="W672" s="1"/>
      <c r="Z672" s="1"/>
      <c r="AC672" s="3"/>
    </row>
    <row r="673" ht="15.75" customHeight="1">
      <c r="E673" s="1"/>
      <c r="H673" s="1"/>
      <c r="K673" s="1"/>
      <c r="N673" s="1"/>
      <c r="Q673" s="1"/>
      <c r="T673" s="1"/>
      <c r="W673" s="1"/>
      <c r="Z673" s="1"/>
      <c r="AC673" s="3"/>
    </row>
    <row r="674" ht="15.75" customHeight="1">
      <c r="E674" s="1"/>
      <c r="H674" s="1"/>
      <c r="K674" s="1"/>
      <c r="N674" s="1"/>
      <c r="Q674" s="1"/>
      <c r="T674" s="1"/>
      <c r="W674" s="1"/>
      <c r="Z674" s="1"/>
      <c r="AC674" s="3"/>
    </row>
    <row r="675" ht="15.75" customHeight="1">
      <c r="E675" s="1"/>
      <c r="H675" s="1"/>
      <c r="K675" s="1"/>
      <c r="N675" s="1"/>
      <c r="Q675" s="1"/>
      <c r="T675" s="1"/>
      <c r="W675" s="1"/>
      <c r="Z675" s="1"/>
      <c r="AC675" s="3"/>
    </row>
    <row r="676" ht="15.75" customHeight="1">
      <c r="E676" s="1"/>
      <c r="H676" s="1"/>
      <c r="K676" s="1"/>
      <c r="N676" s="1"/>
      <c r="Q676" s="1"/>
      <c r="T676" s="1"/>
      <c r="W676" s="1"/>
      <c r="Z676" s="1"/>
      <c r="AC676" s="3"/>
    </row>
    <row r="677" ht="15.75" customHeight="1">
      <c r="E677" s="1"/>
      <c r="H677" s="1"/>
      <c r="K677" s="1"/>
      <c r="N677" s="1"/>
      <c r="Q677" s="1"/>
      <c r="T677" s="1"/>
      <c r="W677" s="1"/>
      <c r="Z677" s="1"/>
      <c r="AC677" s="3"/>
    </row>
    <row r="678" ht="15.75" customHeight="1">
      <c r="E678" s="1"/>
      <c r="H678" s="1"/>
      <c r="K678" s="1"/>
      <c r="N678" s="1"/>
      <c r="Q678" s="1"/>
      <c r="T678" s="1"/>
      <c r="W678" s="1"/>
      <c r="Z678" s="1"/>
      <c r="AC678" s="3"/>
    </row>
    <row r="679" ht="15.75" customHeight="1">
      <c r="E679" s="1"/>
      <c r="H679" s="1"/>
      <c r="K679" s="1"/>
      <c r="N679" s="1"/>
      <c r="Q679" s="1"/>
      <c r="T679" s="1"/>
      <c r="W679" s="1"/>
      <c r="Z679" s="1"/>
      <c r="AC679" s="3"/>
    </row>
    <row r="680" ht="15.75" customHeight="1">
      <c r="E680" s="1"/>
      <c r="H680" s="1"/>
      <c r="K680" s="1"/>
      <c r="N680" s="1"/>
      <c r="Q680" s="1"/>
      <c r="T680" s="1"/>
      <c r="W680" s="1"/>
      <c r="Z680" s="1"/>
      <c r="AC680" s="3"/>
    </row>
    <row r="681" ht="15.75" customHeight="1">
      <c r="E681" s="1"/>
      <c r="H681" s="1"/>
      <c r="K681" s="1"/>
      <c r="N681" s="1"/>
      <c r="Q681" s="1"/>
      <c r="T681" s="1"/>
      <c r="W681" s="1"/>
      <c r="Z681" s="1"/>
      <c r="AC681" s="3"/>
    </row>
    <row r="682" ht="15.75" customHeight="1">
      <c r="E682" s="1"/>
      <c r="H682" s="1"/>
      <c r="K682" s="1"/>
      <c r="N682" s="1"/>
      <c r="Q682" s="1"/>
      <c r="T682" s="1"/>
      <c r="W682" s="1"/>
      <c r="Z682" s="1"/>
      <c r="AC682" s="3"/>
    </row>
    <row r="683" ht="15.75" customHeight="1">
      <c r="E683" s="1"/>
      <c r="H683" s="1"/>
      <c r="K683" s="1"/>
      <c r="N683" s="1"/>
      <c r="Q683" s="1"/>
      <c r="T683" s="1"/>
      <c r="W683" s="1"/>
      <c r="Z683" s="1"/>
      <c r="AC683" s="3"/>
    </row>
    <row r="684" ht="15.75" customHeight="1">
      <c r="E684" s="1"/>
      <c r="H684" s="1"/>
      <c r="K684" s="1"/>
      <c r="N684" s="1"/>
      <c r="Q684" s="1"/>
      <c r="T684" s="1"/>
      <c r="W684" s="1"/>
      <c r="Z684" s="1"/>
      <c r="AC684" s="3"/>
    </row>
    <row r="685" ht="15.75" customHeight="1">
      <c r="E685" s="1"/>
      <c r="H685" s="1"/>
      <c r="K685" s="1"/>
      <c r="N685" s="1"/>
      <c r="Q685" s="1"/>
      <c r="T685" s="1"/>
      <c r="W685" s="1"/>
      <c r="Z685" s="1"/>
      <c r="AC685" s="3"/>
    </row>
    <row r="686" ht="15.75" customHeight="1">
      <c r="E686" s="1"/>
      <c r="H686" s="1"/>
      <c r="K686" s="1"/>
      <c r="N686" s="1"/>
      <c r="Q686" s="1"/>
      <c r="T686" s="1"/>
      <c r="W686" s="1"/>
      <c r="Z686" s="1"/>
      <c r="AC686" s="3"/>
    </row>
    <row r="687" ht="15.75" customHeight="1">
      <c r="E687" s="1"/>
      <c r="H687" s="1"/>
      <c r="K687" s="1"/>
      <c r="N687" s="1"/>
      <c r="Q687" s="1"/>
      <c r="T687" s="1"/>
      <c r="W687" s="1"/>
      <c r="Z687" s="1"/>
      <c r="AC687" s="3"/>
    </row>
    <row r="688" ht="15.75" customHeight="1">
      <c r="E688" s="1"/>
      <c r="H688" s="1"/>
      <c r="K688" s="1"/>
      <c r="N688" s="1"/>
      <c r="Q688" s="1"/>
      <c r="T688" s="1"/>
      <c r="W688" s="1"/>
      <c r="Z688" s="1"/>
      <c r="AC688" s="3"/>
    </row>
    <row r="689" ht="15.75" customHeight="1">
      <c r="E689" s="1"/>
      <c r="H689" s="1"/>
      <c r="K689" s="1"/>
      <c r="N689" s="1"/>
      <c r="Q689" s="1"/>
      <c r="T689" s="1"/>
      <c r="W689" s="1"/>
      <c r="Z689" s="1"/>
      <c r="AC689" s="3"/>
    </row>
    <row r="690" ht="15.75" customHeight="1">
      <c r="E690" s="1"/>
      <c r="H690" s="1"/>
      <c r="K690" s="1"/>
      <c r="N690" s="1"/>
      <c r="Q690" s="1"/>
      <c r="T690" s="1"/>
      <c r="W690" s="1"/>
      <c r="Z690" s="1"/>
      <c r="AC690" s="3"/>
    </row>
    <row r="691" ht="15.75" customHeight="1">
      <c r="E691" s="1"/>
      <c r="H691" s="1"/>
      <c r="K691" s="1"/>
      <c r="N691" s="1"/>
      <c r="Q691" s="1"/>
      <c r="T691" s="1"/>
      <c r="W691" s="1"/>
      <c r="Z691" s="1"/>
      <c r="AC691" s="3"/>
    </row>
    <row r="692" ht="15.75" customHeight="1">
      <c r="E692" s="1"/>
      <c r="H692" s="1"/>
      <c r="K692" s="1"/>
      <c r="N692" s="1"/>
      <c r="Q692" s="1"/>
      <c r="T692" s="1"/>
      <c r="W692" s="1"/>
      <c r="Z692" s="1"/>
      <c r="AC692" s="3"/>
    </row>
    <row r="693" ht="15.75" customHeight="1">
      <c r="E693" s="1"/>
      <c r="H693" s="1"/>
      <c r="K693" s="1"/>
      <c r="N693" s="1"/>
      <c r="Q693" s="1"/>
      <c r="T693" s="1"/>
      <c r="W693" s="1"/>
      <c r="Z693" s="1"/>
      <c r="AC693" s="3"/>
    </row>
    <row r="694" ht="15.75" customHeight="1">
      <c r="E694" s="1"/>
      <c r="H694" s="1"/>
      <c r="K694" s="1"/>
      <c r="N694" s="1"/>
      <c r="Q694" s="1"/>
      <c r="T694" s="1"/>
      <c r="W694" s="1"/>
      <c r="Z694" s="1"/>
      <c r="AC694" s="3"/>
    </row>
    <row r="695" ht="15.75" customHeight="1">
      <c r="E695" s="1"/>
      <c r="H695" s="1"/>
      <c r="K695" s="1"/>
      <c r="N695" s="1"/>
      <c r="Q695" s="1"/>
      <c r="T695" s="1"/>
      <c r="W695" s="1"/>
      <c r="Z695" s="1"/>
      <c r="AC695" s="3"/>
    </row>
    <row r="696" ht="15.75" customHeight="1">
      <c r="E696" s="1"/>
      <c r="H696" s="1"/>
      <c r="K696" s="1"/>
      <c r="N696" s="1"/>
      <c r="Q696" s="1"/>
      <c r="T696" s="1"/>
      <c r="W696" s="1"/>
      <c r="Z696" s="1"/>
      <c r="AC696" s="3"/>
    </row>
    <row r="697" ht="15.75" customHeight="1">
      <c r="E697" s="1"/>
      <c r="H697" s="1"/>
      <c r="K697" s="1"/>
      <c r="N697" s="1"/>
      <c r="Q697" s="1"/>
      <c r="T697" s="1"/>
      <c r="W697" s="1"/>
      <c r="Z697" s="1"/>
      <c r="AC697" s="3"/>
    </row>
    <row r="698" ht="15.75" customHeight="1">
      <c r="E698" s="1"/>
      <c r="H698" s="1"/>
      <c r="K698" s="1"/>
      <c r="N698" s="1"/>
      <c r="Q698" s="1"/>
      <c r="T698" s="1"/>
      <c r="W698" s="1"/>
      <c r="Z698" s="1"/>
      <c r="AC698" s="3"/>
    </row>
    <row r="699" ht="15.75" customHeight="1">
      <c r="E699" s="1"/>
      <c r="H699" s="1"/>
      <c r="K699" s="1"/>
      <c r="N699" s="1"/>
      <c r="Q699" s="1"/>
      <c r="T699" s="1"/>
      <c r="W699" s="1"/>
      <c r="Z699" s="1"/>
      <c r="AC699" s="3"/>
    </row>
    <row r="700" ht="15.75" customHeight="1">
      <c r="E700" s="1"/>
      <c r="H700" s="1"/>
      <c r="K700" s="1"/>
      <c r="N700" s="1"/>
      <c r="Q700" s="1"/>
      <c r="T700" s="1"/>
      <c r="W700" s="1"/>
      <c r="Z700" s="1"/>
      <c r="AC700" s="3"/>
    </row>
    <row r="701" ht="15.75" customHeight="1">
      <c r="E701" s="1"/>
      <c r="H701" s="1"/>
      <c r="K701" s="1"/>
      <c r="N701" s="1"/>
      <c r="Q701" s="1"/>
      <c r="T701" s="1"/>
      <c r="W701" s="1"/>
      <c r="Z701" s="1"/>
      <c r="AC701" s="3"/>
    </row>
    <row r="702" ht="15.75" customHeight="1">
      <c r="E702" s="1"/>
      <c r="H702" s="1"/>
      <c r="K702" s="1"/>
      <c r="N702" s="1"/>
      <c r="Q702" s="1"/>
      <c r="T702" s="1"/>
      <c r="W702" s="1"/>
      <c r="Z702" s="1"/>
      <c r="AC702" s="3"/>
    </row>
    <row r="703" ht="15.75" customHeight="1">
      <c r="E703" s="1"/>
      <c r="H703" s="1"/>
      <c r="K703" s="1"/>
      <c r="N703" s="1"/>
      <c r="Q703" s="1"/>
      <c r="T703" s="1"/>
      <c r="W703" s="1"/>
      <c r="Z703" s="1"/>
      <c r="AC703" s="3"/>
    </row>
    <row r="704" ht="15.75" customHeight="1">
      <c r="E704" s="1"/>
      <c r="H704" s="1"/>
      <c r="K704" s="1"/>
      <c r="N704" s="1"/>
      <c r="Q704" s="1"/>
      <c r="T704" s="1"/>
      <c r="W704" s="1"/>
      <c r="Z704" s="1"/>
      <c r="AC704" s="3"/>
    </row>
    <row r="705" ht="15.75" customHeight="1">
      <c r="E705" s="1"/>
      <c r="H705" s="1"/>
      <c r="K705" s="1"/>
      <c r="N705" s="1"/>
      <c r="Q705" s="1"/>
      <c r="T705" s="1"/>
      <c r="W705" s="1"/>
      <c r="Z705" s="1"/>
      <c r="AC705" s="3"/>
    </row>
    <row r="706" ht="15.75" customHeight="1">
      <c r="E706" s="1"/>
      <c r="H706" s="1"/>
      <c r="K706" s="1"/>
      <c r="N706" s="1"/>
      <c r="Q706" s="1"/>
      <c r="T706" s="1"/>
      <c r="W706" s="1"/>
      <c r="Z706" s="1"/>
      <c r="AC706" s="3"/>
    </row>
    <row r="707" ht="15.75" customHeight="1">
      <c r="E707" s="1"/>
      <c r="H707" s="1"/>
      <c r="K707" s="1"/>
      <c r="N707" s="1"/>
      <c r="Q707" s="1"/>
      <c r="T707" s="1"/>
      <c r="W707" s="1"/>
      <c r="Z707" s="1"/>
      <c r="AC707" s="3"/>
    </row>
    <row r="708" ht="15.75" customHeight="1">
      <c r="E708" s="1"/>
      <c r="H708" s="1"/>
      <c r="K708" s="1"/>
      <c r="N708" s="1"/>
      <c r="Q708" s="1"/>
      <c r="T708" s="1"/>
      <c r="W708" s="1"/>
      <c r="Z708" s="1"/>
      <c r="AC708" s="3"/>
    </row>
    <row r="709" ht="15.75" customHeight="1">
      <c r="E709" s="1"/>
      <c r="H709" s="1"/>
      <c r="K709" s="1"/>
      <c r="N709" s="1"/>
      <c r="Q709" s="1"/>
      <c r="T709" s="1"/>
      <c r="W709" s="1"/>
      <c r="Z709" s="1"/>
      <c r="AC709" s="3"/>
    </row>
    <row r="710" ht="15.75" customHeight="1">
      <c r="E710" s="1"/>
      <c r="H710" s="1"/>
      <c r="K710" s="1"/>
      <c r="N710" s="1"/>
      <c r="Q710" s="1"/>
      <c r="T710" s="1"/>
      <c r="W710" s="1"/>
      <c r="Z710" s="1"/>
      <c r="AC710" s="3"/>
    </row>
    <row r="711" ht="15.75" customHeight="1">
      <c r="E711" s="1"/>
      <c r="H711" s="1"/>
      <c r="K711" s="1"/>
      <c r="N711" s="1"/>
      <c r="Q711" s="1"/>
      <c r="T711" s="1"/>
      <c r="W711" s="1"/>
      <c r="Z711" s="1"/>
      <c r="AC711" s="3"/>
    </row>
    <row r="712" ht="15.75" customHeight="1">
      <c r="E712" s="1"/>
      <c r="H712" s="1"/>
      <c r="K712" s="1"/>
      <c r="N712" s="1"/>
      <c r="Q712" s="1"/>
      <c r="T712" s="1"/>
      <c r="W712" s="1"/>
      <c r="Z712" s="1"/>
      <c r="AC712" s="3"/>
    </row>
    <row r="713" ht="15.75" customHeight="1">
      <c r="E713" s="1"/>
      <c r="H713" s="1"/>
      <c r="K713" s="1"/>
      <c r="N713" s="1"/>
      <c r="Q713" s="1"/>
      <c r="T713" s="1"/>
      <c r="W713" s="1"/>
      <c r="Z713" s="1"/>
      <c r="AC713" s="3"/>
    </row>
    <row r="714" ht="15.75" customHeight="1">
      <c r="E714" s="1"/>
      <c r="H714" s="1"/>
      <c r="K714" s="1"/>
      <c r="N714" s="1"/>
      <c r="Q714" s="1"/>
      <c r="T714" s="1"/>
      <c r="W714" s="1"/>
      <c r="Z714" s="1"/>
      <c r="AC714" s="3"/>
    </row>
    <row r="715" ht="15.75" customHeight="1">
      <c r="E715" s="1"/>
      <c r="H715" s="1"/>
      <c r="K715" s="1"/>
      <c r="N715" s="1"/>
      <c r="Q715" s="1"/>
      <c r="T715" s="1"/>
      <c r="W715" s="1"/>
      <c r="Z715" s="1"/>
      <c r="AC715" s="3"/>
    </row>
    <row r="716" ht="15.75" customHeight="1">
      <c r="E716" s="1"/>
      <c r="H716" s="1"/>
      <c r="K716" s="1"/>
      <c r="N716" s="1"/>
      <c r="Q716" s="1"/>
      <c r="T716" s="1"/>
      <c r="W716" s="1"/>
      <c r="Z716" s="1"/>
      <c r="AC716" s="3"/>
    </row>
    <row r="717" ht="15.75" customHeight="1">
      <c r="E717" s="1"/>
      <c r="H717" s="1"/>
      <c r="K717" s="1"/>
      <c r="N717" s="1"/>
      <c r="Q717" s="1"/>
      <c r="T717" s="1"/>
      <c r="W717" s="1"/>
      <c r="Z717" s="1"/>
      <c r="AC717" s="3"/>
    </row>
    <row r="718" ht="15.75" customHeight="1">
      <c r="E718" s="1"/>
      <c r="H718" s="1"/>
      <c r="K718" s="1"/>
      <c r="N718" s="1"/>
      <c r="Q718" s="1"/>
      <c r="T718" s="1"/>
      <c r="W718" s="1"/>
      <c r="Z718" s="1"/>
      <c r="AC718" s="3"/>
    </row>
    <row r="719" ht="15.75" customHeight="1">
      <c r="E719" s="1"/>
      <c r="H719" s="1"/>
      <c r="K719" s="1"/>
      <c r="N719" s="1"/>
      <c r="Q719" s="1"/>
      <c r="T719" s="1"/>
      <c r="W719" s="1"/>
      <c r="Z719" s="1"/>
      <c r="AC719" s="3"/>
    </row>
    <row r="720" ht="15.75" customHeight="1">
      <c r="E720" s="1"/>
      <c r="H720" s="1"/>
      <c r="K720" s="1"/>
      <c r="N720" s="1"/>
      <c r="Q720" s="1"/>
      <c r="T720" s="1"/>
      <c r="W720" s="1"/>
      <c r="Z720" s="1"/>
      <c r="AC720" s="3"/>
    </row>
    <row r="721" ht="15.75" customHeight="1">
      <c r="E721" s="1"/>
      <c r="H721" s="1"/>
      <c r="K721" s="1"/>
      <c r="N721" s="1"/>
      <c r="Q721" s="1"/>
      <c r="T721" s="1"/>
      <c r="W721" s="1"/>
      <c r="Z721" s="1"/>
      <c r="AC721" s="3"/>
    </row>
    <row r="722" ht="15.75" customHeight="1">
      <c r="E722" s="1"/>
      <c r="H722" s="1"/>
      <c r="K722" s="1"/>
      <c r="N722" s="1"/>
      <c r="Q722" s="1"/>
      <c r="T722" s="1"/>
      <c r="W722" s="1"/>
      <c r="Z722" s="1"/>
      <c r="AC722" s="3"/>
    </row>
    <row r="723" ht="15.75" customHeight="1">
      <c r="E723" s="1"/>
      <c r="H723" s="1"/>
      <c r="K723" s="1"/>
      <c r="N723" s="1"/>
      <c r="Q723" s="1"/>
      <c r="T723" s="1"/>
      <c r="W723" s="1"/>
      <c r="Z723" s="1"/>
      <c r="AC723" s="3"/>
    </row>
    <row r="724" ht="15.75" customHeight="1">
      <c r="E724" s="1"/>
      <c r="H724" s="1"/>
      <c r="K724" s="1"/>
      <c r="N724" s="1"/>
      <c r="Q724" s="1"/>
      <c r="T724" s="1"/>
      <c r="W724" s="1"/>
      <c r="Z724" s="1"/>
      <c r="AC724" s="3"/>
    </row>
    <row r="725" ht="15.75" customHeight="1">
      <c r="E725" s="1"/>
      <c r="H725" s="1"/>
      <c r="K725" s="1"/>
      <c r="N725" s="1"/>
      <c r="Q725" s="1"/>
      <c r="T725" s="1"/>
      <c r="W725" s="1"/>
      <c r="Z725" s="1"/>
      <c r="AC725" s="3"/>
    </row>
    <row r="726" ht="15.75" customHeight="1">
      <c r="E726" s="1"/>
      <c r="H726" s="1"/>
      <c r="K726" s="1"/>
      <c r="N726" s="1"/>
      <c r="Q726" s="1"/>
      <c r="T726" s="1"/>
      <c r="W726" s="1"/>
      <c r="Z726" s="1"/>
      <c r="AC726" s="3"/>
    </row>
    <row r="727" ht="15.75" customHeight="1">
      <c r="E727" s="1"/>
      <c r="H727" s="1"/>
      <c r="K727" s="1"/>
      <c r="N727" s="1"/>
      <c r="Q727" s="1"/>
      <c r="T727" s="1"/>
      <c r="W727" s="1"/>
      <c r="Z727" s="1"/>
      <c r="AC727" s="3"/>
    </row>
    <row r="728" ht="15.75" customHeight="1">
      <c r="E728" s="1"/>
      <c r="H728" s="1"/>
      <c r="K728" s="1"/>
      <c r="N728" s="1"/>
      <c r="Q728" s="1"/>
      <c r="T728" s="1"/>
      <c r="W728" s="1"/>
      <c r="Z728" s="1"/>
      <c r="AC728" s="3"/>
    </row>
    <row r="729" ht="15.75" customHeight="1">
      <c r="E729" s="1"/>
      <c r="H729" s="1"/>
      <c r="K729" s="1"/>
      <c r="N729" s="1"/>
      <c r="Q729" s="1"/>
      <c r="T729" s="1"/>
      <c r="W729" s="1"/>
      <c r="Z729" s="1"/>
      <c r="AC729" s="3"/>
    </row>
    <row r="730" ht="15.75" customHeight="1">
      <c r="E730" s="1"/>
      <c r="H730" s="1"/>
      <c r="K730" s="1"/>
      <c r="N730" s="1"/>
      <c r="Q730" s="1"/>
      <c r="T730" s="1"/>
      <c r="W730" s="1"/>
      <c r="Z730" s="1"/>
      <c r="AC730" s="3"/>
    </row>
    <row r="731" ht="15.75" customHeight="1">
      <c r="E731" s="1"/>
      <c r="H731" s="1"/>
      <c r="K731" s="1"/>
      <c r="N731" s="1"/>
      <c r="Q731" s="1"/>
      <c r="T731" s="1"/>
      <c r="W731" s="1"/>
      <c r="Z731" s="1"/>
      <c r="AC731" s="3"/>
    </row>
    <row r="732" ht="15.75" customHeight="1">
      <c r="E732" s="1"/>
      <c r="H732" s="1"/>
      <c r="K732" s="1"/>
      <c r="N732" s="1"/>
      <c r="Q732" s="1"/>
      <c r="T732" s="1"/>
      <c r="W732" s="1"/>
      <c r="Z732" s="1"/>
      <c r="AC732" s="3"/>
    </row>
    <row r="733" ht="15.75" customHeight="1">
      <c r="E733" s="1"/>
      <c r="H733" s="1"/>
      <c r="K733" s="1"/>
      <c r="N733" s="1"/>
      <c r="Q733" s="1"/>
      <c r="T733" s="1"/>
      <c r="W733" s="1"/>
      <c r="Z733" s="1"/>
      <c r="AC733" s="3"/>
    </row>
    <row r="734" ht="15.75" customHeight="1">
      <c r="E734" s="1"/>
      <c r="H734" s="1"/>
      <c r="K734" s="1"/>
      <c r="N734" s="1"/>
      <c r="Q734" s="1"/>
      <c r="T734" s="1"/>
      <c r="W734" s="1"/>
      <c r="Z734" s="1"/>
      <c r="AC734" s="3"/>
    </row>
    <row r="735" ht="15.75" customHeight="1">
      <c r="E735" s="1"/>
      <c r="H735" s="1"/>
      <c r="K735" s="1"/>
      <c r="N735" s="1"/>
      <c r="Q735" s="1"/>
      <c r="T735" s="1"/>
      <c r="W735" s="1"/>
      <c r="Z735" s="1"/>
      <c r="AC735" s="3"/>
    </row>
    <row r="736" ht="15.75" customHeight="1">
      <c r="E736" s="1"/>
      <c r="H736" s="1"/>
      <c r="K736" s="1"/>
      <c r="N736" s="1"/>
      <c r="Q736" s="1"/>
      <c r="T736" s="1"/>
      <c r="W736" s="1"/>
      <c r="Z736" s="1"/>
      <c r="AC736" s="3"/>
    </row>
    <row r="737" ht="15.75" customHeight="1">
      <c r="E737" s="1"/>
      <c r="H737" s="1"/>
      <c r="K737" s="1"/>
      <c r="N737" s="1"/>
      <c r="Q737" s="1"/>
      <c r="T737" s="1"/>
      <c r="W737" s="1"/>
      <c r="Z737" s="1"/>
      <c r="AC737" s="3"/>
    </row>
    <row r="738" ht="15.75" customHeight="1">
      <c r="E738" s="1"/>
      <c r="H738" s="1"/>
      <c r="K738" s="1"/>
      <c r="N738" s="1"/>
      <c r="Q738" s="1"/>
      <c r="T738" s="1"/>
      <c r="W738" s="1"/>
      <c r="Z738" s="1"/>
      <c r="AC738" s="3"/>
    </row>
    <row r="739" ht="15.75" customHeight="1">
      <c r="E739" s="1"/>
      <c r="H739" s="1"/>
      <c r="K739" s="1"/>
      <c r="N739" s="1"/>
      <c r="Q739" s="1"/>
      <c r="T739" s="1"/>
      <c r="W739" s="1"/>
      <c r="Z739" s="1"/>
      <c r="AC739" s="3"/>
    </row>
    <row r="740" ht="15.75" customHeight="1">
      <c r="E740" s="1"/>
      <c r="H740" s="1"/>
      <c r="K740" s="1"/>
      <c r="N740" s="1"/>
      <c r="Q740" s="1"/>
      <c r="T740" s="1"/>
      <c r="W740" s="1"/>
      <c r="Z740" s="1"/>
      <c r="AC740" s="3"/>
    </row>
    <row r="741" ht="15.75" customHeight="1">
      <c r="E741" s="1"/>
      <c r="H741" s="1"/>
      <c r="K741" s="1"/>
      <c r="N741" s="1"/>
      <c r="Q741" s="1"/>
      <c r="T741" s="1"/>
      <c r="W741" s="1"/>
      <c r="Z741" s="1"/>
      <c r="AC741" s="3"/>
    </row>
    <row r="742" ht="15.75" customHeight="1">
      <c r="E742" s="1"/>
      <c r="H742" s="1"/>
      <c r="K742" s="1"/>
      <c r="N742" s="1"/>
      <c r="Q742" s="1"/>
      <c r="T742" s="1"/>
      <c r="W742" s="1"/>
      <c r="Z742" s="1"/>
      <c r="AC742" s="3"/>
    </row>
    <row r="743" ht="15.75" customHeight="1">
      <c r="E743" s="1"/>
      <c r="H743" s="1"/>
      <c r="K743" s="1"/>
      <c r="N743" s="1"/>
      <c r="Q743" s="1"/>
      <c r="T743" s="1"/>
      <c r="W743" s="1"/>
      <c r="Z743" s="1"/>
      <c r="AC743" s="3"/>
    </row>
    <row r="744" ht="15.75" customHeight="1">
      <c r="E744" s="1"/>
      <c r="H744" s="1"/>
      <c r="K744" s="1"/>
      <c r="N744" s="1"/>
      <c r="Q744" s="1"/>
      <c r="T744" s="1"/>
      <c r="W744" s="1"/>
      <c r="Z744" s="1"/>
      <c r="AC744" s="3"/>
    </row>
    <row r="745" ht="15.75" customHeight="1">
      <c r="E745" s="1"/>
      <c r="H745" s="1"/>
      <c r="K745" s="1"/>
      <c r="N745" s="1"/>
      <c r="Q745" s="1"/>
      <c r="T745" s="1"/>
      <c r="W745" s="1"/>
      <c r="Z745" s="1"/>
      <c r="AC745" s="3"/>
    </row>
    <row r="746" ht="15.75" customHeight="1">
      <c r="E746" s="1"/>
      <c r="H746" s="1"/>
      <c r="K746" s="1"/>
      <c r="N746" s="1"/>
      <c r="Q746" s="1"/>
      <c r="T746" s="1"/>
      <c r="W746" s="1"/>
      <c r="Z746" s="1"/>
      <c r="AC746" s="3"/>
    </row>
    <row r="747" ht="15.75" customHeight="1">
      <c r="E747" s="1"/>
      <c r="H747" s="1"/>
      <c r="K747" s="1"/>
      <c r="N747" s="1"/>
      <c r="Q747" s="1"/>
      <c r="T747" s="1"/>
      <c r="W747" s="1"/>
      <c r="Z747" s="1"/>
      <c r="AC747" s="3"/>
    </row>
    <row r="748" ht="15.75" customHeight="1">
      <c r="E748" s="1"/>
      <c r="H748" s="1"/>
      <c r="K748" s="1"/>
      <c r="N748" s="1"/>
      <c r="Q748" s="1"/>
      <c r="T748" s="1"/>
      <c r="W748" s="1"/>
      <c r="Z748" s="1"/>
      <c r="AC748" s="3"/>
    </row>
    <row r="749" ht="15.75" customHeight="1">
      <c r="E749" s="1"/>
      <c r="H749" s="1"/>
      <c r="K749" s="1"/>
      <c r="N749" s="1"/>
      <c r="Q749" s="1"/>
      <c r="T749" s="1"/>
      <c r="W749" s="1"/>
      <c r="Z749" s="1"/>
      <c r="AC749" s="3"/>
    </row>
    <row r="750" ht="15.75" customHeight="1">
      <c r="E750" s="1"/>
      <c r="H750" s="1"/>
      <c r="K750" s="1"/>
      <c r="N750" s="1"/>
      <c r="Q750" s="1"/>
      <c r="T750" s="1"/>
      <c r="W750" s="1"/>
      <c r="Z750" s="1"/>
      <c r="AC750" s="3"/>
    </row>
    <row r="751" ht="15.75" customHeight="1">
      <c r="E751" s="1"/>
      <c r="H751" s="1"/>
      <c r="K751" s="1"/>
      <c r="N751" s="1"/>
      <c r="Q751" s="1"/>
      <c r="T751" s="1"/>
      <c r="W751" s="1"/>
      <c r="Z751" s="1"/>
      <c r="AC751" s="3"/>
    </row>
    <row r="752" ht="15.75" customHeight="1">
      <c r="E752" s="1"/>
      <c r="H752" s="1"/>
      <c r="K752" s="1"/>
      <c r="N752" s="1"/>
      <c r="Q752" s="1"/>
      <c r="T752" s="1"/>
      <c r="W752" s="1"/>
      <c r="Z752" s="1"/>
      <c r="AC752" s="3"/>
    </row>
    <row r="753" ht="15.75" customHeight="1">
      <c r="E753" s="1"/>
      <c r="H753" s="1"/>
      <c r="K753" s="1"/>
      <c r="N753" s="1"/>
      <c r="Q753" s="1"/>
      <c r="T753" s="1"/>
      <c r="W753" s="1"/>
      <c r="Z753" s="1"/>
      <c r="AC753" s="3"/>
    </row>
    <row r="754" ht="15.75" customHeight="1">
      <c r="E754" s="1"/>
      <c r="H754" s="1"/>
      <c r="K754" s="1"/>
      <c r="N754" s="1"/>
      <c r="Q754" s="1"/>
      <c r="T754" s="1"/>
      <c r="W754" s="1"/>
      <c r="Z754" s="1"/>
      <c r="AC754" s="3"/>
    </row>
    <row r="755" ht="15.75" customHeight="1">
      <c r="E755" s="1"/>
      <c r="H755" s="1"/>
      <c r="K755" s="1"/>
      <c r="N755" s="1"/>
      <c r="Q755" s="1"/>
      <c r="T755" s="1"/>
      <c r="W755" s="1"/>
      <c r="Z755" s="1"/>
      <c r="AC755" s="3"/>
    </row>
    <row r="756" ht="15.75" customHeight="1">
      <c r="E756" s="1"/>
      <c r="H756" s="1"/>
      <c r="K756" s="1"/>
      <c r="N756" s="1"/>
      <c r="Q756" s="1"/>
      <c r="T756" s="1"/>
      <c r="W756" s="1"/>
      <c r="Z756" s="1"/>
      <c r="AC756" s="3"/>
    </row>
    <row r="757" ht="15.75" customHeight="1">
      <c r="E757" s="1"/>
      <c r="H757" s="1"/>
      <c r="K757" s="1"/>
      <c r="N757" s="1"/>
      <c r="Q757" s="1"/>
      <c r="T757" s="1"/>
      <c r="W757" s="1"/>
      <c r="Z757" s="1"/>
      <c r="AC757" s="3"/>
    </row>
    <row r="758" ht="15.75" customHeight="1">
      <c r="E758" s="1"/>
      <c r="H758" s="1"/>
      <c r="K758" s="1"/>
      <c r="N758" s="1"/>
      <c r="Q758" s="1"/>
      <c r="T758" s="1"/>
      <c r="W758" s="1"/>
      <c r="Z758" s="1"/>
      <c r="AC758" s="3"/>
    </row>
    <row r="759" ht="15.75" customHeight="1">
      <c r="E759" s="1"/>
      <c r="H759" s="1"/>
      <c r="K759" s="1"/>
      <c r="N759" s="1"/>
      <c r="Q759" s="1"/>
      <c r="T759" s="1"/>
      <c r="W759" s="1"/>
      <c r="Z759" s="1"/>
      <c r="AC759" s="3"/>
    </row>
    <row r="760" ht="15.75" customHeight="1">
      <c r="E760" s="1"/>
      <c r="H760" s="1"/>
      <c r="K760" s="1"/>
      <c r="N760" s="1"/>
      <c r="Q760" s="1"/>
      <c r="T760" s="1"/>
      <c r="W760" s="1"/>
      <c r="Z760" s="1"/>
      <c r="AC760" s="3"/>
    </row>
    <row r="761" ht="15.75" customHeight="1">
      <c r="E761" s="1"/>
      <c r="H761" s="1"/>
      <c r="K761" s="1"/>
      <c r="N761" s="1"/>
      <c r="Q761" s="1"/>
      <c r="T761" s="1"/>
      <c r="W761" s="1"/>
      <c r="Z761" s="1"/>
      <c r="AC761" s="3"/>
    </row>
    <row r="762" ht="15.75" customHeight="1">
      <c r="E762" s="1"/>
      <c r="H762" s="1"/>
      <c r="K762" s="1"/>
      <c r="N762" s="1"/>
      <c r="Q762" s="1"/>
      <c r="T762" s="1"/>
      <c r="W762" s="1"/>
      <c r="Z762" s="1"/>
      <c r="AC762" s="3"/>
    </row>
    <row r="763" ht="15.75" customHeight="1">
      <c r="E763" s="1"/>
      <c r="H763" s="1"/>
      <c r="K763" s="1"/>
      <c r="N763" s="1"/>
      <c r="Q763" s="1"/>
      <c r="T763" s="1"/>
      <c r="W763" s="1"/>
      <c r="Z763" s="1"/>
      <c r="AC763" s="3"/>
    </row>
    <row r="764" ht="15.75" customHeight="1">
      <c r="E764" s="1"/>
      <c r="H764" s="1"/>
      <c r="K764" s="1"/>
      <c r="N764" s="1"/>
      <c r="Q764" s="1"/>
      <c r="T764" s="1"/>
      <c r="W764" s="1"/>
      <c r="Z764" s="1"/>
      <c r="AC764" s="3"/>
    </row>
    <row r="765" ht="15.75" customHeight="1">
      <c r="E765" s="1"/>
      <c r="H765" s="1"/>
      <c r="K765" s="1"/>
      <c r="N765" s="1"/>
      <c r="Q765" s="1"/>
      <c r="T765" s="1"/>
      <c r="W765" s="1"/>
      <c r="Z765" s="1"/>
      <c r="AC765" s="3"/>
    </row>
    <row r="766" ht="15.75" customHeight="1">
      <c r="E766" s="1"/>
      <c r="H766" s="1"/>
      <c r="K766" s="1"/>
      <c r="N766" s="1"/>
      <c r="Q766" s="1"/>
      <c r="T766" s="1"/>
      <c r="W766" s="1"/>
      <c r="Z766" s="1"/>
      <c r="AC766" s="3"/>
    </row>
    <row r="767" ht="15.75" customHeight="1">
      <c r="E767" s="1"/>
      <c r="H767" s="1"/>
      <c r="K767" s="1"/>
      <c r="N767" s="1"/>
      <c r="Q767" s="1"/>
      <c r="T767" s="1"/>
      <c r="W767" s="1"/>
      <c r="Z767" s="1"/>
      <c r="AC767" s="3"/>
    </row>
    <row r="768" ht="15.75" customHeight="1">
      <c r="E768" s="1"/>
      <c r="H768" s="1"/>
      <c r="K768" s="1"/>
      <c r="N768" s="1"/>
      <c r="Q768" s="1"/>
      <c r="T768" s="1"/>
      <c r="W768" s="1"/>
      <c r="Z768" s="1"/>
      <c r="AC768" s="3"/>
    </row>
    <row r="769" ht="15.75" customHeight="1">
      <c r="E769" s="1"/>
      <c r="H769" s="1"/>
      <c r="K769" s="1"/>
      <c r="N769" s="1"/>
      <c r="Q769" s="1"/>
      <c r="T769" s="1"/>
      <c r="W769" s="1"/>
      <c r="Z769" s="1"/>
      <c r="AC769" s="3"/>
    </row>
    <row r="770" ht="15.75" customHeight="1">
      <c r="E770" s="1"/>
      <c r="H770" s="1"/>
      <c r="K770" s="1"/>
      <c r="N770" s="1"/>
      <c r="Q770" s="1"/>
      <c r="T770" s="1"/>
      <c r="W770" s="1"/>
      <c r="Z770" s="1"/>
      <c r="AC770" s="3"/>
    </row>
    <row r="771" ht="15.75" customHeight="1">
      <c r="E771" s="1"/>
      <c r="H771" s="1"/>
      <c r="K771" s="1"/>
      <c r="N771" s="1"/>
      <c r="Q771" s="1"/>
      <c r="T771" s="1"/>
      <c r="W771" s="1"/>
      <c r="Z771" s="1"/>
      <c r="AC771" s="3"/>
    </row>
    <row r="772" ht="15.75" customHeight="1">
      <c r="E772" s="1"/>
      <c r="H772" s="1"/>
      <c r="K772" s="1"/>
      <c r="N772" s="1"/>
      <c r="Q772" s="1"/>
      <c r="T772" s="1"/>
      <c r="W772" s="1"/>
      <c r="Z772" s="1"/>
      <c r="AC772" s="3"/>
    </row>
    <row r="773" ht="15.75" customHeight="1">
      <c r="E773" s="1"/>
      <c r="H773" s="1"/>
      <c r="K773" s="1"/>
      <c r="N773" s="1"/>
      <c r="Q773" s="1"/>
      <c r="T773" s="1"/>
      <c r="W773" s="1"/>
      <c r="Z773" s="1"/>
      <c r="AC773" s="3"/>
    </row>
    <row r="774" ht="15.75" customHeight="1">
      <c r="E774" s="1"/>
      <c r="H774" s="1"/>
      <c r="K774" s="1"/>
      <c r="N774" s="1"/>
      <c r="Q774" s="1"/>
      <c r="T774" s="1"/>
      <c r="W774" s="1"/>
      <c r="Z774" s="1"/>
      <c r="AC774" s="3"/>
    </row>
    <row r="775" ht="15.75" customHeight="1">
      <c r="E775" s="1"/>
      <c r="H775" s="1"/>
      <c r="K775" s="1"/>
      <c r="N775" s="1"/>
      <c r="Q775" s="1"/>
      <c r="T775" s="1"/>
      <c r="W775" s="1"/>
      <c r="Z775" s="1"/>
      <c r="AC775" s="3"/>
    </row>
    <row r="776" ht="15.75" customHeight="1">
      <c r="E776" s="1"/>
      <c r="H776" s="1"/>
      <c r="K776" s="1"/>
      <c r="N776" s="1"/>
      <c r="Q776" s="1"/>
      <c r="T776" s="1"/>
      <c r="W776" s="1"/>
      <c r="Z776" s="1"/>
      <c r="AC776" s="3"/>
    </row>
    <row r="777" ht="15.75" customHeight="1">
      <c r="E777" s="1"/>
      <c r="H777" s="1"/>
      <c r="K777" s="1"/>
      <c r="N777" s="1"/>
      <c r="Q777" s="1"/>
      <c r="T777" s="1"/>
      <c r="W777" s="1"/>
      <c r="Z777" s="1"/>
      <c r="AC777" s="3"/>
    </row>
    <row r="778" ht="15.75" customHeight="1">
      <c r="E778" s="1"/>
      <c r="H778" s="1"/>
      <c r="K778" s="1"/>
      <c r="N778" s="1"/>
      <c r="Q778" s="1"/>
      <c r="T778" s="1"/>
      <c r="W778" s="1"/>
      <c r="Z778" s="1"/>
      <c r="AC778" s="3"/>
    </row>
    <row r="779" ht="15.75" customHeight="1">
      <c r="E779" s="1"/>
      <c r="H779" s="1"/>
      <c r="K779" s="1"/>
      <c r="N779" s="1"/>
      <c r="Q779" s="1"/>
      <c r="T779" s="1"/>
      <c r="W779" s="1"/>
      <c r="Z779" s="1"/>
      <c r="AC779" s="3"/>
    </row>
    <row r="780" ht="15.75" customHeight="1">
      <c r="E780" s="1"/>
      <c r="H780" s="1"/>
      <c r="K780" s="1"/>
      <c r="N780" s="1"/>
      <c r="Q780" s="1"/>
      <c r="T780" s="1"/>
      <c r="W780" s="1"/>
      <c r="Z780" s="1"/>
      <c r="AC780" s="3"/>
    </row>
    <row r="781" ht="15.75" customHeight="1">
      <c r="E781" s="1"/>
      <c r="H781" s="1"/>
      <c r="K781" s="1"/>
      <c r="N781" s="1"/>
      <c r="Q781" s="1"/>
      <c r="T781" s="1"/>
      <c r="W781" s="1"/>
      <c r="Z781" s="1"/>
      <c r="AC781" s="3"/>
    </row>
    <row r="782" ht="15.75" customHeight="1">
      <c r="E782" s="1"/>
      <c r="H782" s="1"/>
      <c r="K782" s="1"/>
      <c r="N782" s="1"/>
      <c r="Q782" s="1"/>
      <c r="T782" s="1"/>
      <c r="W782" s="1"/>
      <c r="Z782" s="1"/>
      <c r="AC782" s="3"/>
    </row>
    <row r="783" ht="15.75" customHeight="1">
      <c r="E783" s="1"/>
      <c r="H783" s="1"/>
      <c r="K783" s="1"/>
      <c r="N783" s="1"/>
      <c r="Q783" s="1"/>
      <c r="T783" s="1"/>
      <c r="W783" s="1"/>
      <c r="Z783" s="1"/>
      <c r="AC783" s="3"/>
    </row>
    <row r="784" ht="15.75" customHeight="1">
      <c r="E784" s="1"/>
      <c r="H784" s="1"/>
      <c r="K784" s="1"/>
      <c r="N784" s="1"/>
      <c r="Q784" s="1"/>
      <c r="T784" s="1"/>
      <c r="W784" s="1"/>
      <c r="Z784" s="1"/>
      <c r="AC784" s="3"/>
    </row>
    <row r="785" ht="15.75" customHeight="1">
      <c r="E785" s="1"/>
      <c r="H785" s="1"/>
      <c r="K785" s="1"/>
      <c r="N785" s="1"/>
      <c r="Q785" s="1"/>
      <c r="T785" s="1"/>
      <c r="W785" s="1"/>
      <c r="Z785" s="1"/>
      <c r="AC785" s="3"/>
    </row>
    <row r="786" ht="15.75" customHeight="1">
      <c r="E786" s="1"/>
      <c r="H786" s="1"/>
      <c r="K786" s="1"/>
      <c r="N786" s="1"/>
      <c r="Q786" s="1"/>
      <c r="T786" s="1"/>
      <c r="W786" s="1"/>
      <c r="Z786" s="1"/>
      <c r="AC786" s="3"/>
    </row>
    <row r="787" ht="15.75" customHeight="1">
      <c r="E787" s="1"/>
      <c r="H787" s="1"/>
      <c r="K787" s="1"/>
      <c r="N787" s="1"/>
      <c r="Q787" s="1"/>
      <c r="T787" s="1"/>
      <c r="W787" s="1"/>
      <c r="Z787" s="1"/>
      <c r="AC787" s="3"/>
    </row>
    <row r="788" ht="15.75" customHeight="1">
      <c r="E788" s="1"/>
      <c r="H788" s="1"/>
      <c r="K788" s="1"/>
      <c r="N788" s="1"/>
      <c r="Q788" s="1"/>
      <c r="T788" s="1"/>
      <c r="W788" s="1"/>
      <c r="Z788" s="1"/>
      <c r="AC788" s="3"/>
    </row>
    <row r="789" ht="15.75" customHeight="1">
      <c r="E789" s="1"/>
      <c r="H789" s="1"/>
      <c r="K789" s="1"/>
      <c r="N789" s="1"/>
      <c r="Q789" s="1"/>
      <c r="T789" s="1"/>
      <c r="W789" s="1"/>
      <c r="Z789" s="1"/>
      <c r="AC789" s="3"/>
    </row>
    <row r="790" ht="15.75" customHeight="1">
      <c r="E790" s="1"/>
      <c r="H790" s="1"/>
      <c r="K790" s="1"/>
      <c r="N790" s="1"/>
      <c r="Q790" s="1"/>
      <c r="T790" s="1"/>
      <c r="W790" s="1"/>
      <c r="Z790" s="1"/>
      <c r="AC790" s="3"/>
    </row>
    <row r="791" ht="15.75" customHeight="1">
      <c r="E791" s="1"/>
      <c r="H791" s="1"/>
      <c r="K791" s="1"/>
      <c r="N791" s="1"/>
      <c r="Q791" s="1"/>
      <c r="T791" s="1"/>
      <c r="W791" s="1"/>
      <c r="Z791" s="1"/>
      <c r="AC791" s="3"/>
    </row>
    <row r="792" ht="15.75" customHeight="1">
      <c r="E792" s="1"/>
      <c r="H792" s="1"/>
      <c r="K792" s="1"/>
      <c r="N792" s="1"/>
      <c r="Q792" s="1"/>
      <c r="T792" s="1"/>
      <c r="W792" s="1"/>
      <c r="Z792" s="1"/>
      <c r="AC792" s="3"/>
    </row>
    <row r="793" ht="15.75" customHeight="1">
      <c r="E793" s="1"/>
      <c r="H793" s="1"/>
      <c r="K793" s="1"/>
      <c r="N793" s="1"/>
      <c r="Q793" s="1"/>
      <c r="T793" s="1"/>
      <c r="W793" s="1"/>
      <c r="Z793" s="1"/>
      <c r="AC793" s="3"/>
    </row>
    <row r="794" ht="15.75" customHeight="1">
      <c r="E794" s="1"/>
      <c r="H794" s="1"/>
      <c r="K794" s="1"/>
      <c r="N794" s="1"/>
      <c r="Q794" s="1"/>
      <c r="T794" s="1"/>
      <c r="W794" s="1"/>
      <c r="Z794" s="1"/>
      <c r="AC794" s="3"/>
    </row>
    <row r="795" ht="15.75" customHeight="1">
      <c r="E795" s="1"/>
      <c r="H795" s="1"/>
      <c r="K795" s="1"/>
      <c r="N795" s="1"/>
      <c r="Q795" s="1"/>
      <c r="T795" s="1"/>
      <c r="W795" s="1"/>
      <c r="Z795" s="1"/>
      <c r="AC795" s="3"/>
    </row>
    <row r="796" ht="15.75" customHeight="1">
      <c r="E796" s="1"/>
      <c r="H796" s="1"/>
      <c r="K796" s="1"/>
      <c r="N796" s="1"/>
      <c r="Q796" s="1"/>
      <c r="T796" s="1"/>
      <c r="W796" s="1"/>
      <c r="Z796" s="1"/>
      <c r="AC796" s="3"/>
    </row>
    <row r="797" ht="15.75" customHeight="1">
      <c r="E797" s="1"/>
      <c r="H797" s="1"/>
      <c r="K797" s="1"/>
      <c r="N797" s="1"/>
      <c r="Q797" s="1"/>
      <c r="T797" s="1"/>
      <c r="W797" s="1"/>
      <c r="Z797" s="1"/>
      <c r="AC797" s="3"/>
    </row>
    <row r="798" ht="15.75" customHeight="1">
      <c r="E798" s="1"/>
      <c r="H798" s="1"/>
      <c r="K798" s="1"/>
      <c r="N798" s="1"/>
      <c r="Q798" s="1"/>
      <c r="T798" s="1"/>
      <c r="W798" s="1"/>
      <c r="Z798" s="1"/>
      <c r="AC798" s="3"/>
    </row>
    <row r="799" ht="15.75" customHeight="1">
      <c r="E799" s="1"/>
      <c r="H799" s="1"/>
      <c r="K799" s="1"/>
      <c r="N799" s="1"/>
      <c r="Q799" s="1"/>
      <c r="T799" s="1"/>
      <c r="W799" s="1"/>
      <c r="Z799" s="1"/>
      <c r="AC799" s="3"/>
    </row>
    <row r="800" ht="15.75" customHeight="1">
      <c r="E800" s="1"/>
      <c r="H800" s="1"/>
      <c r="K800" s="1"/>
      <c r="N800" s="1"/>
      <c r="Q800" s="1"/>
      <c r="T800" s="1"/>
      <c r="W800" s="1"/>
      <c r="Z800" s="1"/>
      <c r="AC800" s="3"/>
    </row>
    <row r="801" ht="15.75" customHeight="1">
      <c r="E801" s="1"/>
      <c r="H801" s="1"/>
      <c r="K801" s="1"/>
      <c r="N801" s="1"/>
      <c r="Q801" s="1"/>
      <c r="T801" s="1"/>
      <c r="W801" s="1"/>
      <c r="Z801" s="1"/>
      <c r="AC801" s="3"/>
    </row>
    <row r="802" ht="15.75" customHeight="1">
      <c r="E802" s="1"/>
      <c r="H802" s="1"/>
      <c r="K802" s="1"/>
      <c r="N802" s="1"/>
      <c r="Q802" s="1"/>
      <c r="T802" s="1"/>
      <c r="W802" s="1"/>
      <c r="Z802" s="1"/>
      <c r="AC802" s="3"/>
    </row>
    <row r="803" ht="15.75" customHeight="1">
      <c r="E803" s="1"/>
      <c r="H803" s="1"/>
      <c r="K803" s="1"/>
      <c r="N803" s="1"/>
      <c r="Q803" s="1"/>
      <c r="T803" s="1"/>
      <c r="W803" s="1"/>
      <c r="Z803" s="1"/>
      <c r="AC803" s="3"/>
    </row>
    <row r="804" ht="15.75" customHeight="1">
      <c r="E804" s="1"/>
      <c r="H804" s="1"/>
      <c r="K804" s="1"/>
      <c r="N804" s="1"/>
      <c r="Q804" s="1"/>
      <c r="T804" s="1"/>
      <c r="W804" s="1"/>
      <c r="Z804" s="1"/>
      <c r="AC804" s="3"/>
    </row>
    <row r="805" ht="15.75" customHeight="1">
      <c r="E805" s="1"/>
      <c r="H805" s="1"/>
      <c r="K805" s="1"/>
      <c r="N805" s="1"/>
      <c r="Q805" s="1"/>
      <c r="T805" s="1"/>
      <c r="W805" s="1"/>
      <c r="Z805" s="1"/>
      <c r="AC805" s="3"/>
    </row>
    <row r="806" ht="15.75" customHeight="1">
      <c r="E806" s="1"/>
      <c r="H806" s="1"/>
      <c r="K806" s="1"/>
      <c r="N806" s="1"/>
      <c r="Q806" s="1"/>
      <c r="T806" s="1"/>
      <c r="W806" s="1"/>
      <c r="Z806" s="1"/>
      <c r="AC806" s="3"/>
    </row>
    <row r="807" ht="15.75" customHeight="1">
      <c r="E807" s="1"/>
      <c r="H807" s="1"/>
      <c r="K807" s="1"/>
      <c r="N807" s="1"/>
      <c r="Q807" s="1"/>
      <c r="T807" s="1"/>
      <c r="W807" s="1"/>
      <c r="Z807" s="1"/>
      <c r="AC807" s="3"/>
    </row>
    <row r="808" ht="15.75" customHeight="1">
      <c r="E808" s="1"/>
      <c r="H808" s="1"/>
      <c r="K808" s="1"/>
      <c r="N808" s="1"/>
      <c r="Q808" s="1"/>
      <c r="T808" s="1"/>
      <c r="W808" s="1"/>
      <c r="Z808" s="1"/>
      <c r="AC808" s="3"/>
    </row>
    <row r="809" ht="15.75" customHeight="1">
      <c r="E809" s="1"/>
      <c r="H809" s="1"/>
      <c r="K809" s="1"/>
      <c r="N809" s="1"/>
      <c r="Q809" s="1"/>
      <c r="T809" s="1"/>
      <c r="W809" s="1"/>
      <c r="Z809" s="1"/>
      <c r="AC809" s="3"/>
    </row>
    <row r="810" ht="15.75" customHeight="1">
      <c r="E810" s="1"/>
      <c r="H810" s="1"/>
      <c r="K810" s="1"/>
      <c r="N810" s="1"/>
      <c r="Q810" s="1"/>
      <c r="T810" s="1"/>
      <c r="W810" s="1"/>
      <c r="Z810" s="1"/>
      <c r="AC810" s="3"/>
    </row>
    <row r="811" ht="15.75" customHeight="1">
      <c r="E811" s="1"/>
      <c r="H811" s="1"/>
      <c r="K811" s="1"/>
      <c r="N811" s="1"/>
      <c r="Q811" s="1"/>
      <c r="T811" s="1"/>
      <c r="W811" s="1"/>
      <c r="Z811" s="1"/>
      <c r="AC811" s="3"/>
    </row>
    <row r="812" ht="15.75" customHeight="1">
      <c r="E812" s="1"/>
      <c r="H812" s="1"/>
      <c r="K812" s="1"/>
      <c r="N812" s="1"/>
      <c r="Q812" s="1"/>
      <c r="T812" s="1"/>
      <c r="W812" s="1"/>
      <c r="Z812" s="1"/>
      <c r="AC812" s="3"/>
    </row>
    <row r="813" ht="15.75" customHeight="1">
      <c r="E813" s="1"/>
      <c r="H813" s="1"/>
      <c r="K813" s="1"/>
      <c r="N813" s="1"/>
      <c r="Q813" s="1"/>
      <c r="T813" s="1"/>
      <c r="W813" s="1"/>
      <c r="Z813" s="1"/>
      <c r="AC813" s="3"/>
    </row>
    <row r="814" ht="15.75" customHeight="1">
      <c r="E814" s="1"/>
      <c r="H814" s="1"/>
      <c r="K814" s="1"/>
      <c r="N814" s="1"/>
      <c r="Q814" s="1"/>
      <c r="T814" s="1"/>
      <c r="W814" s="1"/>
      <c r="Z814" s="1"/>
      <c r="AC814" s="3"/>
    </row>
    <row r="815" ht="15.75" customHeight="1">
      <c r="E815" s="1"/>
      <c r="H815" s="1"/>
      <c r="K815" s="1"/>
      <c r="N815" s="1"/>
      <c r="Q815" s="1"/>
      <c r="T815" s="1"/>
      <c r="W815" s="1"/>
      <c r="Z815" s="1"/>
      <c r="AC815" s="3"/>
    </row>
    <row r="816" ht="15.75" customHeight="1">
      <c r="E816" s="1"/>
      <c r="H816" s="1"/>
      <c r="K816" s="1"/>
      <c r="N816" s="1"/>
      <c r="Q816" s="1"/>
      <c r="T816" s="1"/>
      <c r="W816" s="1"/>
      <c r="Z816" s="1"/>
      <c r="AC816" s="3"/>
    </row>
    <row r="817" ht="15.75" customHeight="1">
      <c r="E817" s="1"/>
      <c r="H817" s="1"/>
      <c r="K817" s="1"/>
      <c r="N817" s="1"/>
      <c r="Q817" s="1"/>
      <c r="T817" s="1"/>
      <c r="W817" s="1"/>
      <c r="Z817" s="1"/>
      <c r="AC817" s="3"/>
    </row>
    <row r="818" ht="15.75" customHeight="1">
      <c r="E818" s="1"/>
      <c r="H818" s="1"/>
      <c r="K818" s="1"/>
      <c r="N818" s="1"/>
      <c r="Q818" s="1"/>
      <c r="T818" s="1"/>
      <c r="W818" s="1"/>
      <c r="Z818" s="1"/>
      <c r="AC818" s="3"/>
    </row>
    <row r="819" ht="15.75" customHeight="1">
      <c r="E819" s="1"/>
      <c r="H819" s="1"/>
      <c r="K819" s="1"/>
      <c r="N819" s="1"/>
      <c r="Q819" s="1"/>
      <c r="T819" s="1"/>
      <c r="W819" s="1"/>
      <c r="Z819" s="1"/>
      <c r="AC819" s="3"/>
    </row>
    <row r="820" ht="15.75" customHeight="1">
      <c r="E820" s="1"/>
      <c r="H820" s="1"/>
      <c r="K820" s="1"/>
      <c r="N820" s="1"/>
      <c r="Q820" s="1"/>
      <c r="T820" s="1"/>
      <c r="W820" s="1"/>
      <c r="Z820" s="1"/>
      <c r="AC820" s="3"/>
    </row>
    <row r="821" ht="15.75" customHeight="1">
      <c r="E821" s="1"/>
      <c r="H821" s="1"/>
      <c r="K821" s="1"/>
      <c r="N821" s="1"/>
      <c r="Q821" s="1"/>
      <c r="T821" s="1"/>
      <c r="W821" s="1"/>
      <c r="Z821" s="1"/>
      <c r="AC821" s="3"/>
    </row>
    <row r="822" ht="15.75" customHeight="1">
      <c r="E822" s="1"/>
      <c r="H822" s="1"/>
      <c r="K822" s="1"/>
      <c r="N822" s="1"/>
      <c r="Q822" s="1"/>
      <c r="T822" s="1"/>
      <c r="W822" s="1"/>
      <c r="Z822" s="1"/>
      <c r="AC822" s="3"/>
    </row>
    <row r="823" ht="15.75" customHeight="1">
      <c r="E823" s="1"/>
      <c r="H823" s="1"/>
      <c r="K823" s="1"/>
      <c r="N823" s="1"/>
      <c r="Q823" s="1"/>
      <c r="T823" s="1"/>
      <c r="W823" s="1"/>
      <c r="Z823" s="1"/>
      <c r="AC823" s="3"/>
    </row>
    <row r="824" ht="15.75" customHeight="1">
      <c r="E824" s="1"/>
      <c r="H824" s="1"/>
      <c r="K824" s="1"/>
      <c r="N824" s="1"/>
      <c r="Q824" s="1"/>
      <c r="T824" s="1"/>
      <c r="W824" s="1"/>
      <c r="Z824" s="1"/>
      <c r="AC824" s="3"/>
    </row>
    <row r="825" ht="15.75" customHeight="1">
      <c r="E825" s="1"/>
      <c r="H825" s="1"/>
      <c r="K825" s="1"/>
      <c r="N825" s="1"/>
      <c r="Q825" s="1"/>
      <c r="T825" s="1"/>
      <c r="W825" s="1"/>
      <c r="Z825" s="1"/>
      <c r="AC825" s="3"/>
    </row>
    <row r="826" ht="15.75" customHeight="1">
      <c r="E826" s="1"/>
      <c r="H826" s="1"/>
      <c r="K826" s="1"/>
      <c r="N826" s="1"/>
      <c r="Q826" s="1"/>
      <c r="T826" s="1"/>
      <c r="W826" s="1"/>
      <c r="Z826" s="1"/>
      <c r="AC826" s="3"/>
    </row>
    <row r="827" ht="15.75" customHeight="1">
      <c r="E827" s="1"/>
      <c r="H827" s="1"/>
      <c r="K827" s="1"/>
      <c r="N827" s="1"/>
      <c r="Q827" s="1"/>
      <c r="T827" s="1"/>
      <c r="W827" s="1"/>
      <c r="Z827" s="1"/>
      <c r="AC827" s="3"/>
    </row>
    <row r="828" ht="15.75" customHeight="1">
      <c r="E828" s="1"/>
      <c r="H828" s="1"/>
      <c r="K828" s="1"/>
      <c r="N828" s="1"/>
      <c r="Q828" s="1"/>
      <c r="T828" s="1"/>
      <c r="W828" s="1"/>
      <c r="Z828" s="1"/>
      <c r="AC828" s="3"/>
    </row>
    <row r="829" ht="15.75" customHeight="1">
      <c r="E829" s="1"/>
      <c r="H829" s="1"/>
      <c r="K829" s="1"/>
      <c r="N829" s="1"/>
      <c r="Q829" s="1"/>
      <c r="T829" s="1"/>
      <c r="W829" s="1"/>
      <c r="Z829" s="1"/>
      <c r="AC829" s="3"/>
    </row>
    <row r="830" ht="15.75" customHeight="1">
      <c r="E830" s="1"/>
      <c r="H830" s="1"/>
      <c r="K830" s="1"/>
      <c r="N830" s="1"/>
      <c r="Q830" s="1"/>
      <c r="T830" s="1"/>
      <c r="W830" s="1"/>
      <c r="Z830" s="1"/>
      <c r="AC830" s="3"/>
    </row>
    <row r="831" ht="15.75" customHeight="1">
      <c r="E831" s="1"/>
      <c r="H831" s="1"/>
      <c r="K831" s="1"/>
      <c r="N831" s="1"/>
      <c r="Q831" s="1"/>
      <c r="T831" s="1"/>
      <c r="W831" s="1"/>
      <c r="Z831" s="1"/>
      <c r="AC831" s="3"/>
    </row>
    <row r="832" ht="15.75" customHeight="1">
      <c r="E832" s="1"/>
      <c r="H832" s="1"/>
      <c r="K832" s="1"/>
      <c r="N832" s="1"/>
      <c r="Q832" s="1"/>
      <c r="T832" s="1"/>
      <c r="W832" s="1"/>
      <c r="Z832" s="1"/>
      <c r="AC832" s="3"/>
    </row>
    <row r="833" ht="15.75" customHeight="1">
      <c r="E833" s="1"/>
      <c r="H833" s="1"/>
      <c r="K833" s="1"/>
      <c r="N833" s="1"/>
      <c r="Q833" s="1"/>
      <c r="T833" s="1"/>
      <c r="W833" s="1"/>
      <c r="Z833" s="1"/>
      <c r="AC833" s="3"/>
    </row>
    <row r="834" ht="15.75" customHeight="1">
      <c r="E834" s="1"/>
      <c r="H834" s="1"/>
      <c r="K834" s="1"/>
      <c r="N834" s="1"/>
      <c r="Q834" s="1"/>
      <c r="T834" s="1"/>
      <c r="W834" s="1"/>
      <c r="Z834" s="1"/>
      <c r="AC834" s="3"/>
    </row>
    <row r="835" ht="15.75" customHeight="1">
      <c r="E835" s="1"/>
      <c r="H835" s="1"/>
      <c r="K835" s="1"/>
      <c r="N835" s="1"/>
      <c r="Q835" s="1"/>
      <c r="T835" s="1"/>
      <c r="W835" s="1"/>
      <c r="Z835" s="1"/>
      <c r="AC835" s="3"/>
    </row>
    <row r="836" ht="15.75" customHeight="1">
      <c r="E836" s="1"/>
      <c r="H836" s="1"/>
      <c r="K836" s="1"/>
      <c r="N836" s="1"/>
      <c r="Q836" s="1"/>
      <c r="T836" s="1"/>
      <c r="W836" s="1"/>
      <c r="Z836" s="1"/>
      <c r="AC836" s="3"/>
    </row>
    <row r="837" ht="15.75" customHeight="1">
      <c r="E837" s="1"/>
      <c r="H837" s="1"/>
      <c r="K837" s="1"/>
      <c r="N837" s="1"/>
      <c r="Q837" s="1"/>
      <c r="T837" s="1"/>
      <c r="W837" s="1"/>
      <c r="Z837" s="1"/>
      <c r="AC837" s="3"/>
    </row>
    <row r="838" ht="15.75" customHeight="1">
      <c r="E838" s="1"/>
      <c r="H838" s="1"/>
      <c r="K838" s="1"/>
      <c r="N838" s="1"/>
      <c r="Q838" s="1"/>
      <c r="T838" s="1"/>
      <c r="W838" s="1"/>
      <c r="Z838" s="1"/>
      <c r="AC838" s="3"/>
    </row>
    <row r="839" ht="15.75" customHeight="1">
      <c r="E839" s="1"/>
      <c r="H839" s="1"/>
      <c r="K839" s="1"/>
      <c r="N839" s="1"/>
      <c r="Q839" s="1"/>
      <c r="T839" s="1"/>
      <c r="W839" s="1"/>
      <c r="Z839" s="1"/>
      <c r="AC839" s="3"/>
    </row>
    <row r="840" ht="15.75" customHeight="1">
      <c r="E840" s="1"/>
      <c r="H840" s="1"/>
      <c r="K840" s="1"/>
      <c r="N840" s="1"/>
      <c r="Q840" s="1"/>
      <c r="T840" s="1"/>
      <c r="W840" s="1"/>
      <c r="Z840" s="1"/>
      <c r="AC840" s="3"/>
    </row>
    <row r="841" ht="15.75" customHeight="1">
      <c r="E841" s="1"/>
      <c r="H841" s="1"/>
      <c r="K841" s="1"/>
      <c r="N841" s="1"/>
      <c r="Q841" s="1"/>
      <c r="T841" s="1"/>
      <c r="W841" s="1"/>
      <c r="Z841" s="1"/>
      <c r="AC841" s="3"/>
    </row>
    <row r="842" ht="15.75" customHeight="1">
      <c r="E842" s="1"/>
      <c r="H842" s="1"/>
      <c r="K842" s="1"/>
      <c r="N842" s="1"/>
      <c r="Q842" s="1"/>
      <c r="T842" s="1"/>
      <c r="W842" s="1"/>
      <c r="Z842" s="1"/>
      <c r="AC842" s="3"/>
    </row>
    <row r="843" ht="15.75" customHeight="1">
      <c r="E843" s="1"/>
      <c r="H843" s="1"/>
      <c r="K843" s="1"/>
      <c r="N843" s="1"/>
      <c r="Q843" s="1"/>
      <c r="T843" s="1"/>
      <c r="W843" s="1"/>
      <c r="Z843" s="1"/>
      <c r="AC843" s="3"/>
    </row>
    <row r="844" ht="15.75" customHeight="1">
      <c r="E844" s="1"/>
      <c r="H844" s="1"/>
      <c r="K844" s="1"/>
      <c r="N844" s="1"/>
      <c r="Q844" s="1"/>
      <c r="T844" s="1"/>
      <c r="W844" s="1"/>
      <c r="Z844" s="1"/>
      <c r="AC844" s="3"/>
    </row>
    <row r="845" ht="15.75" customHeight="1">
      <c r="E845" s="1"/>
      <c r="H845" s="1"/>
      <c r="K845" s="1"/>
      <c r="N845" s="1"/>
      <c r="Q845" s="1"/>
      <c r="T845" s="1"/>
      <c r="W845" s="1"/>
      <c r="Z845" s="1"/>
      <c r="AC845" s="3"/>
    </row>
    <row r="846" ht="15.75" customHeight="1">
      <c r="E846" s="1"/>
      <c r="H846" s="1"/>
      <c r="K846" s="1"/>
      <c r="N846" s="1"/>
      <c r="Q846" s="1"/>
      <c r="T846" s="1"/>
      <c r="W846" s="1"/>
      <c r="Z846" s="1"/>
      <c r="AC846" s="3"/>
    </row>
    <row r="847" ht="15.75" customHeight="1">
      <c r="E847" s="1"/>
      <c r="H847" s="1"/>
      <c r="K847" s="1"/>
      <c r="N847" s="1"/>
      <c r="Q847" s="1"/>
      <c r="T847" s="1"/>
      <c r="W847" s="1"/>
      <c r="Z847" s="1"/>
      <c r="AC847" s="3"/>
    </row>
    <row r="848" ht="15.75" customHeight="1">
      <c r="E848" s="1"/>
      <c r="H848" s="1"/>
      <c r="K848" s="1"/>
      <c r="N848" s="1"/>
      <c r="Q848" s="1"/>
      <c r="T848" s="1"/>
      <c r="W848" s="1"/>
      <c r="Z848" s="1"/>
      <c r="AC848" s="3"/>
    </row>
    <row r="849" ht="15.75" customHeight="1">
      <c r="E849" s="1"/>
      <c r="H849" s="1"/>
      <c r="K849" s="1"/>
      <c r="N849" s="1"/>
      <c r="Q849" s="1"/>
      <c r="T849" s="1"/>
      <c r="W849" s="1"/>
      <c r="Z849" s="1"/>
      <c r="AC849" s="3"/>
    </row>
    <row r="850" ht="15.75" customHeight="1">
      <c r="E850" s="1"/>
      <c r="H850" s="1"/>
      <c r="K850" s="1"/>
      <c r="N850" s="1"/>
      <c r="Q850" s="1"/>
      <c r="T850" s="1"/>
      <c r="W850" s="1"/>
      <c r="Z850" s="1"/>
      <c r="AC850" s="3"/>
    </row>
    <row r="851" ht="15.75" customHeight="1">
      <c r="E851" s="1"/>
      <c r="H851" s="1"/>
      <c r="K851" s="1"/>
      <c r="N851" s="1"/>
      <c r="Q851" s="1"/>
      <c r="T851" s="1"/>
      <c r="W851" s="1"/>
      <c r="Z851" s="1"/>
      <c r="AC851" s="3"/>
    </row>
    <row r="852" ht="15.75" customHeight="1">
      <c r="E852" s="1"/>
      <c r="H852" s="1"/>
      <c r="K852" s="1"/>
      <c r="N852" s="1"/>
      <c r="Q852" s="1"/>
      <c r="T852" s="1"/>
      <c r="W852" s="1"/>
      <c r="Z852" s="1"/>
      <c r="AC852" s="3"/>
    </row>
    <row r="853" ht="15.75" customHeight="1">
      <c r="E853" s="1"/>
      <c r="H853" s="1"/>
      <c r="K853" s="1"/>
      <c r="N853" s="1"/>
      <c r="Q853" s="1"/>
      <c r="T853" s="1"/>
      <c r="W853" s="1"/>
      <c r="Z853" s="1"/>
      <c r="AC853" s="3"/>
    </row>
    <row r="854" ht="15.75" customHeight="1">
      <c r="E854" s="1"/>
      <c r="H854" s="1"/>
      <c r="K854" s="1"/>
      <c r="N854" s="1"/>
      <c r="Q854" s="1"/>
      <c r="T854" s="1"/>
      <c r="W854" s="1"/>
      <c r="Z854" s="1"/>
      <c r="AC854" s="3"/>
    </row>
    <row r="855" ht="15.75" customHeight="1">
      <c r="E855" s="1"/>
      <c r="H855" s="1"/>
      <c r="K855" s="1"/>
      <c r="N855" s="1"/>
      <c r="Q855" s="1"/>
      <c r="T855" s="1"/>
      <c r="W855" s="1"/>
      <c r="Z855" s="1"/>
      <c r="AC855" s="3"/>
    </row>
    <row r="856" ht="15.75" customHeight="1">
      <c r="E856" s="1"/>
      <c r="H856" s="1"/>
      <c r="K856" s="1"/>
      <c r="N856" s="1"/>
      <c r="Q856" s="1"/>
      <c r="T856" s="1"/>
      <c r="W856" s="1"/>
      <c r="Z856" s="1"/>
      <c r="AC856" s="3"/>
    </row>
    <row r="857" ht="15.75" customHeight="1">
      <c r="E857" s="1"/>
      <c r="H857" s="1"/>
      <c r="K857" s="1"/>
      <c r="N857" s="1"/>
      <c r="Q857" s="1"/>
      <c r="T857" s="1"/>
      <c r="W857" s="1"/>
      <c r="Z857" s="1"/>
      <c r="AC857" s="3"/>
    </row>
    <row r="858" ht="15.75" customHeight="1">
      <c r="E858" s="1"/>
      <c r="H858" s="1"/>
      <c r="K858" s="1"/>
      <c r="N858" s="1"/>
      <c r="Q858" s="1"/>
      <c r="T858" s="1"/>
      <c r="W858" s="1"/>
      <c r="Z858" s="1"/>
      <c r="AC858" s="3"/>
    </row>
    <row r="859" ht="15.75" customHeight="1">
      <c r="E859" s="1"/>
      <c r="H859" s="1"/>
      <c r="K859" s="1"/>
      <c r="N859" s="1"/>
      <c r="Q859" s="1"/>
      <c r="T859" s="1"/>
      <c r="W859" s="1"/>
      <c r="Z859" s="1"/>
      <c r="AC859" s="3"/>
    </row>
    <row r="860" ht="15.75" customHeight="1">
      <c r="E860" s="1"/>
      <c r="H860" s="1"/>
      <c r="K860" s="1"/>
      <c r="N860" s="1"/>
      <c r="Q860" s="1"/>
      <c r="T860" s="1"/>
      <c r="W860" s="1"/>
      <c r="Z860" s="1"/>
      <c r="AC860" s="3"/>
    </row>
    <row r="861" ht="15.75" customHeight="1">
      <c r="E861" s="1"/>
      <c r="H861" s="1"/>
      <c r="K861" s="1"/>
      <c r="N861" s="1"/>
      <c r="Q861" s="1"/>
      <c r="T861" s="1"/>
      <c r="W861" s="1"/>
      <c r="Z861" s="1"/>
      <c r="AC861" s="3"/>
    </row>
    <row r="862" ht="15.75" customHeight="1">
      <c r="E862" s="1"/>
      <c r="H862" s="1"/>
      <c r="K862" s="1"/>
      <c r="N862" s="1"/>
      <c r="Q862" s="1"/>
      <c r="T862" s="1"/>
      <c r="W862" s="1"/>
      <c r="Z862" s="1"/>
      <c r="AC862" s="3"/>
    </row>
    <row r="863" ht="15.75" customHeight="1">
      <c r="E863" s="1"/>
      <c r="H863" s="1"/>
      <c r="K863" s="1"/>
      <c r="N863" s="1"/>
      <c r="Q863" s="1"/>
      <c r="T863" s="1"/>
      <c r="W863" s="1"/>
      <c r="Z863" s="1"/>
      <c r="AC863" s="3"/>
    </row>
    <row r="864" ht="15.75" customHeight="1">
      <c r="E864" s="1"/>
      <c r="H864" s="1"/>
      <c r="K864" s="1"/>
      <c r="N864" s="1"/>
      <c r="Q864" s="1"/>
      <c r="T864" s="1"/>
      <c r="W864" s="1"/>
      <c r="Z864" s="1"/>
      <c r="AC864" s="3"/>
    </row>
    <row r="865" ht="15.75" customHeight="1">
      <c r="E865" s="1"/>
      <c r="H865" s="1"/>
      <c r="K865" s="1"/>
      <c r="N865" s="1"/>
      <c r="Q865" s="1"/>
      <c r="T865" s="1"/>
      <c r="W865" s="1"/>
      <c r="Z865" s="1"/>
      <c r="AC865" s="3"/>
    </row>
    <row r="866" ht="15.75" customHeight="1">
      <c r="E866" s="1"/>
      <c r="H866" s="1"/>
      <c r="K866" s="1"/>
      <c r="N866" s="1"/>
      <c r="Q866" s="1"/>
      <c r="T866" s="1"/>
      <c r="W866" s="1"/>
      <c r="Z866" s="1"/>
      <c r="AC866" s="3"/>
    </row>
    <row r="867" ht="15.75" customHeight="1">
      <c r="E867" s="1"/>
      <c r="H867" s="1"/>
      <c r="K867" s="1"/>
      <c r="N867" s="1"/>
      <c r="Q867" s="1"/>
      <c r="T867" s="1"/>
      <c r="W867" s="1"/>
      <c r="Z867" s="1"/>
      <c r="AC867" s="3"/>
    </row>
    <row r="868" ht="15.75" customHeight="1">
      <c r="E868" s="1"/>
      <c r="H868" s="1"/>
      <c r="K868" s="1"/>
      <c r="N868" s="1"/>
      <c r="Q868" s="1"/>
      <c r="T868" s="1"/>
      <c r="W868" s="1"/>
      <c r="Z868" s="1"/>
      <c r="AC868" s="3"/>
    </row>
    <row r="869" ht="15.75" customHeight="1">
      <c r="E869" s="1"/>
      <c r="H869" s="1"/>
      <c r="K869" s="1"/>
      <c r="N869" s="1"/>
      <c r="Q869" s="1"/>
      <c r="T869" s="1"/>
      <c r="W869" s="1"/>
      <c r="Z869" s="1"/>
      <c r="AC869" s="3"/>
    </row>
    <row r="870" ht="15.75" customHeight="1">
      <c r="E870" s="1"/>
      <c r="H870" s="1"/>
      <c r="K870" s="1"/>
      <c r="N870" s="1"/>
      <c r="Q870" s="1"/>
      <c r="T870" s="1"/>
      <c r="W870" s="1"/>
      <c r="Z870" s="1"/>
      <c r="AC870" s="3"/>
    </row>
    <row r="871" ht="15.75" customHeight="1">
      <c r="E871" s="1"/>
      <c r="H871" s="1"/>
      <c r="K871" s="1"/>
      <c r="N871" s="1"/>
      <c r="Q871" s="1"/>
      <c r="T871" s="1"/>
      <c r="W871" s="1"/>
      <c r="Z871" s="1"/>
      <c r="AC871" s="3"/>
    </row>
    <row r="872" ht="15.75" customHeight="1">
      <c r="E872" s="1"/>
      <c r="H872" s="1"/>
      <c r="K872" s="1"/>
      <c r="N872" s="1"/>
      <c r="Q872" s="1"/>
      <c r="T872" s="1"/>
      <c r="W872" s="1"/>
      <c r="Z872" s="1"/>
      <c r="AC872" s="3"/>
    </row>
    <row r="873" ht="15.75" customHeight="1">
      <c r="E873" s="1"/>
      <c r="H873" s="1"/>
      <c r="K873" s="1"/>
      <c r="N873" s="1"/>
      <c r="Q873" s="1"/>
      <c r="T873" s="1"/>
      <c r="W873" s="1"/>
      <c r="Z873" s="1"/>
      <c r="AC873" s="3"/>
    </row>
    <row r="874" ht="15.75" customHeight="1">
      <c r="E874" s="1"/>
      <c r="H874" s="1"/>
      <c r="K874" s="1"/>
      <c r="N874" s="1"/>
      <c r="Q874" s="1"/>
      <c r="T874" s="1"/>
      <c r="W874" s="1"/>
      <c r="Z874" s="1"/>
      <c r="AC874" s="3"/>
    </row>
    <row r="875" ht="15.75" customHeight="1">
      <c r="E875" s="1"/>
      <c r="H875" s="1"/>
      <c r="K875" s="1"/>
      <c r="N875" s="1"/>
      <c r="Q875" s="1"/>
      <c r="T875" s="1"/>
      <c r="W875" s="1"/>
      <c r="Z875" s="1"/>
      <c r="AC875" s="3"/>
    </row>
    <row r="876" ht="15.75" customHeight="1">
      <c r="E876" s="1"/>
      <c r="H876" s="1"/>
      <c r="K876" s="1"/>
      <c r="N876" s="1"/>
      <c r="Q876" s="1"/>
      <c r="T876" s="1"/>
      <c r="W876" s="1"/>
      <c r="Z876" s="1"/>
      <c r="AC876" s="3"/>
    </row>
    <row r="877" ht="15.75" customHeight="1">
      <c r="E877" s="1"/>
      <c r="H877" s="1"/>
      <c r="K877" s="1"/>
      <c r="N877" s="1"/>
      <c r="Q877" s="1"/>
      <c r="T877" s="1"/>
      <c r="W877" s="1"/>
      <c r="Z877" s="1"/>
      <c r="AC877" s="3"/>
    </row>
    <row r="878" ht="15.75" customHeight="1">
      <c r="E878" s="1"/>
      <c r="H878" s="1"/>
      <c r="K878" s="1"/>
      <c r="N878" s="1"/>
      <c r="Q878" s="1"/>
      <c r="T878" s="1"/>
      <c r="W878" s="1"/>
      <c r="Z878" s="1"/>
      <c r="AC878" s="3"/>
    </row>
    <row r="879" ht="15.75" customHeight="1">
      <c r="E879" s="1"/>
      <c r="H879" s="1"/>
      <c r="K879" s="1"/>
      <c r="N879" s="1"/>
      <c r="Q879" s="1"/>
      <c r="T879" s="1"/>
      <c r="W879" s="1"/>
      <c r="Z879" s="1"/>
      <c r="AC879" s="3"/>
    </row>
    <row r="880" ht="15.75" customHeight="1">
      <c r="E880" s="1"/>
      <c r="H880" s="1"/>
      <c r="K880" s="1"/>
      <c r="N880" s="1"/>
      <c r="Q880" s="1"/>
      <c r="T880" s="1"/>
      <c r="W880" s="1"/>
      <c r="Z880" s="1"/>
      <c r="AC880" s="3"/>
    </row>
    <row r="881" ht="15.75" customHeight="1">
      <c r="E881" s="1"/>
      <c r="H881" s="1"/>
      <c r="K881" s="1"/>
      <c r="N881" s="1"/>
      <c r="Q881" s="1"/>
      <c r="T881" s="1"/>
      <c r="W881" s="1"/>
      <c r="Z881" s="1"/>
      <c r="AC881" s="3"/>
    </row>
    <row r="882" ht="15.75" customHeight="1">
      <c r="E882" s="1"/>
      <c r="H882" s="1"/>
      <c r="K882" s="1"/>
      <c r="N882" s="1"/>
      <c r="Q882" s="1"/>
      <c r="T882" s="1"/>
      <c r="W882" s="1"/>
      <c r="Z882" s="1"/>
      <c r="AC882" s="3"/>
    </row>
    <row r="883" ht="15.75" customHeight="1">
      <c r="E883" s="1"/>
      <c r="H883" s="1"/>
      <c r="K883" s="1"/>
      <c r="N883" s="1"/>
      <c r="Q883" s="1"/>
      <c r="T883" s="1"/>
      <c r="W883" s="1"/>
      <c r="Z883" s="1"/>
      <c r="AC883" s="3"/>
    </row>
    <row r="884" ht="15.75" customHeight="1">
      <c r="E884" s="1"/>
      <c r="H884" s="1"/>
      <c r="K884" s="1"/>
      <c r="N884" s="1"/>
      <c r="Q884" s="1"/>
      <c r="T884" s="1"/>
      <c r="W884" s="1"/>
      <c r="Z884" s="1"/>
      <c r="AC884" s="3"/>
    </row>
    <row r="885" ht="15.75" customHeight="1">
      <c r="E885" s="1"/>
      <c r="H885" s="1"/>
      <c r="K885" s="1"/>
      <c r="N885" s="1"/>
      <c r="Q885" s="1"/>
      <c r="T885" s="1"/>
      <c r="W885" s="1"/>
      <c r="Z885" s="1"/>
      <c r="AC885" s="3"/>
    </row>
    <row r="886" ht="15.75" customHeight="1">
      <c r="E886" s="1"/>
      <c r="H886" s="1"/>
      <c r="K886" s="1"/>
      <c r="N886" s="1"/>
      <c r="Q886" s="1"/>
      <c r="T886" s="1"/>
      <c r="W886" s="1"/>
      <c r="Z886" s="1"/>
      <c r="AC886" s="3"/>
    </row>
    <row r="887" ht="15.75" customHeight="1">
      <c r="E887" s="1"/>
      <c r="H887" s="1"/>
      <c r="K887" s="1"/>
      <c r="N887" s="1"/>
      <c r="Q887" s="1"/>
      <c r="T887" s="1"/>
      <c r="W887" s="1"/>
      <c r="Z887" s="1"/>
      <c r="AC887" s="3"/>
    </row>
    <row r="888" ht="15.75" customHeight="1">
      <c r="E888" s="1"/>
      <c r="H888" s="1"/>
      <c r="K888" s="1"/>
      <c r="N888" s="1"/>
      <c r="Q888" s="1"/>
      <c r="T888" s="1"/>
      <c r="W888" s="1"/>
      <c r="Z888" s="1"/>
      <c r="AC888" s="3"/>
    </row>
    <row r="889" ht="15.75" customHeight="1">
      <c r="E889" s="1"/>
      <c r="H889" s="1"/>
      <c r="K889" s="1"/>
      <c r="N889" s="1"/>
      <c r="Q889" s="1"/>
      <c r="T889" s="1"/>
      <c r="W889" s="1"/>
      <c r="Z889" s="1"/>
      <c r="AC889" s="3"/>
    </row>
    <row r="890" ht="15.75" customHeight="1">
      <c r="E890" s="1"/>
      <c r="H890" s="1"/>
      <c r="K890" s="1"/>
      <c r="N890" s="1"/>
      <c r="Q890" s="1"/>
      <c r="T890" s="1"/>
      <c r="W890" s="1"/>
      <c r="Z890" s="1"/>
      <c r="AC890" s="3"/>
    </row>
    <row r="891" ht="15.75" customHeight="1">
      <c r="E891" s="1"/>
      <c r="H891" s="1"/>
      <c r="K891" s="1"/>
      <c r="N891" s="1"/>
      <c r="Q891" s="1"/>
      <c r="T891" s="1"/>
      <c r="W891" s="1"/>
      <c r="Z891" s="1"/>
      <c r="AC891" s="3"/>
    </row>
    <row r="892" ht="15.75" customHeight="1">
      <c r="E892" s="1"/>
      <c r="H892" s="1"/>
      <c r="K892" s="1"/>
      <c r="N892" s="1"/>
      <c r="Q892" s="1"/>
      <c r="T892" s="1"/>
      <c r="W892" s="1"/>
      <c r="Z892" s="1"/>
      <c r="AC892" s="3"/>
    </row>
    <row r="893" ht="15.75" customHeight="1">
      <c r="E893" s="1"/>
      <c r="H893" s="1"/>
      <c r="K893" s="1"/>
      <c r="N893" s="1"/>
      <c r="Q893" s="1"/>
      <c r="T893" s="1"/>
      <c r="W893" s="1"/>
      <c r="Z893" s="1"/>
      <c r="AC893" s="3"/>
    </row>
    <row r="894" ht="15.75" customHeight="1">
      <c r="E894" s="1"/>
      <c r="H894" s="1"/>
      <c r="K894" s="1"/>
      <c r="N894" s="1"/>
      <c r="Q894" s="1"/>
      <c r="T894" s="1"/>
      <c r="W894" s="1"/>
      <c r="Z894" s="1"/>
      <c r="AC894" s="3"/>
    </row>
    <row r="895" ht="15.75" customHeight="1">
      <c r="E895" s="1"/>
      <c r="H895" s="1"/>
      <c r="K895" s="1"/>
      <c r="N895" s="1"/>
      <c r="Q895" s="1"/>
      <c r="T895" s="1"/>
      <c r="W895" s="1"/>
      <c r="Z895" s="1"/>
      <c r="AC895" s="3"/>
    </row>
    <row r="896" ht="15.75" customHeight="1">
      <c r="E896" s="1"/>
      <c r="H896" s="1"/>
      <c r="K896" s="1"/>
      <c r="N896" s="1"/>
      <c r="Q896" s="1"/>
      <c r="T896" s="1"/>
      <c r="W896" s="1"/>
      <c r="Z896" s="1"/>
      <c r="AC896" s="3"/>
    </row>
    <row r="897" ht="15.75" customHeight="1">
      <c r="E897" s="1"/>
      <c r="H897" s="1"/>
      <c r="K897" s="1"/>
      <c r="N897" s="1"/>
      <c r="Q897" s="1"/>
      <c r="T897" s="1"/>
      <c r="W897" s="1"/>
      <c r="Z897" s="1"/>
      <c r="AC897" s="3"/>
    </row>
    <row r="898" ht="15.75" customHeight="1">
      <c r="E898" s="1"/>
      <c r="H898" s="1"/>
      <c r="K898" s="1"/>
      <c r="N898" s="1"/>
      <c r="Q898" s="1"/>
      <c r="T898" s="1"/>
      <c r="W898" s="1"/>
      <c r="Z898" s="1"/>
      <c r="AC898" s="3"/>
    </row>
    <row r="899" ht="15.75" customHeight="1">
      <c r="E899" s="1"/>
      <c r="H899" s="1"/>
      <c r="K899" s="1"/>
      <c r="N899" s="1"/>
      <c r="Q899" s="1"/>
      <c r="T899" s="1"/>
      <c r="W899" s="1"/>
      <c r="Z899" s="1"/>
      <c r="AC899" s="3"/>
    </row>
    <row r="900" ht="15.75" customHeight="1">
      <c r="E900" s="1"/>
      <c r="H900" s="1"/>
      <c r="K900" s="1"/>
      <c r="N900" s="1"/>
      <c r="Q900" s="1"/>
      <c r="T900" s="1"/>
      <c r="W900" s="1"/>
      <c r="Z900" s="1"/>
      <c r="AC900" s="3"/>
    </row>
    <row r="901" ht="15.75" customHeight="1">
      <c r="E901" s="1"/>
      <c r="H901" s="1"/>
      <c r="K901" s="1"/>
      <c r="N901" s="1"/>
      <c r="Q901" s="1"/>
      <c r="T901" s="1"/>
      <c r="W901" s="1"/>
      <c r="Z901" s="1"/>
      <c r="AC901" s="3"/>
    </row>
    <row r="902" ht="15.75" customHeight="1">
      <c r="E902" s="1"/>
      <c r="H902" s="1"/>
      <c r="K902" s="1"/>
      <c r="N902" s="1"/>
      <c r="Q902" s="1"/>
      <c r="T902" s="1"/>
      <c r="W902" s="1"/>
      <c r="Z902" s="1"/>
      <c r="AC902" s="3"/>
    </row>
    <row r="903" ht="15.75" customHeight="1">
      <c r="E903" s="1"/>
      <c r="H903" s="1"/>
      <c r="K903" s="1"/>
      <c r="N903" s="1"/>
      <c r="Q903" s="1"/>
      <c r="T903" s="1"/>
      <c r="W903" s="1"/>
      <c r="Z903" s="1"/>
      <c r="AC903" s="3"/>
    </row>
    <row r="904" ht="15.75" customHeight="1">
      <c r="E904" s="1"/>
      <c r="H904" s="1"/>
      <c r="K904" s="1"/>
      <c r="N904" s="1"/>
      <c r="Q904" s="1"/>
      <c r="T904" s="1"/>
      <c r="W904" s="1"/>
      <c r="Z904" s="1"/>
      <c r="AC904" s="3"/>
    </row>
    <row r="905" ht="15.75" customHeight="1">
      <c r="E905" s="1"/>
      <c r="H905" s="1"/>
      <c r="K905" s="1"/>
      <c r="N905" s="1"/>
      <c r="Q905" s="1"/>
      <c r="T905" s="1"/>
      <c r="W905" s="1"/>
      <c r="Z905" s="1"/>
      <c r="AC905" s="3"/>
    </row>
    <row r="906" ht="15.75" customHeight="1">
      <c r="E906" s="1"/>
      <c r="H906" s="1"/>
      <c r="K906" s="1"/>
      <c r="N906" s="1"/>
      <c r="Q906" s="1"/>
      <c r="T906" s="1"/>
      <c r="W906" s="1"/>
      <c r="Z906" s="1"/>
      <c r="AC906" s="3"/>
    </row>
    <row r="907" ht="15.75" customHeight="1">
      <c r="E907" s="1"/>
      <c r="H907" s="1"/>
      <c r="K907" s="1"/>
      <c r="N907" s="1"/>
      <c r="Q907" s="1"/>
      <c r="T907" s="1"/>
      <c r="W907" s="1"/>
      <c r="Z907" s="1"/>
      <c r="AC907" s="3"/>
    </row>
    <row r="908" ht="15.75" customHeight="1">
      <c r="E908" s="1"/>
      <c r="H908" s="1"/>
      <c r="K908" s="1"/>
      <c r="N908" s="1"/>
      <c r="Q908" s="1"/>
      <c r="T908" s="1"/>
      <c r="W908" s="1"/>
      <c r="Z908" s="1"/>
      <c r="AC908" s="3"/>
    </row>
    <row r="909" ht="15.75" customHeight="1">
      <c r="E909" s="1"/>
      <c r="H909" s="1"/>
      <c r="K909" s="1"/>
      <c r="N909" s="1"/>
      <c r="Q909" s="1"/>
      <c r="T909" s="1"/>
      <c r="W909" s="1"/>
      <c r="Z909" s="1"/>
      <c r="AC909" s="3"/>
    </row>
    <row r="910" ht="15.75" customHeight="1">
      <c r="E910" s="1"/>
      <c r="H910" s="1"/>
      <c r="K910" s="1"/>
      <c r="N910" s="1"/>
      <c r="Q910" s="1"/>
      <c r="T910" s="1"/>
      <c r="W910" s="1"/>
      <c r="Z910" s="1"/>
      <c r="AC910" s="3"/>
    </row>
    <row r="911" ht="15.75" customHeight="1">
      <c r="E911" s="1"/>
      <c r="H911" s="1"/>
      <c r="K911" s="1"/>
      <c r="N911" s="1"/>
      <c r="Q911" s="1"/>
      <c r="T911" s="1"/>
      <c r="W911" s="1"/>
      <c r="Z911" s="1"/>
      <c r="AC911" s="3"/>
    </row>
    <row r="912" ht="15.75" customHeight="1">
      <c r="E912" s="1"/>
      <c r="H912" s="1"/>
      <c r="K912" s="1"/>
      <c r="N912" s="1"/>
      <c r="Q912" s="1"/>
      <c r="T912" s="1"/>
      <c r="W912" s="1"/>
      <c r="Z912" s="1"/>
      <c r="AC912" s="3"/>
    </row>
    <row r="913" ht="15.75" customHeight="1">
      <c r="E913" s="1"/>
      <c r="H913" s="1"/>
      <c r="K913" s="1"/>
      <c r="N913" s="1"/>
      <c r="Q913" s="1"/>
      <c r="T913" s="1"/>
      <c r="W913" s="1"/>
      <c r="Z913" s="1"/>
      <c r="AC913" s="3"/>
    </row>
    <row r="914" ht="15.75" customHeight="1">
      <c r="E914" s="1"/>
      <c r="H914" s="1"/>
      <c r="K914" s="1"/>
      <c r="N914" s="1"/>
      <c r="Q914" s="1"/>
      <c r="T914" s="1"/>
      <c r="W914" s="1"/>
      <c r="Z914" s="1"/>
      <c r="AC914" s="3"/>
    </row>
    <row r="915" ht="15.75" customHeight="1">
      <c r="E915" s="1"/>
      <c r="H915" s="1"/>
      <c r="K915" s="1"/>
      <c r="N915" s="1"/>
      <c r="Q915" s="1"/>
      <c r="T915" s="1"/>
      <c r="W915" s="1"/>
      <c r="Z915" s="1"/>
      <c r="AC915" s="3"/>
    </row>
    <row r="916" ht="15.75" customHeight="1">
      <c r="E916" s="1"/>
      <c r="H916" s="1"/>
      <c r="K916" s="1"/>
      <c r="N916" s="1"/>
      <c r="Q916" s="1"/>
      <c r="T916" s="1"/>
      <c r="W916" s="1"/>
      <c r="Z916" s="1"/>
      <c r="AC916" s="3"/>
    </row>
    <row r="917" ht="15.75" customHeight="1">
      <c r="E917" s="1"/>
      <c r="H917" s="1"/>
      <c r="K917" s="1"/>
      <c r="N917" s="1"/>
      <c r="Q917" s="1"/>
      <c r="T917" s="1"/>
      <c r="W917" s="1"/>
      <c r="Z917" s="1"/>
      <c r="AC917" s="3"/>
    </row>
    <row r="918" ht="15.75" customHeight="1">
      <c r="E918" s="1"/>
      <c r="H918" s="1"/>
      <c r="K918" s="1"/>
      <c r="N918" s="1"/>
      <c r="Q918" s="1"/>
      <c r="T918" s="1"/>
      <c r="W918" s="1"/>
      <c r="Z918" s="1"/>
      <c r="AC918" s="3"/>
    </row>
    <row r="919" ht="15.75" customHeight="1">
      <c r="E919" s="1"/>
      <c r="H919" s="1"/>
      <c r="K919" s="1"/>
      <c r="N919" s="1"/>
      <c r="Q919" s="1"/>
      <c r="T919" s="1"/>
      <c r="W919" s="1"/>
      <c r="Z919" s="1"/>
      <c r="AC919" s="3"/>
    </row>
    <row r="920" ht="15.75" customHeight="1">
      <c r="E920" s="1"/>
      <c r="H920" s="1"/>
      <c r="K920" s="1"/>
      <c r="N920" s="1"/>
      <c r="Q920" s="1"/>
      <c r="T920" s="1"/>
      <c r="W920" s="1"/>
      <c r="Z920" s="1"/>
      <c r="AC920" s="3"/>
    </row>
    <row r="921" ht="15.75" customHeight="1">
      <c r="E921" s="1"/>
      <c r="H921" s="1"/>
      <c r="K921" s="1"/>
      <c r="N921" s="1"/>
      <c r="Q921" s="1"/>
      <c r="T921" s="1"/>
      <c r="W921" s="1"/>
      <c r="Z921" s="1"/>
      <c r="AC921" s="3"/>
    </row>
    <row r="922" ht="15.75" customHeight="1">
      <c r="E922" s="1"/>
      <c r="H922" s="1"/>
      <c r="K922" s="1"/>
      <c r="N922" s="1"/>
      <c r="Q922" s="1"/>
      <c r="T922" s="1"/>
      <c r="W922" s="1"/>
      <c r="Z922" s="1"/>
      <c r="AC922" s="3"/>
    </row>
    <row r="923" ht="15.75" customHeight="1">
      <c r="E923" s="1"/>
      <c r="H923" s="1"/>
      <c r="K923" s="1"/>
      <c r="N923" s="1"/>
      <c r="Q923" s="1"/>
      <c r="T923" s="1"/>
      <c r="W923" s="1"/>
      <c r="Z923" s="1"/>
      <c r="AC923" s="3"/>
    </row>
    <row r="924" ht="15.75" customHeight="1">
      <c r="E924" s="1"/>
      <c r="H924" s="1"/>
      <c r="K924" s="1"/>
      <c r="N924" s="1"/>
      <c r="Q924" s="1"/>
      <c r="T924" s="1"/>
      <c r="W924" s="1"/>
      <c r="Z924" s="1"/>
      <c r="AC924" s="3"/>
    </row>
    <row r="925" ht="15.75" customHeight="1">
      <c r="E925" s="1"/>
      <c r="H925" s="1"/>
      <c r="K925" s="1"/>
      <c r="N925" s="1"/>
      <c r="Q925" s="1"/>
      <c r="T925" s="1"/>
      <c r="W925" s="1"/>
      <c r="Z925" s="1"/>
      <c r="AC925" s="3"/>
    </row>
    <row r="926" ht="15.75" customHeight="1">
      <c r="E926" s="1"/>
      <c r="H926" s="1"/>
      <c r="K926" s="1"/>
      <c r="N926" s="1"/>
      <c r="Q926" s="1"/>
      <c r="T926" s="1"/>
      <c r="W926" s="1"/>
      <c r="Z926" s="1"/>
      <c r="AC926" s="3"/>
    </row>
    <row r="927" ht="15.75" customHeight="1">
      <c r="E927" s="1"/>
      <c r="H927" s="1"/>
      <c r="K927" s="1"/>
      <c r="N927" s="1"/>
      <c r="Q927" s="1"/>
      <c r="T927" s="1"/>
      <c r="W927" s="1"/>
      <c r="Z927" s="1"/>
      <c r="AC927" s="3"/>
    </row>
    <row r="928" ht="15.75" customHeight="1">
      <c r="E928" s="1"/>
      <c r="H928" s="1"/>
      <c r="K928" s="1"/>
      <c r="N928" s="1"/>
      <c r="Q928" s="1"/>
      <c r="T928" s="1"/>
      <c r="W928" s="1"/>
      <c r="Z928" s="1"/>
      <c r="AC928" s="3"/>
    </row>
    <row r="929" ht="15.75" customHeight="1">
      <c r="E929" s="1"/>
      <c r="H929" s="1"/>
      <c r="K929" s="1"/>
      <c r="N929" s="1"/>
      <c r="Q929" s="1"/>
      <c r="T929" s="1"/>
      <c r="W929" s="1"/>
      <c r="Z929" s="1"/>
      <c r="AC929" s="3"/>
    </row>
    <row r="930" ht="15.75" customHeight="1">
      <c r="E930" s="1"/>
      <c r="H930" s="1"/>
      <c r="K930" s="1"/>
      <c r="N930" s="1"/>
      <c r="Q930" s="1"/>
      <c r="T930" s="1"/>
      <c r="W930" s="1"/>
      <c r="Z930" s="1"/>
      <c r="AC930" s="3"/>
    </row>
    <row r="931" ht="15.75" customHeight="1">
      <c r="E931" s="1"/>
      <c r="H931" s="1"/>
      <c r="K931" s="1"/>
      <c r="N931" s="1"/>
      <c r="Q931" s="1"/>
      <c r="T931" s="1"/>
      <c r="W931" s="1"/>
      <c r="Z931" s="1"/>
      <c r="AC931" s="3"/>
    </row>
    <row r="932" ht="15.75" customHeight="1">
      <c r="E932" s="1"/>
      <c r="H932" s="1"/>
      <c r="K932" s="1"/>
      <c r="N932" s="1"/>
      <c r="Q932" s="1"/>
      <c r="T932" s="1"/>
      <c r="W932" s="1"/>
      <c r="Z932" s="1"/>
      <c r="AC932" s="3"/>
    </row>
    <row r="933" ht="15.75" customHeight="1">
      <c r="E933" s="1"/>
      <c r="H933" s="1"/>
      <c r="K933" s="1"/>
      <c r="N933" s="1"/>
      <c r="Q933" s="1"/>
      <c r="T933" s="1"/>
      <c r="W933" s="1"/>
      <c r="Z933" s="1"/>
      <c r="AC933" s="3"/>
    </row>
    <row r="934" ht="15.75" customHeight="1">
      <c r="E934" s="1"/>
      <c r="H934" s="1"/>
      <c r="K934" s="1"/>
      <c r="N934" s="1"/>
      <c r="Q934" s="1"/>
      <c r="T934" s="1"/>
      <c r="W934" s="1"/>
      <c r="Z934" s="1"/>
      <c r="AC934" s="3"/>
    </row>
    <row r="935" ht="15.75" customHeight="1">
      <c r="E935" s="1"/>
      <c r="H935" s="1"/>
      <c r="K935" s="1"/>
      <c r="N935" s="1"/>
      <c r="Q935" s="1"/>
      <c r="T935" s="1"/>
      <c r="W935" s="1"/>
      <c r="Z935" s="1"/>
      <c r="AC935" s="3"/>
    </row>
    <row r="936" ht="15.75" customHeight="1">
      <c r="E936" s="1"/>
      <c r="H936" s="1"/>
      <c r="K936" s="1"/>
      <c r="N936" s="1"/>
      <c r="Q936" s="1"/>
      <c r="T936" s="1"/>
      <c r="W936" s="1"/>
      <c r="Z936" s="1"/>
      <c r="AC936" s="3"/>
    </row>
    <row r="937" ht="15.75" customHeight="1">
      <c r="E937" s="1"/>
      <c r="H937" s="1"/>
      <c r="K937" s="1"/>
      <c r="N937" s="1"/>
      <c r="Q937" s="1"/>
      <c r="T937" s="1"/>
      <c r="W937" s="1"/>
      <c r="Z937" s="1"/>
      <c r="AC937" s="3"/>
    </row>
    <row r="938" ht="15.75" customHeight="1">
      <c r="E938" s="1"/>
      <c r="H938" s="1"/>
      <c r="K938" s="1"/>
      <c r="N938" s="1"/>
      <c r="Q938" s="1"/>
      <c r="T938" s="1"/>
      <c r="W938" s="1"/>
      <c r="Z938" s="1"/>
      <c r="AC938" s="3"/>
    </row>
    <row r="939" ht="15.75" customHeight="1">
      <c r="E939" s="1"/>
      <c r="H939" s="1"/>
      <c r="K939" s="1"/>
      <c r="N939" s="1"/>
      <c r="Q939" s="1"/>
      <c r="T939" s="1"/>
      <c r="W939" s="1"/>
      <c r="Z939" s="1"/>
      <c r="AC939" s="3"/>
    </row>
    <row r="940" ht="15.75" customHeight="1">
      <c r="E940" s="1"/>
      <c r="H940" s="1"/>
      <c r="K940" s="1"/>
      <c r="N940" s="1"/>
      <c r="Q940" s="1"/>
      <c r="T940" s="1"/>
      <c r="W940" s="1"/>
      <c r="Z940" s="1"/>
      <c r="AC940" s="3"/>
    </row>
    <row r="941" ht="15.75" customHeight="1">
      <c r="E941" s="1"/>
      <c r="H941" s="1"/>
      <c r="K941" s="1"/>
      <c r="N941" s="1"/>
      <c r="Q941" s="1"/>
      <c r="T941" s="1"/>
      <c r="W941" s="1"/>
      <c r="Z941" s="1"/>
      <c r="AC941" s="3"/>
    </row>
    <row r="942" ht="15.75" customHeight="1">
      <c r="E942" s="1"/>
      <c r="H942" s="1"/>
      <c r="K942" s="1"/>
      <c r="N942" s="1"/>
      <c r="Q942" s="1"/>
      <c r="T942" s="1"/>
      <c r="W942" s="1"/>
      <c r="Z942" s="1"/>
      <c r="AC942" s="3"/>
    </row>
    <row r="943" ht="15.75" customHeight="1">
      <c r="E943" s="1"/>
      <c r="H943" s="1"/>
      <c r="K943" s="1"/>
      <c r="N943" s="1"/>
      <c r="Q943" s="1"/>
      <c r="T943" s="1"/>
      <c r="W943" s="1"/>
      <c r="Z943" s="1"/>
      <c r="AC943" s="3"/>
    </row>
    <row r="944" ht="15.75" customHeight="1">
      <c r="E944" s="1"/>
      <c r="H944" s="1"/>
      <c r="K944" s="1"/>
      <c r="N944" s="1"/>
      <c r="Q944" s="1"/>
      <c r="T944" s="1"/>
      <c r="W944" s="1"/>
      <c r="Z944" s="1"/>
      <c r="AC944" s="3"/>
    </row>
    <row r="945" ht="15.75" customHeight="1">
      <c r="E945" s="1"/>
      <c r="H945" s="1"/>
      <c r="K945" s="1"/>
      <c r="N945" s="1"/>
      <c r="Q945" s="1"/>
      <c r="T945" s="1"/>
      <c r="W945" s="1"/>
      <c r="Z945" s="1"/>
      <c r="AC945" s="3"/>
    </row>
    <row r="946" ht="15.75" customHeight="1">
      <c r="E946" s="1"/>
      <c r="H946" s="1"/>
      <c r="K946" s="1"/>
      <c r="N946" s="1"/>
      <c r="Q946" s="1"/>
      <c r="T946" s="1"/>
      <c r="W946" s="1"/>
      <c r="Z946" s="1"/>
      <c r="AC946" s="3"/>
    </row>
    <row r="947" ht="15.75" customHeight="1">
      <c r="E947" s="1"/>
      <c r="H947" s="1"/>
      <c r="K947" s="1"/>
      <c r="N947" s="1"/>
      <c r="Q947" s="1"/>
      <c r="T947" s="1"/>
      <c r="W947" s="1"/>
      <c r="Z947" s="1"/>
      <c r="AC947" s="3"/>
    </row>
    <row r="948" ht="15.75" customHeight="1">
      <c r="E948" s="1"/>
      <c r="H948" s="1"/>
      <c r="K948" s="1"/>
      <c r="N948" s="1"/>
      <c r="Q948" s="1"/>
      <c r="T948" s="1"/>
      <c r="W948" s="1"/>
      <c r="Z948" s="1"/>
      <c r="AC948" s="3"/>
    </row>
    <row r="949" ht="15.75" customHeight="1">
      <c r="E949" s="1"/>
      <c r="H949" s="1"/>
      <c r="K949" s="1"/>
      <c r="N949" s="1"/>
      <c r="Q949" s="1"/>
      <c r="T949" s="1"/>
      <c r="W949" s="1"/>
      <c r="Z949" s="1"/>
      <c r="AC949" s="3"/>
    </row>
    <row r="950" ht="15.75" customHeight="1">
      <c r="E950" s="1"/>
      <c r="H950" s="1"/>
      <c r="K950" s="1"/>
      <c r="N950" s="1"/>
      <c r="Q950" s="1"/>
      <c r="T950" s="1"/>
      <c r="W950" s="1"/>
      <c r="Z950" s="1"/>
      <c r="AC950" s="3"/>
    </row>
    <row r="951" ht="15.75" customHeight="1">
      <c r="E951" s="1"/>
      <c r="H951" s="1"/>
      <c r="K951" s="1"/>
      <c r="N951" s="1"/>
      <c r="Q951" s="1"/>
      <c r="T951" s="1"/>
      <c r="W951" s="1"/>
      <c r="Z951" s="1"/>
      <c r="AC951" s="3"/>
    </row>
    <row r="952" ht="15.75" customHeight="1">
      <c r="E952" s="1"/>
      <c r="H952" s="1"/>
      <c r="K952" s="1"/>
      <c r="N952" s="1"/>
      <c r="Q952" s="1"/>
      <c r="T952" s="1"/>
      <c r="W952" s="1"/>
      <c r="Z952" s="1"/>
      <c r="AC952" s="3"/>
    </row>
    <row r="953" ht="15.75" customHeight="1">
      <c r="E953" s="1"/>
      <c r="H953" s="1"/>
      <c r="K953" s="1"/>
      <c r="N953" s="1"/>
      <c r="Q953" s="1"/>
      <c r="T953" s="1"/>
      <c r="W953" s="1"/>
      <c r="Z953" s="1"/>
      <c r="AC953" s="3"/>
    </row>
    <row r="954" ht="15.75" customHeight="1">
      <c r="E954" s="1"/>
      <c r="H954" s="1"/>
      <c r="K954" s="1"/>
      <c r="N954" s="1"/>
      <c r="Q954" s="1"/>
      <c r="T954" s="1"/>
      <c r="W954" s="1"/>
      <c r="Z954" s="1"/>
      <c r="AC954" s="3"/>
    </row>
    <row r="955" ht="15.75" customHeight="1">
      <c r="E955" s="1"/>
      <c r="H955" s="1"/>
      <c r="K955" s="1"/>
      <c r="N955" s="1"/>
      <c r="Q955" s="1"/>
      <c r="T955" s="1"/>
      <c r="W955" s="1"/>
      <c r="Z955" s="1"/>
      <c r="AC955" s="3"/>
    </row>
    <row r="956" ht="15.75" customHeight="1">
      <c r="E956" s="1"/>
      <c r="H956" s="1"/>
      <c r="K956" s="1"/>
      <c r="N956" s="1"/>
      <c r="Q956" s="1"/>
      <c r="T956" s="1"/>
      <c r="W956" s="1"/>
      <c r="Z956" s="1"/>
      <c r="AC956" s="3"/>
    </row>
    <row r="957" ht="15.75" customHeight="1">
      <c r="E957" s="1"/>
      <c r="H957" s="1"/>
      <c r="K957" s="1"/>
      <c r="N957" s="1"/>
      <c r="Q957" s="1"/>
      <c r="T957" s="1"/>
      <c r="W957" s="1"/>
      <c r="Z957" s="1"/>
      <c r="AC957" s="3"/>
    </row>
    <row r="958" ht="15.75" customHeight="1">
      <c r="E958" s="1"/>
      <c r="H958" s="1"/>
      <c r="K958" s="1"/>
      <c r="N958" s="1"/>
      <c r="Q958" s="1"/>
      <c r="T958" s="1"/>
      <c r="W958" s="1"/>
      <c r="Z958" s="1"/>
      <c r="AC958" s="3"/>
    </row>
    <row r="959" ht="15.75" customHeight="1">
      <c r="E959" s="1"/>
      <c r="H959" s="1"/>
      <c r="K959" s="1"/>
      <c r="N959" s="1"/>
      <c r="Q959" s="1"/>
      <c r="T959" s="1"/>
      <c r="W959" s="1"/>
      <c r="Z959" s="1"/>
      <c r="AC959" s="3"/>
    </row>
    <row r="960" ht="15.75" customHeight="1">
      <c r="E960" s="1"/>
      <c r="H960" s="1"/>
      <c r="K960" s="1"/>
      <c r="N960" s="1"/>
      <c r="Q960" s="1"/>
      <c r="T960" s="1"/>
      <c r="W960" s="1"/>
      <c r="Z960" s="1"/>
      <c r="AC960" s="3"/>
    </row>
    <row r="961" ht="15.75" customHeight="1">
      <c r="E961" s="1"/>
      <c r="H961" s="1"/>
      <c r="K961" s="1"/>
      <c r="N961" s="1"/>
      <c r="Q961" s="1"/>
      <c r="T961" s="1"/>
      <c r="W961" s="1"/>
      <c r="Z961" s="1"/>
      <c r="AC961" s="3"/>
    </row>
    <row r="962" ht="15.75" customHeight="1">
      <c r="E962" s="1"/>
      <c r="H962" s="1"/>
      <c r="K962" s="1"/>
      <c r="N962" s="1"/>
      <c r="Q962" s="1"/>
      <c r="T962" s="1"/>
      <c r="W962" s="1"/>
      <c r="Z962" s="1"/>
      <c r="AC962" s="3"/>
    </row>
    <row r="963" ht="15.75" customHeight="1">
      <c r="E963" s="1"/>
      <c r="H963" s="1"/>
      <c r="K963" s="1"/>
      <c r="N963" s="1"/>
      <c r="Q963" s="1"/>
      <c r="T963" s="1"/>
      <c r="W963" s="1"/>
      <c r="Z963" s="1"/>
      <c r="AC963" s="3"/>
    </row>
    <row r="964" ht="15.75" customHeight="1">
      <c r="E964" s="1"/>
      <c r="H964" s="1"/>
      <c r="K964" s="1"/>
      <c r="N964" s="1"/>
      <c r="Q964" s="1"/>
      <c r="T964" s="1"/>
      <c r="W964" s="1"/>
      <c r="Z964" s="1"/>
      <c r="AC964" s="3"/>
    </row>
    <row r="965" ht="15.75" customHeight="1">
      <c r="E965" s="1"/>
      <c r="H965" s="1"/>
      <c r="K965" s="1"/>
      <c r="N965" s="1"/>
      <c r="Q965" s="1"/>
      <c r="T965" s="1"/>
      <c r="W965" s="1"/>
      <c r="Z965" s="1"/>
      <c r="AC965" s="3"/>
    </row>
    <row r="966" ht="15.75" customHeight="1">
      <c r="E966" s="1"/>
      <c r="H966" s="1"/>
      <c r="K966" s="1"/>
      <c r="N966" s="1"/>
      <c r="Q966" s="1"/>
      <c r="T966" s="1"/>
      <c r="W966" s="1"/>
      <c r="Z966" s="1"/>
      <c r="AC966" s="3"/>
    </row>
    <row r="967" ht="15.75" customHeight="1">
      <c r="E967" s="1"/>
      <c r="H967" s="1"/>
      <c r="K967" s="1"/>
      <c r="N967" s="1"/>
      <c r="Q967" s="1"/>
      <c r="T967" s="1"/>
      <c r="W967" s="1"/>
      <c r="Z967" s="1"/>
      <c r="AC967" s="3"/>
    </row>
    <row r="968" ht="15.75" customHeight="1">
      <c r="E968" s="1"/>
      <c r="H968" s="1"/>
      <c r="K968" s="1"/>
      <c r="N968" s="1"/>
      <c r="Q968" s="1"/>
      <c r="T968" s="1"/>
      <c r="W968" s="1"/>
      <c r="Z968" s="1"/>
      <c r="AC968" s="3"/>
    </row>
    <row r="969" ht="15.75" customHeight="1">
      <c r="E969" s="1"/>
      <c r="H969" s="1"/>
      <c r="K969" s="1"/>
      <c r="N969" s="1"/>
      <c r="Q969" s="1"/>
      <c r="T969" s="1"/>
      <c r="W969" s="1"/>
      <c r="Z969" s="1"/>
      <c r="AC969" s="3"/>
    </row>
    <row r="970" ht="15.75" customHeight="1">
      <c r="E970" s="1"/>
      <c r="H970" s="1"/>
      <c r="K970" s="1"/>
      <c r="N970" s="1"/>
      <c r="Q970" s="1"/>
      <c r="T970" s="1"/>
      <c r="W970" s="1"/>
      <c r="Z970" s="1"/>
      <c r="AC970" s="3"/>
    </row>
    <row r="971" ht="15.75" customHeight="1">
      <c r="E971" s="1"/>
      <c r="H971" s="1"/>
      <c r="K971" s="1"/>
      <c r="N971" s="1"/>
      <c r="Q971" s="1"/>
      <c r="T971" s="1"/>
      <c r="W971" s="1"/>
      <c r="Z971" s="1"/>
      <c r="AC971" s="3"/>
    </row>
    <row r="972" ht="15.75" customHeight="1">
      <c r="E972" s="1"/>
      <c r="H972" s="1"/>
      <c r="K972" s="1"/>
      <c r="N972" s="1"/>
      <c r="Q972" s="1"/>
      <c r="T972" s="1"/>
      <c r="W972" s="1"/>
      <c r="Z972" s="1"/>
      <c r="AC972" s="3"/>
    </row>
    <row r="973" ht="15.75" customHeight="1">
      <c r="E973" s="1"/>
      <c r="H973" s="1"/>
      <c r="K973" s="1"/>
      <c r="N973" s="1"/>
      <c r="Q973" s="1"/>
      <c r="T973" s="1"/>
      <c r="W973" s="1"/>
      <c r="Z973" s="1"/>
      <c r="AC973" s="3"/>
    </row>
    <row r="974" ht="15.75" customHeight="1">
      <c r="E974" s="1"/>
      <c r="H974" s="1"/>
      <c r="K974" s="1"/>
      <c r="N974" s="1"/>
      <c r="Q974" s="1"/>
      <c r="T974" s="1"/>
      <c r="W974" s="1"/>
      <c r="Z974" s="1"/>
      <c r="AC974" s="3"/>
    </row>
    <row r="975" ht="15.75" customHeight="1">
      <c r="E975" s="1"/>
      <c r="H975" s="1"/>
      <c r="K975" s="1"/>
      <c r="N975" s="1"/>
      <c r="Q975" s="1"/>
      <c r="T975" s="1"/>
      <c r="W975" s="1"/>
      <c r="Z975" s="1"/>
      <c r="AC975" s="3"/>
    </row>
    <row r="976" ht="15.75" customHeight="1">
      <c r="E976" s="1"/>
      <c r="H976" s="1"/>
      <c r="K976" s="1"/>
      <c r="N976" s="1"/>
      <c r="Q976" s="1"/>
      <c r="T976" s="1"/>
      <c r="W976" s="1"/>
      <c r="Z976" s="1"/>
      <c r="AC976" s="3"/>
    </row>
    <row r="977" ht="15.75" customHeight="1">
      <c r="E977" s="1"/>
      <c r="H977" s="1"/>
      <c r="K977" s="1"/>
      <c r="N977" s="1"/>
      <c r="Q977" s="1"/>
      <c r="T977" s="1"/>
      <c r="W977" s="1"/>
      <c r="Z977" s="1"/>
      <c r="AC977" s="3"/>
    </row>
    <row r="978" ht="15.75" customHeight="1">
      <c r="E978" s="1"/>
      <c r="H978" s="1"/>
      <c r="K978" s="1"/>
      <c r="N978" s="1"/>
      <c r="Q978" s="1"/>
      <c r="T978" s="1"/>
      <c r="W978" s="1"/>
      <c r="Z978" s="1"/>
      <c r="AC978" s="3"/>
    </row>
    <row r="979" ht="15.75" customHeight="1">
      <c r="E979" s="1"/>
      <c r="H979" s="1"/>
      <c r="K979" s="1"/>
      <c r="N979" s="1"/>
      <c r="Q979" s="1"/>
      <c r="T979" s="1"/>
      <c r="W979" s="1"/>
      <c r="Z979" s="1"/>
      <c r="AC979" s="3"/>
    </row>
    <row r="980" ht="15.75" customHeight="1">
      <c r="E980" s="1"/>
      <c r="H980" s="1"/>
      <c r="K980" s="1"/>
      <c r="N980" s="1"/>
      <c r="Q980" s="1"/>
      <c r="T980" s="1"/>
      <c r="W980" s="1"/>
      <c r="Z980" s="1"/>
      <c r="AC980" s="3"/>
    </row>
    <row r="981" ht="15.75" customHeight="1">
      <c r="E981" s="1"/>
      <c r="H981" s="1"/>
      <c r="K981" s="1"/>
      <c r="N981" s="1"/>
      <c r="Q981" s="1"/>
      <c r="T981" s="1"/>
      <c r="W981" s="1"/>
      <c r="Z981" s="1"/>
      <c r="AC981" s="3"/>
    </row>
    <row r="982" ht="15.75" customHeight="1">
      <c r="E982" s="1"/>
      <c r="H982" s="1"/>
      <c r="K982" s="1"/>
      <c r="N982" s="1"/>
      <c r="Q982" s="1"/>
      <c r="T982" s="1"/>
      <c r="W982" s="1"/>
      <c r="Z982" s="1"/>
      <c r="AC982" s="3"/>
    </row>
    <row r="983" ht="15.75" customHeight="1">
      <c r="E983" s="1"/>
      <c r="H983" s="1"/>
      <c r="K983" s="1"/>
      <c r="N983" s="1"/>
      <c r="Q983" s="1"/>
      <c r="T983" s="1"/>
      <c r="W983" s="1"/>
      <c r="Z983" s="1"/>
      <c r="AC983" s="3"/>
    </row>
    <row r="984" ht="15.75" customHeight="1">
      <c r="E984" s="1"/>
      <c r="H984" s="1"/>
      <c r="K984" s="1"/>
      <c r="N984" s="1"/>
      <c r="Q984" s="1"/>
      <c r="T984" s="1"/>
      <c r="W984" s="1"/>
      <c r="Z984" s="1"/>
      <c r="AC984" s="3"/>
    </row>
    <row r="985" ht="15.75" customHeight="1">
      <c r="E985" s="1"/>
      <c r="H985" s="1"/>
      <c r="K985" s="1"/>
      <c r="N985" s="1"/>
      <c r="Q985" s="1"/>
      <c r="T985" s="1"/>
      <c r="W985" s="1"/>
      <c r="Z985" s="1"/>
      <c r="AC985" s="3"/>
    </row>
    <row r="986" ht="15.75" customHeight="1">
      <c r="E986" s="1"/>
      <c r="H986" s="1"/>
      <c r="K986" s="1"/>
      <c r="N986" s="1"/>
      <c r="Q986" s="1"/>
      <c r="T986" s="1"/>
      <c r="W986" s="1"/>
      <c r="Z986" s="1"/>
      <c r="AC986" s="3"/>
    </row>
    <row r="987" ht="15.75" customHeight="1">
      <c r="E987" s="1"/>
      <c r="H987" s="1"/>
      <c r="K987" s="1"/>
      <c r="N987" s="1"/>
      <c r="Q987" s="1"/>
      <c r="T987" s="1"/>
      <c r="W987" s="1"/>
      <c r="Z987" s="1"/>
      <c r="AC987" s="3"/>
    </row>
    <row r="988" ht="15.75" customHeight="1">
      <c r="E988" s="1"/>
      <c r="H988" s="1"/>
      <c r="K988" s="1"/>
      <c r="N988" s="1"/>
      <c r="Q988" s="1"/>
      <c r="T988" s="1"/>
      <c r="W988" s="1"/>
      <c r="Z988" s="1"/>
      <c r="AC988" s="3"/>
    </row>
    <row r="989" ht="15.75" customHeight="1">
      <c r="E989" s="1"/>
      <c r="H989" s="1"/>
      <c r="K989" s="1"/>
      <c r="N989" s="1"/>
      <c r="Q989" s="1"/>
      <c r="T989" s="1"/>
      <c r="W989" s="1"/>
      <c r="Z989" s="1"/>
      <c r="AC989" s="3"/>
    </row>
    <row r="990" ht="15.75" customHeight="1">
      <c r="E990" s="1"/>
      <c r="H990" s="1"/>
      <c r="K990" s="1"/>
      <c r="N990" s="1"/>
      <c r="Q990" s="1"/>
      <c r="T990" s="1"/>
      <c r="W990" s="1"/>
      <c r="Z990" s="1"/>
      <c r="AC990" s="3"/>
    </row>
    <row r="991" ht="15.75" customHeight="1">
      <c r="E991" s="1"/>
      <c r="H991" s="1"/>
      <c r="K991" s="1"/>
      <c r="N991" s="1"/>
      <c r="Q991" s="1"/>
      <c r="T991" s="1"/>
      <c r="W991" s="1"/>
      <c r="Z991" s="1"/>
      <c r="AC991" s="3"/>
    </row>
    <row r="992" ht="15.75" customHeight="1">
      <c r="E992" s="1"/>
      <c r="H992" s="1"/>
      <c r="K992" s="1"/>
      <c r="N992" s="1"/>
      <c r="Q992" s="1"/>
      <c r="T992" s="1"/>
      <c r="W992" s="1"/>
      <c r="Z992" s="1"/>
      <c r="AC992" s="3"/>
    </row>
    <row r="993" ht="15.75" customHeight="1">
      <c r="E993" s="1"/>
      <c r="H993" s="1"/>
      <c r="K993" s="1"/>
      <c r="N993" s="1"/>
      <c r="Q993" s="1"/>
      <c r="T993" s="1"/>
      <c r="W993" s="1"/>
      <c r="Z993" s="1"/>
      <c r="AC993" s="3"/>
    </row>
    <row r="994" ht="15.75" customHeight="1">
      <c r="E994" s="1"/>
      <c r="H994" s="1"/>
      <c r="K994" s="1"/>
      <c r="N994" s="1"/>
      <c r="Q994" s="1"/>
      <c r="T994" s="1"/>
      <c r="W994" s="1"/>
      <c r="Z994" s="1"/>
      <c r="AC994" s="3"/>
    </row>
    <row r="995" ht="15.75" customHeight="1">
      <c r="E995" s="1"/>
      <c r="H995" s="1"/>
      <c r="K995" s="1"/>
      <c r="N995" s="1"/>
      <c r="Q995" s="1"/>
      <c r="T995" s="1"/>
      <c r="W995" s="1"/>
      <c r="Z995" s="1"/>
      <c r="AC995" s="3"/>
    </row>
    <row r="996" ht="15.75" customHeight="1">
      <c r="E996" s="1"/>
      <c r="H996" s="1"/>
      <c r="K996" s="1"/>
      <c r="N996" s="1"/>
      <c r="Q996" s="1"/>
      <c r="T996" s="1"/>
      <c r="W996" s="1"/>
      <c r="Z996" s="1"/>
      <c r="AC996" s="3"/>
    </row>
    <row r="997" ht="15.75" customHeight="1">
      <c r="E997" s="1"/>
      <c r="H997" s="1"/>
      <c r="K997" s="1"/>
      <c r="N997" s="1"/>
      <c r="Q997" s="1"/>
      <c r="T997" s="1"/>
      <c r="W997" s="1"/>
      <c r="Z997" s="1"/>
      <c r="AC997" s="3"/>
    </row>
    <row r="998" ht="15.75" customHeight="1">
      <c r="E998" s="1"/>
      <c r="H998" s="1"/>
      <c r="K998" s="1"/>
      <c r="N998" s="1"/>
      <c r="Q998" s="1"/>
      <c r="T998" s="1"/>
      <c r="W998" s="1"/>
      <c r="Z998" s="1"/>
      <c r="AC998" s="3"/>
    </row>
    <row r="999" ht="15.75" customHeight="1">
      <c r="E999" s="1"/>
      <c r="H999" s="1"/>
      <c r="K999" s="1"/>
      <c r="N999" s="1"/>
      <c r="Q999" s="1"/>
      <c r="T999" s="1"/>
      <c r="W999" s="1"/>
      <c r="Z999" s="1"/>
      <c r="AC999" s="3"/>
    </row>
    <row r="1000" ht="15.75" customHeight="1">
      <c r="E1000" s="1"/>
      <c r="H1000" s="1"/>
      <c r="K1000" s="1"/>
      <c r="N1000" s="1"/>
      <c r="Q1000" s="1"/>
      <c r="T1000" s="1"/>
      <c r="W1000" s="1"/>
      <c r="Z1000" s="1"/>
      <c r="AC1000" s="3"/>
    </row>
    <row r="1001" ht="15.75" customHeight="1">
      <c r="E1001" s="1"/>
      <c r="H1001" s="1"/>
      <c r="K1001" s="1"/>
      <c r="N1001" s="1"/>
      <c r="Q1001" s="1"/>
      <c r="T1001" s="1"/>
      <c r="W1001" s="1"/>
      <c r="Z1001" s="1"/>
      <c r="AC1001" s="3"/>
    </row>
    <row r="1002" ht="15.75" customHeight="1">
      <c r="E1002" s="1"/>
      <c r="H1002" s="1"/>
      <c r="K1002" s="1"/>
      <c r="N1002" s="1"/>
      <c r="Q1002" s="1"/>
      <c r="T1002" s="1"/>
      <c r="W1002" s="1"/>
      <c r="Z1002" s="1"/>
      <c r="AC1002" s="3"/>
    </row>
    <row r="1003" ht="15.75" customHeight="1">
      <c r="E1003" s="1"/>
      <c r="H1003" s="1"/>
      <c r="K1003" s="1"/>
      <c r="N1003" s="1"/>
      <c r="Q1003" s="1"/>
      <c r="T1003" s="1"/>
      <c r="W1003" s="1"/>
      <c r="Z1003" s="1"/>
      <c r="AC1003" s="3"/>
    </row>
    <row r="1004" ht="15.75" customHeight="1">
      <c r="E1004" s="1"/>
      <c r="H1004" s="1"/>
      <c r="K1004" s="1"/>
      <c r="N1004" s="1"/>
      <c r="Q1004" s="1"/>
      <c r="T1004" s="1"/>
      <c r="W1004" s="1"/>
      <c r="Z1004" s="1"/>
      <c r="AC1004" s="3"/>
    </row>
    <row r="1005" ht="15.75" customHeight="1">
      <c r="E1005" s="1"/>
      <c r="H1005" s="1"/>
      <c r="K1005" s="1"/>
      <c r="N1005" s="1"/>
      <c r="Q1005" s="1"/>
      <c r="T1005" s="1"/>
      <c r="W1005" s="1"/>
      <c r="Z1005" s="1"/>
      <c r="AC1005" s="3"/>
    </row>
    <row r="1006" ht="15.75" customHeight="1">
      <c r="E1006" s="1"/>
      <c r="H1006" s="1"/>
      <c r="K1006" s="1"/>
      <c r="N1006" s="1"/>
      <c r="Q1006" s="1"/>
      <c r="T1006" s="1"/>
      <c r="W1006" s="1"/>
      <c r="Z1006" s="1"/>
      <c r="AC1006" s="3"/>
    </row>
    <row r="1007" ht="15.75" customHeight="1">
      <c r="E1007" s="1"/>
      <c r="H1007" s="1"/>
      <c r="K1007" s="1"/>
      <c r="N1007" s="1"/>
      <c r="Q1007" s="1"/>
      <c r="T1007" s="1"/>
      <c r="W1007" s="1"/>
      <c r="Z1007" s="1"/>
      <c r="AC1007" s="3"/>
    </row>
    <row r="1008" ht="15.75" customHeight="1">
      <c r="E1008" s="1"/>
      <c r="H1008" s="1"/>
      <c r="K1008" s="1"/>
      <c r="N1008" s="1"/>
      <c r="Q1008" s="1"/>
      <c r="T1008" s="1"/>
      <c r="W1008" s="1"/>
      <c r="Z1008" s="1"/>
      <c r="AC1008" s="3"/>
    </row>
    <row r="1009" ht="15.75" customHeight="1">
      <c r="E1009" s="1"/>
      <c r="H1009" s="1"/>
      <c r="K1009" s="1"/>
      <c r="N1009" s="1"/>
      <c r="Q1009" s="1"/>
      <c r="T1009" s="1"/>
      <c r="W1009" s="1"/>
      <c r="Z1009" s="1"/>
      <c r="AC1009" s="3"/>
    </row>
    <row r="1010" ht="15.75" customHeight="1">
      <c r="E1010" s="1"/>
      <c r="H1010" s="1"/>
      <c r="K1010" s="1"/>
      <c r="N1010" s="1"/>
      <c r="Q1010" s="1"/>
      <c r="T1010" s="1"/>
      <c r="W1010" s="1"/>
      <c r="Z1010" s="1"/>
      <c r="AC1010" s="3"/>
    </row>
    <row r="1011" ht="15.75" customHeight="1">
      <c r="E1011" s="1"/>
      <c r="H1011" s="1"/>
      <c r="K1011" s="1"/>
      <c r="N1011" s="1"/>
      <c r="Q1011" s="1"/>
      <c r="T1011" s="1"/>
      <c r="W1011" s="1"/>
      <c r="Z1011" s="1"/>
      <c r="AC1011" s="3"/>
    </row>
    <row r="1012" ht="15.75" customHeight="1">
      <c r="E1012" s="1"/>
      <c r="H1012" s="1"/>
      <c r="K1012" s="1"/>
      <c r="N1012" s="1"/>
      <c r="Q1012" s="1"/>
      <c r="T1012" s="1"/>
      <c r="W1012" s="1"/>
      <c r="Z1012" s="1"/>
      <c r="AC1012" s="3"/>
    </row>
    <row r="1013" ht="15.75" customHeight="1">
      <c r="E1013" s="1"/>
      <c r="H1013" s="1"/>
      <c r="K1013" s="1"/>
      <c r="N1013" s="1"/>
      <c r="Q1013" s="1"/>
      <c r="T1013" s="1"/>
      <c r="W1013" s="1"/>
      <c r="Z1013" s="1"/>
      <c r="AC1013" s="3"/>
    </row>
    <row r="1014" ht="15.75" customHeight="1">
      <c r="E1014" s="1"/>
      <c r="H1014" s="1"/>
      <c r="K1014" s="1"/>
      <c r="N1014" s="1"/>
      <c r="Q1014" s="1"/>
      <c r="T1014" s="1"/>
      <c r="W1014" s="1"/>
      <c r="Z1014" s="1"/>
      <c r="AC1014" s="3"/>
    </row>
    <row r="1015" ht="15.75" customHeight="1">
      <c r="E1015" s="1"/>
      <c r="H1015" s="1"/>
      <c r="K1015" s="1"/>
      <c r="N1015" s="1"/>
      <c r="Q1015" s="1"/>
      <c r="T1015" s="1"/>
      <c r="W1015" s="1"/>
      <c r="Z1015" s="1"/>
      <c r="AC1015" s="3"/>
    </row>
    <row r="1016" ht="15.75" customHeight="1">
      <c r="E1016" s="1"/>
      <c r="H1016" s="1"/>
      <c r="K1016" s="1"/>
      <c r="N1016" s="1"/>
      <c r="Q1016" s="1"/>
      <c r="T1016" s="1"/>
      <c r="W1016" s="1"/>
      <c r="Z1016" s="1"/>
      <c r="AC1016" s="3"/>
    </row>
    <row r="1017" ht="15.75" customHeight="1">
      <c r="E1017" s="1"/>
      <c r="H1017" s="1"/>
      <c r="K1017" s="1"/>
      <c r="N1017" s="1"/>
      <c r="Q1017" s="1"/>
      <c r="T1017" s="1"/>
      <c r="W1017" s="1"/>
      <c r="Z1017" s="1"/>
      <c r="AC1017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7.0"/>
    <col customWidth="1" min="25" max="25" width="7.14"/>
    <col customWidth="1" min="26" max="26" width="13.86"/>
    <col customWidth="1" min="27" max="27" width="12.43"/>
    <col customWidth="1" min="28" max="28" width="17.29"/>
    <col customWidth="1" min="29" max="29" width="15.86"/>
    <col customWidth="1" min="30" max="30" width="63.29"/>
    <col customWidth="1" min="31" max="31" width="8.71"/>
  </cols>
  <sheetData>
    <row r="1">
      <c r="E1" s="1"/>
      <c r="H1" s="1"/>
      <c r="K1" s="1"/>
      <c r="N1" s="1"/>
      <c r="Q1" s="1"/>
      <c r="T1" s="1"/>
      <c r="W1" s="1"/>
      <c r="Y1" s="1"/>
      <c r="AB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7"/>
      <c r="Z2" s="4"/>
      <c r="AA2" s="4"/>
      <c r="AB2" s="4"/>
      <c r="AC2" s="4"/>
      <c r="AD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12" t="s">
        <v>14</v>
      </c>
      <c r="Z3" s="4" t="s">
        <v>6</v>
      </c>
      <c r="AA3" s="4" t="s">
        <v>7</v>
      </c>
      <c r="AB3" s="38" t="s">
        <v>15</v>
      </c>
      <c r="AC3" s="4" t="s">
        <v>16</v>
      </c>
      <c r="AD3" s="4" t="s">
        <v>17</v>
      </c>
    </row>
    <row r="4">
      <c r="A4" s="61" t="s">
        <v>20</v>
      </c>
      <c r="B4" s="61" t="s">
        <v>21</v>
      </c>
      <c r="C4" s="71">
        <v>45421.0</v>
      </c>
      <c r="D4" s="71">
        <v>45428.0</v>
      </c>
      <c r="E4" s="57"/>
      <c r="F4" s="17">
        <f t="shared" ref="F4:F52" si="1">PRODUCT(E4)*214.22</f>
        <v>0</v>
      </c>
      <c r="G4" s="47"/>
      <c r="H4" s="57"/>
      <c r="I4" s="17">
        <f t="shared" ref="I4:I39" si="2">PRODUCT(H4)*316.77</f>
        <v>0</v>
      </c>
      <c r="J4" s="17"/>
      <c r="K4" s="57">
        <v>4.0</v>
      </c>
      <c r="L4" s="17">
        <f t="shared" ref="L4:L45" si="3">PRODUCT(K4)*188.57</f>
        <v>754.28</v>
      </c>
      <c r="M4" s="47">
        <v>565.71</v>
      </c>
      <c r="N4" s="57"/>
      <c r="O4" s="17">
        <f t="shared" ref="O4:O16" si="4">PRODUCT(N4)*58.85</f>
        <v>0</v>
      </c>
      <c r="P4" s="17"/>
      <c r="Q4" s="16"/>
      <c r="R4" s="17">
        <f t="shared" ref="R4:R52" si="5">PRODUCT(Q4)*30.16</f>
        <v>0</v>
      </c>
      <c r="S4" s="17"/>
      <c r="T4" s="57">
        <v>12.0</v>
      </c>
      <c r="U4" s="17">
        <f t="shared" ref="U4:U52" si="6">PRODUCT(T4)*5.07</f>
        <v>60.84</v>
      </c>
      <c r="V4" s="47">
        <v>60.84</v>
      </c>
      <c r="W4" s="57">
        <v>10.0</v>
      </c>
      <c r="X4" s="17">
        <f t="shared" ref="X4:X52" si="7">PRODUCT(W4)*18.22</f>
        <v>182.2</v>
      </c>
      <c r="Y4" s="63"/>
      <c r="Z4" s="17">
        <f t="shared" ref="Z4:Z52" si="8">PRODUCT(Y4)*33.37</f>
        <v>0</v>
      </c>
      <c r="AA4" s="17"/>
      <c r="AB4" s="48">
        <v>0.0</v>
      </c>
      <c r="AC4" s="50">
        <v>45431.0</v>
      </c>
      <c r="AD4" s="23"/>
    </row>
    <row r="5">
      <c r="A5" s="61" t="s">
        <v>214</v>
      </c>
      <c r="B5" s="61" t="s">
        <v>137</v>
      </c>
      <c r="C5" s="62">
        <v>45398.0</v>
      </c>
      <c r="D5" s="62">
        <v>45405.0</v>
      </c>
      <c r="E5" s="57"/>
      <c r="F5" s="17">
        <f t="shared" si="1"/>
        <v>0</v>
      </c>
      <c r="G5" s="17"/>
      <c r="H5" s="57">
        <v>8.0</v>
      </c>
      <c r="I5" s="17">
        <f t="shared" si="2"/>
        <v>2534.16</v>
      </c>
      <c r="J5" s="47">
        <v>2534.16</v>
      </c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>
        <v>4.0</v>
      </c>
      <c r="X5" s="17">
        <f t="shared" si="7"/>
        <v>72.88</v>
      </c>
      <c r="Y5" s="20"/>
      <c r="Z5" s="17">
        <f t="shared" si="8"/>
        <v>0</v>
      </c>
      <c r="AA5" s="17"/>
      <c r="AB5" s="21">
        <f t="shared" ref="AB5:AB6" si="9">SUM(F5+I5+L5+O5+R5)</f>
        <v>2534.16</v>
      </c>
      <c r="AC5" s="50">
        <v>45431.0</v>
      </c>
      <c r="AD5" s="24"/>
    </row>
    <row r="6">
      <c r="A6" s="61" t="s">
        <v>241</v>
      </c>
      <c r="B6" s="61" t="s">
        <v>25</v>
      </c>
      <c r="C6" s="71">
        <v>45421.0</v>
      </c>
      <c r="D6" s="62">
        <v>45421.0</v>
      </c>
      <c r="E6" s="57">
        <v>1.0</v>
      </c>
      <c r="F6" s="17">
        <f t="shared" si="1"/>
        <v>214.22</v>
      </c>
      <c r="G6" s="47">
        <v>214.22</v>
      </c>
      <c r="H6" s="57">
        <v>0.0</v>
      </c>
      <c r="I6" s="17">
        <f t="shared" si="2"/>
        <v>0</v>
      </c>
      <c r="J6" s="17"/>
      <c r="K6" s="16"/>
      <c r="L6" s="17">
        <f t="shared" si="3"/>
        <v>0</v>
      </c>
      <c r="M6" s="17"/>
      <c r="N6" s="57"/>
      <c r="O6" s="17">
        <f t="shared" si="4"/>
        <v>0</v>
      </c>
      <c r="P6" s="17"/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63"/>
      <c r="Z6" s="17">
        <f t="shared" si="8"/>
        <v>0</v>
      </c>
      <c r="AA6" s="17"/>
      <c r="AB6" s="21">
        <f t="shared" si="9"/>
        <v>214.22</v>
      </c>
      <c r="AC6" s="26"/>
      <c r="AD6" s="24"/>
    </row>
    <row r="7">
      <c r="A7" s="58" t="s">
        <v>242</v>
      </c>
      <c r="B7" s="58" t="s">
        <v>243</v>
      </c>
      <c r="C7" s="62">
        <v>45409.0</v>
      </c>
      <c r="D7" s="62">
        <v>45425.0</v>
      </c>
      <c r="E7" s="57">
        <v>1.0</v>
      </c>
      <c r="F7" s="17">
        <f t="shared" si="1"/>
        <v>214.22</v>
      </c>
      <c r="G7" s="47">
        <v>214.0</v>
      </c>
      <c r="H7" s="57">
        <v>17.0</v>
      </c>
      <c r="I7" s="17">
        <f t="shared" si="2"/>
        <v>5385.09</v>
      </c>
      <c r="J7" s="47">
        <v>5385.09</v>
      </c>
      <c r="K7" s="57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57">
        <v>12.0</v>
      </c>
      <c r="U7" s="17">
        <f t="shared" si="6"/>
        <v>60.84</v>
      </c>
      <c r="V7" s="47">
        <v>60.84</v>
      </c>
      <c r="W7" s="57">
        <v>10.0</v>
      </c>
      <c r="X7" s="17">
        <f t="shared" si="7"/>
        <v>182.2</v>
      </c>
      <c r="Y7" s="63"/>
      <c r="Z7" s="17">
        <f t="shared" si="8"/>
        <v>0</v>
      </c>
      <c r="AA7" s="17"/>
      <c r="AB7" s="48">
        <v>0.0</v>
      </c>
      <c r="AC7" s="50">
        <v>45431.0</v>
      </c>
      <c r="AD7" s="24"/>
    </row>
    <row r="8">
      <c r="A8" s="58" t="s">
        <v>244</v>
      </c>
      <c r="B8" s="58" t="s">
        <v>245</v>
      </c>
      <c r="C8" s="71">
        <v>45418.0</v>
      </c>
      <c r="D8" s="62">
        <v>45418.0</v>
      </c>
      <c r="E8" s="57">
        <v>1.0</v>
      </c>
      <c r="F8" s="17">
        <f t="shared" si="1"/>
        <v>214.22</v>
      </c>
      <c r="G8" s="47">
        <v>214.22</v>
      </c>
      <c r="H8" s="16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16"/>
      <c r="X8" s="17">
        <f t="shared" si="7"/>
        <v>0</v>
      </c>
      <c r="Y8" s="20"/>
      <c r="Z8" s="17">
        <f t="shared" si="8"/>
        <v>0</v>
      </c>
      <c r="AA8" s="17"/>
      <c r="AB8" s="48">
        <v>0.0</v>
      </c>
      <c r="AC8" s="49">
        <v>45431.0</v>
      </c>
      <c r="AD8" s="23"/>
    </row>
    <row r="9">
      <c r="A9" s="58" t="s">
        <v>230</v>
      </c>
      <c r="B9" s="58" t="s">
        <v>149</v>
      </c>
      <c r="C9" s="71">
        <v>45421.0</v>
      </c>
      <c r="D9" s="71">
        <v>45421.0</v>
      </c>
      <c r="E9" s="57">
        <v>1.0</v>
      </c>
      <c r="F9" s="17">
        <f t="shared" si="1"/>
        <v>214.22</v>
      </c>
      <c r="G9" s="47">
        <v>214.22</v>
      </c>
      <c r="H9" s="57"/>
      <c r="I9" s="17">
        <f t="shared" si="2"/>
        <v>0</v>
      </c>
      <c r="J9" s="17"/>
      <c r="K9" s="57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20"/>
      <c r="Z9" s="17">
        <f t="shared" si="8"/>
        <v>0</v>
      </c>
      <c r="AA9" s="17"/>
      <c r="AB9" s="48">
        <v>0.0</v>
      </c>
      <c r="AC9" s="76">
        <v>45431.0</v>
      </c>
      <c r="AD9" s="23"/>
    </row>
    <row r="10">
      <c r="A10" s="58" t="s">
        <v>183</v>
      </c>
      <c r="B10" s="58" t="s">
        <v>184</v>
      </c>
      <c r="C10" s="71">
        <v>45404.0</v>
      </c>
      <c r="D10" s="71">
        <v>45428.0</v>
      </c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>
        <v>16.0</v>
      </c>
      <c r="L10" s="17">
        <f t="shared" si="3"/>
        <v>3017.12</v>
      </c>
      <c r="M10" s="47">
        <v>3017.12</v>
      </c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/>
      <c r="U10" s="17">
        <f t="shared" si="6"/>
        <v>0</v>
      </c>
      <c r="V10" s="17"/>
      <c r="W10" s="57"/>
      <c r="X10" s="17">
        <f t="shared" si="7"/>
        <v>0</v>
      </c>
      <c r="Y10" s="20"/>
      <c r="Z10" s="17">
        <f t="shared" si="8"/>
        <v>0</v>
      </c>
      <c r="AA10" s="50"/>
      <c r="AB10" s="48">
        <v>0.0</v>
      </c>
      <c r="AC10" s="50">
        <v>45431.0</v>
      </c>
      <c r="AD10" s="23"/>
    </row>
    <row r="11">
      <c r="A11" s="58" t="s">
        <v>55</v>
      </c>
      <c r="B11" s="58" t="s">
        <v>233</v>
      </c>
      <c r="C11" s="71">
        <v>45425.0</v>
      </c>
      <c r="D11" s="62">
        <v>45429.0</v>
      </c>
      <c r="E11" s="16"/>
      <c r="F11" s="17">
        <f t="shared" si="1"/>
        <v>0</v>
      </c>
      <c r="G11" s="17"/>
      <c r="H11" s="57"/>
      <c r="I11" s="17">
        <f t="shared" si="2"/>
        <v>0</v>
      </c>
      <c r="J11" s="47"/>
      <c r="K11" s="57">
        <v>4.0</v>
      </c>
      <c r="L11" s="17">
        <f t="shared" si="3"/>
        <v>754.28</v>
      </c>
      <c r="M11" s="47">
        <v>754.28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57"/>
      <c r="U11" s="17">
        <f t="shared" si="6"/>
        <v>0</v>
      </c>
      <c r="V11" s="17"/>
      <c r="W11" s="57"/>
      <c r="X11" s="17">
        <f t="shared" si="7"/>
        <v>0</v>
      </c>
      <c r="Y11" s="63"/>
      <c r="Z11" s="17">
        <f t="shared" si="8"/>
        <v>0</v>
      </c>
      <c r="AA11" s="17"/>
      <c r="AB11" s="48">
        <v>0.0</v>
      </c>
      <c r="AC11" s="49">
        <v>45431.0</v>
      </c>
      <c r="AD11" s="89"/>
    </row>
    <row r="12">
      <c r="A12" s="58" t="s">
        <v>225</v>
      </c>
      <c r="B12" s="58" t="s">
        <v>226</v>
      </c>
      <c r="C12" s="62">
        <v>45425.0</v>
      </c>
      <c r="D12" s="62">
        <v>45427.0</v>
      </c>
      <c r="E12" s="16"/>
      <c r="F12" s="17">
        <f t="shared" si="1"/>
        <v>0</v>
      </c>
      <c r="G12" s="17"/>
      <c r="H12" s="57"/>
      <c r="I12" s="17">
        <f t="shared" si="2"/>
        <v>0</v>
      </c>
      <c r="J12" s="17"/>
      <c r="K12" s="57">
        <v>3.0</v>
      </c>
      <c r="L12" s="17">
        <f t="shared" si="3"/>
        <v>565.71</v>
      </c>
      <c r="M12" s="47">
        <v>565.71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20"/>
      <c r="Z12" s="17">
        <f t="shared" si="8"/>
        <v>0</v>
      </c>
      <c r="AA12" s="17"/>
      <c r="AB12" s="48">
        <v>0.0</v>
      </c>
      <c r="AC12" s="50">
        <v>45431.0</v>
      </c>
      <c r="AD12" s="23"/>
    </row>
    <row r="13">
      <c r="A13" s="58" t="s">
        <v>115</v>
      </c>
      <c r="B13" s="58" t="s">
        <v>150</v>
      </c>
      <c r="C13" s="62">
        <v>45425.0</v>
      </c>
      <c r="D13" s="62">
        <v>45428.0</v>
      </c>
      <c r="E13" s="16"/>
      <c r="F13" s="17">
        <f t="shared" si="1"/>
        <v>0</v>
      </c>
      <c r="G13" s="47"/>
      <c r="H13" s="57"/>
      <c r="I13" s="17">
        <f t="shared" si="2"/>
        <v>0</v>
      </c>
      <c r="J13" s="17"/>
      <c r="K13" s="57">
        <v>4.0</v>
      </c>
      <c r="L13" s="17">
        <f t="shared" si="3"/>
        <v>754.28</v>
      </c>
      <c r="M13" s="47">
        <v>754.28</v>
      </c>
      <c r="N13" s="16"/>
      <c r="O13" s="17">
        <f t="shared" si="4"/>
        <v>0</v>
      </c>
      <c r="P13" s="17"/>
      <c r="Q13" s="57"/>
      <c r="R13" s="17">
        <f t="shared" si="5"/>
        <v>0</v>
      </c>
      <c r="S13" s="17"/>
      <c r="T13" s="57">
        <v>20.0</v>
      </c>
      <c r="U13" s="17">
        <f t="shared" si="6"/>
        <v>101.4</v>
      </c>
      <c r="V13" s="47">
        <v>101.4</v>
      </c>
      <c r="W13" s="57">
        <v>10.0</v>
      </c>
      <c r="X13" s="17">
        <f t="shared" si="7"/>
        <v>182.2</v>
      </c>
      <c r="Y13" s="63">
        <v>12.0</v>
      </c>
      <c r="Z13" s="17">
        <f t="shared" si="8"/>
        <v>400.44</v>
      </c>
      <c r="AA13" s="17"/>
      <c r="AB13" s="48">
        <v>0.0</v>
      </c>
      <c r="AC13" s="50">
        <v>45431.0</v>
      </c>
      <c r="AD13" s="23"/>
    </row>
    <row r="14">
      <c r="A14" s="58" t="s">
        <v>109</v>
      </c>
      <c r="B14" s="58" t="s">
        <v>206</v>
      </c>
      <c r="C14" s="62"/>
      <c r="D14" s="62"/>
      <c r="E14" s="57"/>
      <c r="F14" s="17">
        <f t="shared" si="1"/>
        <v>0</v>
      </c>
      <c r="G14" s="17"/>
      <c r="H14" s="57"/>
      <c r="I14" s="17">
        <f t="shared" si="2"/>
        <v>0</v>
      </c>
      <c r="J14" s="47"/>
      <c r="K14" s="57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63"/>
      <c r="Z14" s="17">
        <f t="shared" si="8"/>
        <v>0</v>
      </c>
      <c r="AA14" s="17"/>
      <c r="AB14" s="21">
        <f>SUM(F14+I14+L14+O14+R14)</f>
        <v>0</v>
      </c>
      <c r="AC14" s="26"/>
      <c r="AD14" s="23"/>
    </row>
    <row r="15">
      <c r="A15" s="58" t="s">
        <v>207</v>
      </c>
      <c r="B15" s="58" t="s">
        <v>208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17"/>
      <c r="K15" s="57"/>
      <c r="L15" s="17">
        <f t="shared" si="3"/>
        <v>0</v>
      </c>
      <c r="M15" s="4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57"/>
      <c r="U15" s="17">
        <f t="shared" si="6"/>
        <v>0</v>
      </c>
      <c r="V15" s="17"/>
      <c r="W15" s="16"/>
      <c r="X15" s="17">
        <f t="shared" si="7"/>
        <v>0</v>
      </c>
      <c r="Y15" s="63"/>
      <c r="Z15" s="17">
        <f t="shared" si="8"/>
        <v>0</v>
      </c>
      <c r="AA15" s="17"/>
      <c r="AB15" s="48">
        <v>0.0</v>
      </c>
      <c r="AC15" s="50"/>
      <c r="AD15" s="23"/>
    </row>
    <row r="16">
      <c r="A16" s="58" t="s">
        <v>109</v>
      </c>
      <c r="B16" s="58" t="s">
        <v>110</v>
      </c>
      <c r="C16" s="62">
        <v>45421.0</v>
      </c>
      <c r="D16" s="62">
        <v>45427.0</v>
      </c>
      <c r="E16" s="16"/>
      <c r="F16" s="17">
        <f t="shared" si="1"/>
        <v>0</v>
      </c>
      <c r="G16" s="17"/>
      <c r="H16" s="57"/>
      <c r="I16" s="17">
        <f t="shared" si="2"/>
        <v>0</v>
      </c>
      <c r="J16" s="17"/>
      <c r="K16" s="57">
        <v>5.0</v>
      </c>
      <c r="L16" s="17">
        <f t="shared" si="3"/>
        <v>942.85</v>
      </c>
      <c r="M16" s="47">
        <v>942.85</v>
      </c>
      <c r="N16" s="16"/>
      <c r="O16" s="17">
        <f t="shared" si="4"/>
        <v>0</v>
      </c>
      <c r="P16" s="17"/>
      <c r="Q16" s="57"/>
      <c r="R16" s="17">
        <f t="shared" si="5"/>
        <v>0</v>
      </c>
      <c r="S16" s="17"/>
      <c r="T16" s="57">
        <v>8.0</v>
      </c>
      <c r="U16" s="17">
        <f t="shared" si="6"/>
        <v>40.56</v>
      </c>
      <c r="V16" s="47">
        <v>40.56</v>
      </c>
      <c r="W16" s="57"/>
      <c r="X16" s="17">
        <f t="shared" si="7"/>
        <v>0</v>
      </c>
      <c r="Y16" s="20"/>
      <c r="Z16" s="17">
        <f t="shared" si="8"/>
        <v>0</v>
      </c>
      <c r="AA16" s="17"/>
      <c r="AB16" s="48">
        <v>0.0</v>
      </c>
      <c r="AC16" s="49">
        <v>45431.0</v>
      </c>
      <c r="AD16" s="23"/>
    </row>
    <row r="17">
      <c r="A17" s="58" t="s">
        <v>53</v>
      </c>
      <c r="B17" s="58" t="s">
        <v>187</v>
      </c>
      <c r="C17" s="62">
        <v>45422.0</v>
      </c>
      <c r="D17" s="62">
        <v>45428.0</v>
      </c>
      <c r="E17" s="57"/>
      <c r="F17" s="17">
        <f t="shared" si="1"/>
        <v>0</v>
      </c>
      <c r="G17" s="17"/>
      <c r="H17" s="57"/>
      <c r="I17" s="17">
        <f t="shared" si="2"/>
        <v>0</v>
      </c>
      <c r="J17" s="17"/>
      <c r="K17" s="57">
        <v>5.0</v>
      </c>
      <c r="L17" s="17">
        <f t="shared" si="3"/>
        <v>942.85</v>
      </c>
      <c r="M17" s="47">
        <v>942.85</v>
      </c>
      <c r="N17" s="16"/>
      <c r="O17" s="17">
        <f t="shared" ref="O17:O20" si="10">PRODUCT(N17)*188.57</f>
        <v>0</v>
      </c>
      <c r="P17" s="17"/>
      <c r="Q17" s="16"/>
      <c r="R17" s="17">
        <f t="shared" si="5"/>
        <v>0</v>
      </c>
      <c r="S17" s="17"/>
      <c r="T17" s="57">
        <v>16.0</v>
      </c>
      <c r="U17" s="17">
        <f t="shared" si="6"/>
        <v>81.12</v>
      </c>
      <c r="V17" s="47">
        <v>81.12</v>
      </c>
      <c r="W17" s="57">
        <v>13.0</v>
      </c>
      <c r="X17" s="17">
        <f t="shared" si="7"/>
        <v>236.86</v>
      </c>
      <c r="Y17" s="20"/>
      <c r="Z17" s="17">
        <f t="shared" si="8"/>
        <v>0</v>
      </c>
      <c r="AA17" s="17"/>
      <c r="AB17" s="48">
        <v>0.0</v>
      </c>
      <c r="AC17" s="50">
        <v>45431.0</v>
      </c>
      <c r="AD17" s="23"/>
    </row>
    <row r="18">
      <c r="A18" s="58" t="s">
        <v>119</v>
      </c>
      <c r="B18" s="58" t="s">
        <v>128</v>
      </c>
      <c r="C18" s="71">
        <v>45425.0</v>
      </c>
      <c r="D18" s="62">
        <v>45428.0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4.0</v>
      </c>
      <c r="L18" s="17">
        <f t="shared" si="3"/>
        <v>754.28</v>
      </c>
      <c r="M18" s="47">
        <v>754.28</v>
      </c>
      <c r="N18" s="16"/>
      <c r="O18" s="17">
        <f t="shared" si="10"/>
        <v>0</v>
      </c>
      <c r="P18" s="17"/>
      <c r="Q18" s="16"/>
      <c r="R18" s="17">
        <f t="shared" si="5"/>
        <v>0</v>
      </c>
      <c r="S18" s="17"/>
      <c r="T18" s="57">
        <v>12.0</v>
      </c>
      <c r="U18" s="17">
        <f t="shared" si="6"/>
        <v>60.84</v>
      </c>
      <c r="V18" s="47">
        <v>60.84</v>
      </c>
      <c r="W18" s="57">
        <v>10.0</v>
      </c>
      <c r="X18" s="17">
        <f t="shared" si="7"/>
        <v>182.2</v>
      </c>
      <c r="Y18" s="63"/>
      <c r="Z18" s="17">
        <f t="shared" si="8"/>
        <v>0</v>
      </c>
      <c r="AA18" s="17"/>
      <c r="AB18" s="48">
        <v>0.0</v>
      </c>
      <c r="AC18" s="50">
        <v>45431.0</v>
      </c>
      <c r="AD18" s="23"/>
    </row>
    <row r="19">
      <c r="A19" s="58" t="s">
        <v>141</v>
      </c>
      <c r="B19" s="58" t="s">
        <v>188</v>
      </c>
      <c r="C19" s="62"/>
      <c r="D19" s="62"/>
      <c r="E19" s="16"/>
      <c r="F19" s="17">
        <f t="shared" si="1"/>
        <v>0</v>
      </c>
      <c r="G19" s="17"/>
      <c r="H19" s="57"/>
      <c r="I19" s="17">
        <f t="shared" si="2"/>
        <v>0</v>
      </c>
      <c r="J19" s="17"/>
      <c r="K19" s="57"/>
      <c r="L19" s="17">
        <f t="shared" si="3"/>
        <v>0</v>
      </c>
      <c r="M19" s="47"/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57"/>
      <c r="U19" s="17">
        <f t="shared" si="6"/>
        <v>0</v>
      </c>
      <c r="V19" s="17"/>
      <c r="W19" s="16"/>
      <c r="X19" s="17">
        <f t="shared" si="7"/>
        <v>0</v>
      </c>
      <c r="Y19" s="20"/>
      <c r="Z19" s="17">
        <f t="shared" si="8"/>
        <v>0</v>
      </c>
      <c r="AA19" s="17"/>
      <c r="AB19" s="48">
        <v>0.0</v>
      </c>
      <c r="AC19" s="50"/>
      <c r="AD19" s="23"/>
    </row>
    <row r="20">
      <c r="A20" s="58" t="s">
        <v>174</v>
      </c>
      <c r="B20" s="58" t="s">
        <v>189</v>
      </c>
      <c r="C20" s="62">
        <v>45421.0</v>
      </c>
      <c r="D20" s="62">
        <v>45427.0</v>
      </c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>
        <v>2.0</v>
      </c>
      <c r="L20" s="17">
        <f t="shared" si="3"/>
        <v>377.14</v>
      </c>
      <c r="M20" s="47">
        <v>377.14</v>
      </c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57"/>
      <c r="X20" s="17">
        <f t="shared" si="7"/>
        <v>0</v>
      </c>
      <c r="Y20" s="63"/>
      <c r="Z20" s="17">
        <f t="shared" si="8"/>
        <v>0</v>
      </c>
      <c r="AA20" s="17"/>
      <c r="AB20" s="48">
        <v>0.0</v>
      </c>
      <c r="AC20" s="49">
        <v>45431.0</v>
      </c>
      <c r="AD20" s="23"/>
    </row>
    <row r="21">
      <c r="A21" s="95" t="s">
        <v>47</v>
      </c>
      <c r="B21" s="96" t="s">
        <v>48</v>
      </c>
      <c r="C21" s="62">
        <v>45425.0</v>
      </c>
      <c r="D21" s="62">
        <v>45428.0</v>
      </c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57">
        <v>4.0</v>
      </c>
      <c r="L21" s="17">
        <f t="shared" si="3"/>
        <v>754.28</v>
      </c>
      <c r="M21" s="47">
        <v>754.28</v>
      </c>
      <c r="N21" s="16"/>
      <c r="O21" s="17">
        <f>PRODUCT(N18)*188.57</f>
        <v>0</v>
      </c>
      <c r="P21" s="17"/>
      <c r="Q21" s="16"/>
      <c r="R21" s="17">
        <f t="shared" si="5"/>
        <v>0</v>
      </c>
      <c r="S21" s="17"/>
      <c r="T21" s="57">
        <v>24.0</v>
      </c>
      <c r="U21" s="17">
        <f t="shared" si="6"/>
        <v>121.68</v>
      </c>
      <c r="V21" s="47">
        <v>121.68</v>
      </c>
      <c r="W21" s="57">
        <v>10.0</v>
      </c>
      <c r="X21" s="17">
        <f t="shared" si="7"/>
        <v>182.2</v>
      </c>
      <c r="Y21" s="20"/>
      <c r="Z21" s="17">
        <f t="shared" si="8"/>
        <v>0</v>
      </c>
      <c r="AA21" s="17"/>
      <c r="AB21" s="48">
        <v>0.0</v>
      </c>
      <c r="AC21" s="50">
        <v>45431.0</v>
      </c>
      <c r="AD21" s="23"/>
    </row>
    <row r="22">
      <c r="A22" s="58" t="s">
        <v>85</v>
      </c>
      <c r="B22" s="58" t="s">
        <v>86</v>
      </c>
      <c r="C22" s="71">
        <v>45421.0</v>
      </c>
      <c r="D22" s="71">
        <v>45425.0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47"/>
      <c r="K22" s="57">
        <v>1.0</v>
      </c>
      <c r="L22" s="17">
        <f t="shared" si="3"/>
        <v>188.57</v>
      </c>
      <c r="M22" s="47">
        <v>188.57</v>
      </c>
      <c r="N22" s="57">
        <v>3.0</v>
      </c>
      <c r="O22" s="17">
        <f t="shared" ref="O22:O52" si="11">PRODUCT(N22)*58.85</f>
        <v>176.55</v>
      </c>
      <c r="P22" s="47">
        <v>176.55</v>
      </c>
      <c r="Q22" s="57"/>
      <c r="R22" s="17">
        <f t="shared" si="5"/>
        <v>0</v>
      </c>
      <c r="S22" s="17"/>
      <c r="T22" s="57">
        <v>12.0</v>
      </c>
      <c r="U22" s="17">
        <f t="shared" si="6"/>
        <v>60.84</v>
      </c>
      <c r="V22" s="47">
        <v>60.84</v>
      </c>
      <c r="W22" s="57">
        <v>11.0</v>
      </c>
      <c r="X22" s="17">
        <f t="shared" si="7"/>
        <v>200.42</v>
      </c>
      <c r="Y22" s="63"/>
      <c r="Z22" s="17">
        <f t="shared" si="8"/>
        <v>0</v>
      </c>
      <c r="AA22" s="17"/>
      <c r="AB22" s="48">
        <v>0.0</v>
      </c>
      <c r="AC22" s="49">
        <v>45431.0</v>
      </c>
      <c r="AD22" s="23"/>
    </row>
    <row r="23">
      <c r="A23" s="61" t="s">
        <v>67</v>
      </c>
      <c r="B23" s="58" t="s">
        <v>68</v>
      </c>
      <c r="C23" s="71">
        <v>45425.0</v>
      </c>
      <c r="D23" s="62">
        <v>45428.0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>
        <v>4.0</v>
      </c>
      <c r="L23" s="17">
        <f t="shared" si="3"/>
        <v>754.28</v>
      </c>
      <c r="M23" s="47">
        <v>754.28</v>
      </c>
      <c r="N23" s="16"/>
      <c r="O23" s="17">
        <f t="shared" si="11"/>
        <v>0</v>
      </c>
      <c r="P23" s="17"/>
      <c r="Q23" s="16"/>
      <c r="R23" s="17">
        <f t="shared" si="5"/>
        <v>0</v>
      </c>
      <c r="S23" s="17"/>
      <c r="T23" s="57">
        <v>16.0</v>
      </c>
      <c r="U23" s="17">
        <f t="shared" si="6"/>
        <v>81.12</v>
      </c>
      <c r="V23" s="47">
        <v>81.12</v>
      </c>
      <c r="W23" s="57">
        <v>10.0</v>
      </c>
      <c r="X23" s="17">
        <f t="shared" si="7"/>
        <v>182.2</v>
      </c>
      <c r="Y23" s="63"/>
      <c r="Z23" s="17">
        <f t="shared" si="8"/>
        <v>0</v>
      </c>
      <c r="AA23" s="17"/>
      <c r="AB23" s="48">
        <v>0.0</v>
      </c>
      <c r="AC23" s="50">
        <v>45438.0</v>
      </c>
      <c r="AD23" s="23"/>
    </row>
    <row r="24">
      <c r="A24" s="58" t="s">
        <v>71</v>
      </c>
      <c r="B24" s="58" t="s">
        <v>96</v>
      </c>
      <c r="C24" s="62">
        <v>45425.0</v>
      </c>
      <c r="D24" s="62">
        <v>45428.0</v>
      </c>
      <c r="E24" s="16"/>
      <c r="F24" s="17">
        <f t="shared" si="1"/>
        <v>0</v>
      </c>
      <c r="G24" s="17"/>
      <c r="H24" s="57"/>
      <c r="I24" s="17">
        <f t="shared" si="2"/>
        <v>0</v>
      </c>
      <c r="J24" s="17"/>
      <c r="K24" s="57">
        <v>4.0</v>
      </c>
      <c r="L24" s="17">
        <f t="shared" si="3"/>
        <v>754.28</v>
      </c>
      <c r="M24" s="47">
        <v>754.28</v>
      </c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57"/>
      <c r="X24" s="17">
        <f t="shared" si="7"/>
        <v>0</v>
      </c>
      <c r="Y24" s="20"/>
      <c r="Z24" s="17">
        <f t="shared" si="8"/>
        <v>0</v>
      </c>
      <c r="AA24" s="50"/>
      <c r="AB24" s="48">
        <v>0.0</v>
      </c>
      <c r="AC24" s="50">
        <v>45431.0</v>
      </c>
      <c r="AD24" s="23"/>
    </row>
    <row r="25">
      <c r="A25" s="58" t="s">
        <v>99</v>
      </c>
      <c r="B25" s="58" t="s">
        <v>100</v>
      </c>
      <c r="C25" s="62">
        <v>45427.0</v>
      </c>
      <c r="D25" s="62">
        <v>45427.0</v>
      </c>
      <c r="E25" s="16"/>
      <c r="F25" s="17">
        <f t="shared" si="1"/>
        <v>0</v>
      </c>
      <c r="G25" s="47"/>
      <c r="H25" s="57"/>
      <c r="I25" s="17">
        <f t="shared" si="2"/>
        <v>0</v>
      </c>
      <c r="J25" s="17"/>
      <c r="K25" s="57">
        <v>1.0</v>
      </c>
      <c r="L25" s="17">
        <f t="shared" si="3"/>
        <v>188.57</v>
      </c>
      <c r="M25" s="47">
        <v>188.57</v>
      </c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/>
      <c r="U25" s="17">
        <f t="shared" si="6"/>
        <v>0</v>
      </c>
      <c r="V25" s="17"/>
      <c r="W25" s="57">
        <v>22.0</v>
      </c>
      <c r="X25" s="17">
        <f t="shared" si="7"/>
        <v>400.84</v>
      </c>
      <c r="Y25" s="63">
        <v>19.0</v>
      </c>
      <c r="Z25" s="17">
        <f t="shared" si="8"/>
        <v>634.03</v>
      </c>
      <c r="AA25" s="17"/>
      <c r="AB25" s="48">
        <v>0.0</v>
      </c>
      <c r="AC25" s="50">
        <v>45431.0</v>
      </c>
      <c r="AD25" s="23"/>
    </row>
    <row r="26" ht="15.75" customHeight="1">
      <c r="A26" s="58" t="s">
        <v>113</v>
      </c>
      <c r="B26" s="58" t="s">
        <v>114</v>
      </c>
      <c r="C26" s="62">
        <v>45414.0</v>
      </c>
      <c r="D26" s="62">
        <v>45414.0</v>
      </c>
      <c r="E26" s="57">
        <v>1.0</v>
      </c>
      <c r="F26" s="17">
        <f t="shared" si="1"/>
        <v>214.22</v>
      </c>
      <c r="G26" s="47">
        <v>214.22</v>
      </c>
      <c r="H26" s="57">
        <v>13.0</v>
      </c>
      <c r="I26" s="17">
        <f t="shared" si="2"/>
        <v>4118.01</v>
      </c>
      <c r="J26" s="47">
        <v>4118.01</v>
      </c>
      <c r="K26" s="57"/>
      <c r="L26" s="17">
        <f t="shared" si="3"/>
        <v>0</v>
      </c>
      <c r="M26" s="17"/>
      <c r="N26" s="16"/>
      <c r="O26" s="17">
        <f t="shared" si="11"/>
        <v>0</v>
      </c>
      <c r="P26" s="17"/>
      <c r="Q26" s="57"/>
      <c r="R26" s="17">
        <f t="shared" si="5"/>
        <v>0</v>
      </c>
      <c r="S26" s="17"/>
      <c r="T26" s="57"/>
      <c r="U26" s="17">
        <f t="shared" si="6"/>
        <v>0</v>
      </c>
      <c r="V26" s="17"/>
      <c r="W26" s="57">
        <v>10.0</v>
      </c>
      <c r="X26" s="17">
        <f t="shared" si="7"/>
        <v>182.2</v>
      </c>
      <c r="Y26" s="20"/>
      <c r="Z26" s="17">
        <f t="shared" si="8"/>
        <v>0</v>
      </c>
      <c r="AA26" s="17"/>
      <c r="AB26" s="48">
        <v>0.0</v>
      </c>
      <c r="AC26" s="50">
        <v>45431.0</v>
      </c>
      <c r="AD26" s="23"/>
    </row>
    <row r="27" ht="15.75" customHeight="1">
      <c r="A27" s="58" t="s">
        <v>65</v>
      </c>
      <c r="B27" s="58" t="s">
        <v>160</v>
      </c>
      <c r="C27" s="62">
        <v>45397.0</v>
      </c>
      <c r="D27" s="62">
        <v>45428.0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47"/>
      <c r="K27" s="57">
        <v>16.0</v>
      </c>
      <c r="L27" s="17">
        <f t="shared" si="3"/>
        <v>3017.12</v>
      </c>
      <c r="M27" s="47">
        <v>2828.55</v>
      </c>
      <c r="N27" s="57"/>
      <c r="O27" s="17">
        <f t="shared" si="11"/>
        <v>0</v>
      </c>
      <c r="P27" s="17"/>
      <c r="Q27" s="16"/>
      <c r="R27" s="17">
        <f t="shared" si="5"/>
        <v>0</v>
      </c>
      <c r="S27" s="17"/>
      <c r="T27" s="57"/>
      <c r="U27" s="17">
        <f t="shared" si="6"/>
        <v>0</v>
      </c>
      <c r="V27" s="17"/>
      <c r="W27" s="57"/>
      <c r="X27" s="17">
        <f t="shared" si="7"/>
        <v>0</v>
      </c>
      <c r="Y27" s="63">
        <v>18.0</v>
      </c>
      <c r="Z27" s="17">
        <f t="shared" si="8"/>
        <v>600.66</v>
      </c>
      <c r="AA27" s="47">
        <v>600.66</v>
      </c>
      <c r="AB27" s="48">
        <v>0.0</v>
      </c>
      <c r="AC27" s="50">
        <v>45431.0</v>
      </c>
      <c r="AD27" s="23"/>
    </row>
    <row r="28" ht="15.75" customHeight="1">
      <c r="A28" s="61" t="s">
        <v>57</v>
      </c>
      <c r="B28" s="58" t="s">
        <v>58</v>
      </c>
      <c r="C28" s="62">
        <v>45426.0</v>
      </c>
      <c r="D28" s="62">
        <v>45428.0</v>
      </c>
      <c r="E28" s="16"/>
      <c r="F28" s="17">
        <f t="shared" si="1"/>
        <v>0</v>
      </c>
      <c r="G28" s="17"/>
      <c r="H28" s="57"/>
      <c r="I28" s="17">
        <f t="shared" si="2"/>
        <v>0</v>
      </c>
      <c r="J28" s="47"/>
      <c r="K28" s="57"/>
      <c r="L28" s="17">
        <f t="shared" si="3"/>
        <v>0</v>
      </c>
      <c r="M28" s="17"/>
      <c r="N28" s="57">
        <v>3.0</v>
      </c>
      <c r="O28" s="17">
        <f t="shared" si="11"/>
        <v>176.55</v>
      </c>
      <c r="P28" s="47">
        <v>176.55</v>
      </c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20"/>
      <c r="Z28" s="17">
        <f t="shared" si="8"/>
        <v>0</v>
      </c>
      <c r="AA28" s="17"/>
      <c r="AB28" s="48">
        <v>0.0</v>
      </c>
      <c r="AC28" s="49">
        <v>45438.0</v>
      </c>
      <c r="AD28" s="23"/>
    </row>
    <row r="29" ht="15.75" customHeight="1">
      <c r="A29" s="58" t="s">
        <v>121</v>
      </c>
      <c r="B29" s="58" t="s">
        <v>100</v>
      </c>
      <c r="C29" s="62"/>
      <c r="D29" s="62"/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57"/>
      <c r="L29" s="17">
        <f t="shared" si="3"/>
        <v>0</v>
      </c>
      <c r="M29" s="47"/>
      <c r="N29" s="60"/>
      <c r="O29" s="17">
        <f t="shared" si="11"/>
        <v>0</v>
      </c>
      <c r="P29" s="17"/>
      <c r="Q29" s="28"/>
      <c r="R29" s="17">
        <f t="shared" si="5"/>
        <v>0</v>
      </c>
      <c r="S29" s="17"/>
      <c r="T29" s="28"/>
      <c r="U29" s="17">
        <f t="shared" si="6"/>
        <v>0</v>
      </c>
      <c r="V29" s="17"/>
      <c r="W29" s="60"/>
      <c r="X29" s="17">
        <f t="shared" si="7"/>
        <v>0</v>
      </c>
      <c r="Y29" s="63"/>
      <c r="Z29" s="17">
        <f t="shared" si="8"/>
        <v>0</v>
      </c>
      <c r="AA29" s="17"/>
      <c r="AB29" s="21">
        <f>SUM(F29+I29+L29+O29+R29)</f>
        <v>0</v>
      </c>
      <c r="AC29" s="22"/>
      <c r="AD29" s="23"/>
    </row>
    <row r="30" ht="15.75" customHeight="1">
      <c r="A30" s="58" t="s">
        <v>115</v>
      </c>
      <c r="B30" s="58" t="s">
        <v>116</v>
      </c>
      <c r="C30" s="62">
        <v>45411.0</v>
      </c>
      <c r="D30" s="62">
        <v>45428.0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12.0</v>
      </c>
      <c r="L30" s="17">
        <f t="shared" si="3"/>
        <v>2262.84</v>
      </c>
      <c r="M30" s="47">
        <v>2262.84</v>
      </c>
      <c r="N30" s="28"/>
      <c r="O30" s="17">
        <f t="shared" si="11"/>
        <v>0</v>
      </c>
      <c r="P30" s="17"/>
      <c r="Q30" s="28"/>
      <c r="R30" s="17">
        <f t="shared" si="5"/>
        <v>0</v>
      </c>
      <c r="S30" s="17"/>
      <c r="T30" s="60">
        <v>36.0</v>
      </c>
      <c r="U30" s="17">
        <f t="shared" si="6"/>
        <v>182.52</v>
      </c>
      <c r="V30" s="47">
        <v>182.52</v>
      </c>
      <c r="W30" s="60">
        <v>14.0</v>
      </c>
      <c r="X30" s="17">
        <f t="shared" si="7"/>
        <v>255.08</v>
      </c>
      <c r="Y30" s="63">
        <v>24.0</v>
      </c>
      <c r="Z30" s="17">
        <f t="shared" si="8"/>
        <v>800.88</v>
      </c>
      <c r="AA30" s="50"/>
      <c r="AB30" s="48">
        <v>0.0</v>
      </c>
      <c r="AC30" s="50">
        <v>45431.0</v>
      </c>
      <c r="AD30" s="23"/>
    </row>
    <row r="31" ht="15.75" customHeight="1">
      <c r="A31" s="58" t="s">
        <v>234</v>
      </c>
      <c r="B31" s="58" t="s">
        <v>235</v>
      </c>
      <c r="C31" s="62"/>
      <c r="D31" s="62"/>
      <c r="E31" s="60"/>
      <c r="F31" s="17">
        <f t="shared" si="1"/>
        <v>0</v>
      </c>
      <c r="G31" s="17"/>
      <c r="H31" s="28"/>
      <c r="I31" s="17">
        <f t="shared" si="2"/>
        <v>0</v>
      </c>
      <c r="J31" s="17"/>
      <c r="K31" s="57"/>
      <c r="L31" s="17">
        <f t="shared" si="3"/>
        <v>0</v>
      </c>
      <c r="M31" s="47"/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60"/>
      <c r="U31" s="17">
        <f t="shared" si="6"/>
        <v>0</v>
      </c>
      <c r="V31" s="17"/>
      <c r="W31" s="60"/>
      <c r="X31" s="17">
        <f t="shared" si="7"/>
        <v>0</v>
      </c>
      <c r="Y31" s="20"/>
      <c r="Z31" s="17">
        <f t="shared" si="8"/>
        <v>0</v>
      </c>
      <c r="AA31" s="17"/>
      <c r="AB31" s="21">
        <f>SUM(F31+I31+L31+O31+R31)</f>
        <v>0</v>
      </c>
      <c r="AC31" s="22"/>
      <c r="AD31" s="23"/>
    </row>
    <row r="32" ht="15.75" customHeight="1">
      <c r="A32" s="58" t="s">
        <v>236</v>
      </c>
      <c r="B32" s="58" t="s">
        <v>237</v>
      </c>
      <c r="C32" s="62">
        <v>45425.0</v>
      </c>
      <c r="D32" s="62">
        <v>45428.0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3.0</v>
      </c>
      <c r="L32" s="17">
        <f t="shared" si="3"/>
        <v>565.71</v>
      </c>
      <c r="M32" s="47">
        <v>565.71</v>
      </c>
      <c r="N32" s="28"/>
      <c r="O32" s="17">
        <f t="shared" si="11"/>
        <v>0</v>
      </c>
      <c r="P32" s="17"/>
      <c r="Q32" s="60"/>
      <c r="R32" s="17">
        <f t="shared" si="5"/>
        <v>0</v>
      </c>
      <c r="S32" s="17"/>
      <c r="T32" s="28"/>
      <c r="U32" s="17">
        <f t="shared" si="6"/>
        <v>0</v>
      </c>
      <c r="V32" s="17"/>
      <c r="W32" s="60"/>
      <c r="X32" s="17">
        <f t="shared" si="7"/>
        <v>0</v>
      </c>
      <c r="Y32" s="63"/>
      <c r="Z32" s="17">
        <f t="shared" si="8"/>
        <v>0</v>
      </c>
      <c r="AA32" s="17"/>
      <c r="AB32" s="48">
        <v>0.0</v>
      </c>
      <c r="AC32" s="49">
        <v>45431.0</v>
      </c>
      <c r="AD32" s="23"/>
    </row>
    <row r="33" ht="15.75" customHeight="1">
      <c r="A33" s="58" t="s">
        <v>41</v>
      </c>
      <c r="B33" s="58" t="s">
        <v>42</v>
      </c>
      <c r="C33" s="62">
        <v>45421.0</v>
      </c>
      <c r="D33" s="103" t="s">
        <v>246</v>
      </c>
      <c r="E33" s="60"/>
      <c r="F33" s="17">
        <f t="shared" si="1"/>
        <v>0</v>
      </c>
      <c r="G33" s="47"/>
      <c r="H33" s="60"/>
      <c r="I33" s="17">
        <f t="shared" si="2"/>
        <v>0</v>
      </c>
      <c r="J33" s="17"/>
      <c r="K33" s="57">
        <v>4.0</v>
      </c>
      <c r="L33" s="17">
        <f t="shared" si="3"/>
        <v>754.28</v>
      </c>
      <c r="M33" s="47">
        <v>754.28</v>
      </c>
      <c r="N33" s="28"/>
      <c r="O33" s="17">
        <f t="shared" si="11"/>
        <v>0</v>
      </c>
      <c r="P33" s="17"/>
      <c r="Q33" s="28"/>
      <c r="R33" s="17">
        <f t="shared" si="5"/>
        <v>0</v>
      </c>
      <c r="S33" s="17"/>
      <c r="T33" s="60">
        <v>12.0</v>
      </c>
      <c r="U33" s="17">
        <f t="shared" si="6"/>
        <v>60.84</v>
      </c>
      <c r="V33" s="47">
        <v>60.84</v>
      </c>
      <c r="W33" s="60">
        <v>11.0</v>
      </c>
      <c r="X33" s="17">
        <f t="shared" si="7"/>
        <v>200.42</v>
      </c>
      <c r="Y33" s="20"/>
      <c r="Z33" s="17">
        <f t="shared" si="8"/>
        <v>0</v>
      </c>
      <c r="AA33" s="17"/>
      <c r="AB33" s="48">
        <v>0.0</v>
      </c>
      <c r="AC33" s="49">
        <v>45431.0</v>
      </c>
      <c r="AD33" s="23"/>
    </row>
    <row r="34" ht="15.75" customHeight="1">
      <c r="A34" s="58" t="s">
        <v>47</v>
      </c>
      <c r="B34" s="58" t="s">
        <v>84</v>
      </c>
      <c r="C34" s="62">
        <v>45421.0</v>
      </c>
      <c r="D34" s="62">
        <v>45427.0</v>
      </c>
      <c r="E34" s="28"/>
      <c r="F34" s="17">
        <f t="shared" si="1"/>
        <v>0</v>
      </c>
      <c r="G34" s="47"/>
      <c r="H34" s="28"/>
      <c r="I34" s="17">
        <f t="shared" si="2"/>
        <v>0</v>
      </c>
      <c r="J34" s="17"/>
      <c r="K34" s="57"/>
      <c r="L34" s="17">
        <f t="shared" si="3"/>
        <v>0</v>
      </c>
      <c r="M34" s="47"/>
      <c r="N34" s="60">
        <v>2.0</v>
      </c>
      <c r="O34" s="17">
        <f t="shared" si="11"/>
        <v>117.7</v>
      </c>
      <c r="P34" s="17"/>
      <c r="Q34" s="28"/>
      <c r="R34" s="17">
        <f t="shared" si="5"/>
        <v>0</v>
      </c>
      <c r="S34" s="17"/>
      <c r="T34" s="60">
        <v>8.0</v>
      </c>
      <c r="U34" s="17">
        <f t="shared" si="6"/>
        <v>40.56</v>
      </c>
      <c r="V34" s="17"/>
      <c r="W34" s="60">
        <v>14.0</v>
      </c>
      <c r="X34" s="17">
        <f t="shared" si="7"/>
        <v>255.08</v>
      </c>
      <c r="Y34" s="20"/>
      <c r="Z34" s="17">
        <f t="shared" si="8"/>
        <v>0</v>
      </c>
      <c r="AA34" s="17"/>
      <c r="AB34" s="48">
        <v>0.0</v>
      </c>
      <c r="AC34" s="50"/>
      <c r="AD34" s="23"/>
    </row>
    <row r="35" ht="15.75" customHeight="1">
      <c r="A35" s="58" t="s">
        <v>69</v>
      </c>
      <c r="B35" s="58" t="s">
        <v>70</v>
      </c>
      <c r="C35" s="71">
        <v>45425.0</v>
      </c>
      <c r="D35" s="62">
        <v>45428.0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47"/>
      <c r="K35" s="57"/>
      <c r="L35" s="17">
        <f t="shared" si="3"/>
        <v>0</v>
      </c>
      <c r="M35" s="17"/>
      <c r="N35" s="60">
        <v>4.0</v>
      </c>
      <c r="O35" s="17">
        <f t="shared" si="11"/>
        <v>235.4</v>
      </c>
      <c r="P35" s="47">
        <v>235.4</v>
      </c>
      <c r="Q35" s="28"/>
      <c r="R35" s="17">
        <f t="shared" si="5"/>
        <v>0</v>
      </c>
      <c r="S35" s="17"/>
      <c r="T35" s="60">
        <v>16.0</v>
      </c>
      <c r="U35" s="17">
        <f t="shared" si="6"/>
        <v>81.12</v>
      </c>
      <c r="V35" s="47">
        <v>81.12</v>
      </c>
      <c r="W35" s="60">
        <v>14.0</v>
      </c>
      <c r="X35" s="17">
        <f t="shared" si="7"/>
        <v>255.08</v>
      </c>
      <c r="Y35" s="63"/>
      <c r="Z35" s="17">
        <f t="shared" si="8"/>
        <v>0</v>
      </c>
      <c r="AA35" s="17"/>
      <c r="AB35" s="48">
        <v>0.0</v>
      </c>
      <c r="AC35" s="49">
        <v>45438.0</v>
      </c>
      <c r="AD35" s="23"/>
    </row>
    <row r="36" ht="15.75" customHeight="1">
      <c r="A36" s="58" t="s">
        <v>158</v>
      </c>
      <c r="B36" s="58" t="s">
        <v>159</v>
      </c>
      <c r="C36" s="71">
        <v>45425.0</v>
      </c>
      <c r="D36" s="62">
        <v>45428.0</v>
      </c>
      <c r="E36" s="28"/>
      <c r="F36" s="17">
        <f t="shared" si="1"/>
        <v>0</v>
      </c>
      <c r="G36" s="17"/>
      <c r="H36" s="60"/>
      <c r="I36" s="17">
        <f t="shared" si="2"/>
        <v>0</v>
      </c>
      <c r="J36" s="47"/>
      <c r="K36" s="57">
        <v>4.0</v>
      </c>
      <c r="L36" s="17">
        <f t="shared" si="3"/>
        <v>754.28</v>
      </c>
      <c r="M36" s="47">
        <v>754.28</v>
      </c>
      <c r="N36" s="28"/>
      <c r="O36" s="17">
        <f t="shared" si="11"/>
        <v>0</v>
      </c>
      <c r="P36" s="17"/>
      <c r="Q36" s="28"/>
      <c r="R36" s="17">
        <f t="shared" si="5"/>
        <v>0</v>
      </c>
      <c r="S36" s="17"/>
      <c r="T36" s="60">
        <v>24.0</v>
      </c>
      <c r="U36" s="17">
        <f t="shared" si="6"/>
        <v>121.68</v>
      </c>
      <c r="V36" s="17"/>
      <c r="W36" s="60">
        <v>13.0</v>
      </c>
      <c r="X36" s="17">
        <f t="shared" si="7"/>
        <v>236.86</v>
      </c>
      <c r="Y36" s="63"/>
      <c r="Z36" s="17">
        <f t="shared" si="8"/>
        <v>0</v>
      </c>
      <c r="AA36" s="17"/>
      <c r="AB36" s="48">
        <v>0.0</v>
      </c>
      <c r="AC36" s="50"/>
      <c r="AD36" s="23"/>
    </row>
    <row r="37" ht="15.75" customHeight="1">
      <c r="A37" s="58" t="s">
        <v>95</v>
      </c>
      <c r="B37" s="58" t="s">
        <v>58</v>
      </c>
      <c r="C37" s="71">
        <v>45425.0</v>
      </c>
      <c r="D37" s="62">
        <v>45428.0</v>
      </c>
      <c r="E37" s="60"/>
      <c r="F37" s="17">
        <f t="shared" si="1"/>
        <v>0</v>
      </c>
      <c r="G37" s="17"/>
      <c r="H37" s="28"/>
      <c r="I37" s="17">
        <f t="shared" si="2"/>
        <v>0</v>
      </c>
      <c r="J37" s="17"/>
      <c r="K37" s="57"/>
      <c r="L37" s="17">
        <f t="shared" si="3"/>
        <v>0</v>
      </c>
      <c r="M37" s="47"/>
      <c r="N37" s="60">
        <v>4.0</v>
      </c>
      <c r="O37" s="17">
        <f t="shared" si="11"/>
        <v>235.4</v>
      </c>
      <c r="P37" s="47">
        <v>235.4</v>
      </c>
      <c r="Q37" s="28"/>
      <c r="R37" s="17">
        <f t="shared" si="5"/>
        <v>0</v>
      </c>
      <c r="S37" s="17"/>
      <c r="T37" s="60">
        <v>16.0</v>
      </c>
      <c r="U37" s="17">
        <f t="shared" si="6"/>
        <v>81.12</v>
      </c>
      <c r="V37" s="47">
        <v>81.12</v>
      </c>
      <c r="W37" s="60"/>
      <c r="X37" s="17">
        <f t="shared" si="7"/>
        <v>0</v>
      </c>
      <c r="Y37" s="20"/>
      <c r="Z37" s="17">
        <f t="shared" si="8"/>
        <v>0</v>
      </c>
      <c r="AA37" s="17"/>
      <c r="AB37" s="48">
        <v>0.0</v>
      </c>
      <c r="AC37" s="50">
        <v>45431.0</v>
      </c>
      <c r="AD37" s="23"/>
    </row>
    <row r="38" ht="15.75" customHeight="1">
      <c r="A38" s="58" t="s">
        <v>247</v>
      </c>
      <c r="B38" s="58" t="s">
        <v>40</v>
      </c>
      <c r="C38" s="71">
        <v>45413.0</v>
      </c>
      <c r="D38" s="62">
        <v>45428.0</v>
      </c>
      <c r="E38" s="28"/>
      <c r="F38" s="17">
        <f t="shared" si="1"/>
        <v>0</v>
      </c>
      <c r="G38" s="17"/>
      <c r="H38" s="60">
        <v>16.0</v>
      </c>
      <c r="I38" s="17">
        <f t="shared" si="2"/>
        <v>5068.32</v>
      </c>
      <c r="J38" s="47">
        <v>5068.32</v>
      </c>
      <c r="K38" s="57"/>
      <c r="L38" s="17">
        <f t="shared" si="3"/>
        <v>0</v>
      </c>
      <c r="M38" s="47"/>
      <c r="N38" s="28"/>
      <c r="O38" s="17">
        <f t="shared" si="11"/>
        <v>0</v>
      </c>
      <c r="P38" s="17"/>
      <c r="Q38" s="28"/>
      <c r="R38" s="17">
        <f t="shared" si="5"/>
        <v>0</v>
      </c>
      <c r="S38" s="17"/>
      <c r="T38" s="28"/>
      <c r="U38" s="17">
        <f t="shared" si="6"/>
        <v>0</v>
      </c>
      <c r="V38" s="17"/>
      <c r="W38" s="60">
        <v>13.0</v>
      </c>
      <c r="X38" s="17">
        <f t="shared" si="7"/>
        <v>236.86</v>
      </c>
      <c r="Y38" s="20"/>
      <c r="Z38" s="17">
        <f t="shared" si="8"/>
        <v>0</v>
      </c>
      <c r="AA38" s="17"/>
      <c r="AB38" s="48">
        <v>0.0</v>
      </c>
      <c r="AC38" s="50">
        <v>45431.0</v>
      </c>
      <c r="AD38" s="23"/>
    </row>
    <row r="39" ht="15.75" customHeight="1">
      <c r="A39" s="58" t="s">
        <v>136</v>
      </c>
      <c r="B39" s="58" t="s">
        <v>162</v>
      </c>
      <c r="C39" s="71">
        <v>45421.0</v>
      </c>
      <c r="D39" s="71">
        <v>45428.0</v>
      </c>
      <c r="E39" s="60"/>
      <c r="F39" s="17">
        <f t="shared" si="1"/>
        <v>0</v>
      </c>
      <c r="G39" s="17"/>
      <c r="H39" s="28"/>
      <c r="I39" s="17">
        <f t="shared" si="2"/>
        <v>0</v>
      </c>
      <c r="J39" s="17"/>
      <c r="K39" s="57">
        <v>4.0</v>
      </c>
      <c r="L39" s="17">
        <f t="shared" si="3"/>
        <v>754.28</v>
      </c>
      <c r="M39" s="47">
        <v>754.28</v>
      </c>
      <c r="N39" s="60"/>
      <c r="O39" s="17">
        <f t="shared" si="11"/>
        <v>0</v>
      </c>
      <c r="P39" s="47"/>
      <c r="Q39" s="28"/>
      <c r="R39" s="17">
        <f t="shared" si="5"/>
        <v>0</v>
      </c>
      <c r="S39" s="17"/>
      <c r="T39" s="60">
        <v>24.0</v>
      </c>
      <c r="U39" s="17">
        <f t="shared" si="6"/>
        <v>121.68</v>
      </c>
      <c r="V39" s="47">
        <v>20.28</v>
      </c>
      <c r="W39" s="60">
        <v>12.0</v>
      </c>
      <c r="X39" s="17">
        <f t="shared" si="7"/>
        <v>218.64</v>
      </c>
      <c r="Y39" s="63">
        <v>12.0</v>
      </c>
      <c r="Z39" s="17">
        <f t="shared" si="8"/>
        <v>400.44</v>
      </c>
      <c r="AA39" s="50"/>
      <c r="AB39" s="48">
        <v>0.0</v>
      </c>
      <c r="AC39" s="50">
        <v>45431.0</v>
      </c>
      <c r="AD39" s="23"/>
      <c r="AE39" s="31"/>
    </row>
    <row r="40" ht="15.75" customHeight="1">
      <c r="A40" s="58" t="s">
        <v>69</v>
      </c>
      <c r="B40" s="58" t="s">
        <v>129</v>
      </c>
      <c r="C40" s="71">
        <v>45426.0</v>
      </c>
      <c r="D40" s="62">
        <v>45427.0</v>
      </c>
      <c r="E40" s="60"/>
      <c r="F40" s="17">
        <f t="shared" si="1"/>
        <v>0</v>
      </c>
      <c r="G40" s="17"/>
      <c r="H40" s="28"/>
      <c r="I40" s="17">
        <f>PRODUCT(H39)*316.77</f>
        <v>0</v>
      </c>
      <c r="J40" s="17"/>
      <c r="K40" s="57">
        <v>2.0</v>
      </c>
      <c r="L40" s="17">
        <f t="shared" si="3"/>
        <v>377.14</v>
      </c>
      <c r="M40" s="47">
        <v>0.0</v>
      </c>
      <c r="N40" s="28"/>
      <c r="O40" s="17">
        <f t="shared" si="11"/>
        <v>0</v>
      </c>
      <c r="P40" s="17"/>
      <c r="Q40" s="28"/>
      <c r="R40" s="97">
        <f t="shared" si="5"/>
        <v>0</v>
      </c>
      <c r="S40" s="17"/>
      <c r="T40" s="60"/>
      <c r="U40" s="17">
        <f t="shared" si="6"/>
        <v>0</v>
      </c>
      <c r="V40" s="17"/>
      <c r="W40" s="28"/>
      <c r="X40" s="17">
        <f t="shared" si="7"/>
        <v>0</v>
      </c>
      <c r="Y40" s="20"/>
      <c r="Z40" s="17">
        <f t="shared" si="8"/>
        <v>0</v>
      </c>
      <c r="AA40" s="17"/>
      <c r="AB40" s="48">
        <v>0.0</v>
      </c>
      <c r="AC40" s="49">
        <v>45431.0</v>
      </c>
      <c r="AD40" s="23"/>
    </row>
    <row r="41" ht="15.75" customHeight="1">
      <c r="A41" s="58" t="s">
        <v>71</v>
      </c>
      <c r="B41" s="58" t="s">
        <v>190</v>
      </c>
      <c r="C41" s="71"/>
      <c r="D41" s="62"/>
      <c r="E41" s="60"/>
      <c r="F41" s="17">
        <f t="shared" si="1"/>
        <v>0</v>
      </c>
      <c r="G41" s="17"/>
      <c r="H41" s="28"/>
      <c r="I41" s="17">
        <f t="shared" ref="I41:I52" si="12">PRODUCT(H41)*316.77</f>
        <v>0</v>
      </c>
      <c r="J41" s="17"/>
      <c r="K41" s="57"/>
      <c r="L41" s="17">
        <f t="shared" si="3"/>
        <v>0</v>
      </c>
      <c r="M41" s="17"/>
      <c r="N41" s="28"/>
      <c r="O41" s="17">
        <f t="shared" si="11"/>
        <v>0</v>
      </c>
      <c r="P41" s="17"/>
      <c r="Q41" s="28"/>
      <c r="R41" s="97">
        <f t="shared" si="5"/>
        <v>0</v>
      </c>
      <c r="S41" s="17"/>
      <c r="T41" s="28"/>
      <c r="U41" s="17">
        <f t="shared" si="6"/>
        <v>0</v>
      </c>
      <c r="V41" s="17"/>
      <c r="W41" s="28"/>
      <c r="X41" s="17">
        <f t="shared" si="7"/>
        <v>0</v>
      </c>
      <c r="Y41" s="63"/>
      <c r="Z41" s="17">
        <f t="shared" si="8"/>
        <v>0</v>
      </c>
      <c r="AA41" s="17"/>
      <c r="AB41" s="21">
        <f>SUM(F41+I42+L41+O41+R41)</f>
        <v>0</v>
      </c>
      <c r="AC41" s="22"/>
      <c r="AD41" s="23"/>
    </row>
    <row r="42" ht="15.75" customHeight="1">
      <c r="A42" s="58" t="s">
        <v>223</v>
      </c>
      <c r="B42" s="58" t="s">
        <v>224</v>
      </c>
      <c r="C42" s="71">
        <v>45425.0</v>
      </c>
      <c r="D42" s="62">
        <v>45428.0</v>
      </c>
      <c r="E42" s="60"/>
      <c r="F42" s="17">
        <f t="shared" si="1"/>
        <v>0</v>
      </c>
      <c r="G42" s="17"/>
      <c r="H42" s="28"/>
      <c r="I42" s="17">
        <f t="shared" si="12"/>
        <v>0</v>
      </c>
      <c r="J42" s="17"/>
      <c r="K42" s="57">
        <v>4.0</v>
      </c>
      <c r="L42" s="17">
        <f t="shared" si="3"/>
        <v>754.28</v>
      </c>
      <c r="M42" s="47">
        <v>754.28</v>
      </c>
      <c r="N42" s="28"/>
      <c r="O42" s="17">
        <f t="shared" si="11"/>
        <v>0</v>
      </c>
      <c r="P42" s="17"/>
      <c r="Q42" s="28"/>
      <c r="R42" s="97">
        <f t="shared" si="5"/>
        <v>0</v>
      </c>
      <c r="S42" s="17"/>
      <c r="T42" s="60">
        <v>12.0</v>
      </c>
      <c r="U42" s="17">
        <f t="shared" si="6"/>
        <v>60.84</v>
      </c>
      <c r="V42" s="47">
        <v>60.84</v>
      </c>
      <c r="W42" s="60">
        <v>14.0</v>
      </c>
      <c r="X42" s="17">
        <f t="shared" si="7"/>
        <v>255.08</v>
      </c>
      <c r="Y42" s="20"/>
      <c r="Z42" s="17">
        <f t="shared" si="8"/>
        <v>0</v>
      </c>
      <c r="AA42" s="17"/>
      <c r="AB42" s="48">
        <v>0.0</v>
      </c>
      <c r="AC42" s="49">
        <v>45431.0</v>
      </c>
      <c r="AD42" s="23"/>
    </row>
    <row r="43" ht="15.75" customHeight="1">
      <c r="A43" s="58" t="s">
        <v>193</v>
      </c>
      <c r="B43" s="58" t="s">
        <v>194</v>
      </c>
      <c r="C43" s="71">
        <v>45422.0</v>
      </c>
      <c r="D43" s="104">
        <v>45428.0</v>
      </c>
      <c r="E43" s="60"/>
      <c r="F43" s="17">
        <f t="shared" si="1"/>
        <v>0</v>
      </c>
      <c r="G43" s="17"/>
      <c r="H43" s="28"/>
      <c r="I43" s="17">
        <f t="shared" si="12"/>
        <v>0</v>
      </c>
      <c r="J43" s="17"/>
      <c r="K43" s="57">
        <v>5.0</v>
      </c>
      <c r="L43" s="17">
        <f t="shared" si="3"/>
        <v>942.85</v>
      </c>
      <c r="M43" s="47">
        <v>942.85</v>
      </c>
      <c r="N43" s="28"/>
      <c r="O43" s="17">
        <f t="shared" si="11"/>
        <v>0</v>
      </c>
      <c r="P43" s="17"/>
      <c r="Q43" s="28"/>
      <c r="R43" s="97">
        <f t="shared" si="5"/>
        <v>0</v>
      </c>
      <c r="S43" s="17"/>
      <c r="T43" s="60">
        <v>12.0</v>
      </c>
      <c r="U43" s="17">
        <f t="shared" si="6"/>
        <v>60.84</v>
      </c>
      <c r="V43" s="47">
        <v>60.84</v>
      </c>
      <c r="W43" s="60">
        <v>17.0</v>
      </c>
      <c r="X43" s="17">
        <f t="shared" si="7"/>
        <v>309.74</v>
      </c>
      <c r="Y43" s="20"/>
      <c r="Z43" s="17">
        <f t="shared" si="8"/>
        <v>0</v>
      </c>
      <c r="AA43" s="17"/>
      <c r="AB43" s="48">
        <v>0.0</v>
      </c>
      <c r="AC43" s="49">
        <v>45431.0</v>
      </c>
      <c r="AD43" s="23"/>
    </row>
    <row r="44" ht="15.75" customHeight="1">
      <c r="A44" s="58" t="s">
        <v>49</v>
      </c>
      <c r="B44" s="58" t="s">
        <v>50</v>
      </c>
      <c r="C44" s="62">
        <v>45425.0</v>
      </c>
      <c r="D44" s="62">
        <v>45428.0</v>
      </c>
      <c r="E44" s="28"/>
      <c r="F44" s="17">
        <f t="shared" si="1"/>
        <v>0</v>
      </c>
      <c r="G44" s="47"/>
      <c r="H44" s="28"/>
      <c r="I44" s="17">
        <f t="shared" si="12"/>
        <v>0</v>
      </c>
      <c r="J44" s="17"/>
      <c r="K44" s="57">
        <v>4.0</v>
      </c>
      <c r="L44" s="17">
        <f t="shared" si="3"/>
        <v>754.28</v>
      </c>
      <c r="M44" s="47">
        <v>754.28</v>
      </c>
      <c r="N44" s="28"/>
      <c r="O44" s="17">
        <f t="shared" si="11"/>
        <v>0</v>
      </c>
      <c r="P44" s="17"/>
      <c r="Q44" s="28"/>
      <c r="R44" s="97">
        <f t="shared" si="5"/>
        <v>0</v>
      </c>
      <c r="S44" s="17"/>
      <c r="T44" s="60">
        <v>24.0</v>
      </c>
      <c r="U44" s="17">
        <f t="shared" si="6"/>
        <v>121.68</v>
      </c>
      <c r="V44" s="47">
        <v>121.68</v>
      </c>
      <c r="W44" s="60"/>
      <c r="X44" s="17">
        <f t="shared" si="7"/>
        <v>0</v>
      </c>
      <c r="Y44" s="20"/>
      <c r="Z44" s="17">
        <f t="shared" si="8"/>
        <v>0</v>
      </c>
      <c r="AA44" s="17"/>
      <c r="AB44" s="48">
        <v>0.0</v>
      </c>
      <c r="AC44" s="49">
        <v>45431.0</v>
      </c>
      <c r="AD44" s="23"/>
    </row>
    <row r="45" ht="15.75" customHeight="1">
      <c r="A45" s="58" t="s">
        <v>198</v>
      </c>
      <c r="B45" s="58" t="s">
        <v>199</v>
      </c>
      <c r="C45" s="71">
        <v>45425.0</v>
      </c>
      <c r="D45" s="71">
        <v>45428.0</v>
      </c>
      <c r="E45" s="60"/>
      <c r="F45" s="17">
        <f t="shared" si="1"/>
        <v>0</v>
      </c>
      <c r="G45" s="17"/>
      <c r="H45" s="28"/>
      <c r="I45" s="17">
        <f t="shared" si="12"/>
        <v>0</v>
      </c>
      <c r="J45" s="47"/>
      <c r="K45" s="57">
        <v>4.0</v>
      </c>
      <c r="L45" s="17">
        <f t="shared" si="3"/>
        <v>754.28</v>
      </c>
      <c r="M45" s="47">
        <v>754.28</v>
      </c>
      <c r="N45" s="28"/>
      <c r="O45" s="17">
        <f t="shared" si="11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60">
        <v>15.0</v>
      </c>
      <c r="X45" s="17">
        <f t="shared" si="7"/>
        <v>273.3</v>
      </c>
      <c r="Y45" s="63">
        <v>12.0</v>
      </c>
      <c r="Z45" s="17">
        <f t="shared" si="8"/>
        <v>400.44</v>
      </c>
      <c r="AA45" s="17"/>
      <c r="AB45" s="48">
        <v>0.0</v>
      </c>
      <c r="AC45" s="49">
        <v>45431.0</v>
      </c>
      <c r="AD45" s="23"/>
    </row>
    <row r="46" ht="15.75" customHeight="1">
      <c r="A46" s="58" t="s">
        <v>227</v>
      </c>
      <c r="B46" s="58" t="s">
        <v>228</v>
      </c>
      <c r="C46" s="62">
        <v>45425.0</v>
      </c>
      <c r="D46" s="62">
        <v>45428.0</v>
      </c>
      <c r="E46" s="60"/>
      <c r="F46" s="17">
        <f t="shared" si="1"/>
        <v>0</v>
      </c>
      <c r="G46" s="17"/>
      <c r="H46" s="28"/>
      <c r="I46" s="17">
        <f t="shared" si="12"/>
        <v>0</v>
      </c>
      <c r="J46" s="17"/>
      <c r="K46" s="57">
        <v>4.0</v>
      </c>
      <c r="L46" s="47">
        <v>754.28</v>
      </c>
      <c r="M46" s="47">
        <v>754.28</v>
      </c>
      <c r="N46" s="28"/>
      <c r="O46" s="17">
        <f t="shared" si="11"/>
        <v>0</v>
      </c>
      <c r="P46" s="17"/>
      <c r="Q46" s="28"/>
      <c r="R46" s="97">
        <f t="shared" si="5"/>
        <v>0</v>
      </c>
      <c r="S46" s="17"/>
      <c r="T46" s="60">
        <v>16.0</v>
      </c>
      <c r="U46" s="17">
        <f t="shared" si="6"/>
        <v>81.12</v>
      </c>
      <c r="V46" s="47">
        <v>81.12</v>
      </c>
      <c r="W46" s="60">
        <v>24.0</v>
      </c>
      <c r="X46" s="17">
        <f t="shared" si="7"/>
        <v>437.28</v>
      </c>
      <c r="Y46" s="63"/>
      <c r="Z46" s="17">
        <f t="shared" si="8"/>
        <v>0</v>
      </c>
      <c r="AA46" s="17"/>
      <c r="AB46" s="48">
        <v>0.0</v>
      </c>
      <c r="AC46" s="49">
        <v>45431.0</v>
      </c>
      <c r="AD46" s="23"/>
    </row>
    <row r="47" ht="15.75" customHeight="1">
      <c r="A47" s="58" t="s">
        <v>203</v>
      </c>
      <c r="B47" s="58" t="s">
        <v>204</v>
      </c>
      <c r="C47" s="62">
        <v>45421.0</v>
      </c>
      <c r="D47" s="62">
        <v>45427.0</v>
      </c>
      <c r="E47" s="28"/>
      <c r="F47" s="17">
        <f t="shared" si="1"/>
        <v>0</v>
      </c>
      <c r="G47" s="17"/>
      <c r="H47" s="28"/>
      <c r="I47" s="17">
        <f t="shared" si="12"/>
        <v>0</v>
      </c>
      <c r="J47" s="17"/>
      <c r="K47" s="57">
        <v>3.0</v>
      </c>
      <c r="L47" s="17">
        <f t="shared" ref="L47:L52" si="13">PRODUCT(K47)*188.57</f>
        <v>565.71</v>
      </c>
      <c r="M47" s="47">
        <v>565.71</v>
      </c>
      <c r="N47" s="28"/>
      <c r="O47" s="17">
        <f t="shared" si="11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/>
      <c r="X47" s="17">
        <f t="shared" si="7"/>
        <v>0</v>
      </c>
      <c r="Y47" s="63"/>
      <c r="Z47" s="17">
        <f t="shared" si="8"/>
        <v>0</v>
      </c>
      <c r="AA47" s="17"/>
      <c r="AB47" s="48">
        <v>0.0</v>
      </c>
      <c r="AC47" s="49">
        <v>45431.0</v>
      </c>
      <c r="AD47" s="23"/>
    </row>
    <row r="48" ht="15.75" customHeight="1">
      <c r="A48" s="58" t="s">
        <v>212</v>
      </c>
      <c r="B48" s="58" t="s">
        <v>213</v>
      </c>
      <c r="C48" s="62"/>
      <c r="D48" s="62"/>
      <c r="E48" s="60"/>
      <c r="F48" s="17">
        <f t="shared" si="1"/>
        <v>0</v>
      </c>
      <c r="G48" s="17"/>
      <c r="H48" s="60"/>
      <c r="I48" s="17">
        <f t="shared" si="12"/>
        <v>0</v>
      </c>
      <c r="J48" s="17"/>
      <c r="K48" s="57"/>
      <c r="L48" s="17">
        <f t="shared" si="13"/>
        <v>0</v>
      </c>
      <c r="M48" s="47"/>
      <c r="N48" s="28"/>
      <c r="O48" s="17">
        <f t="shared" si="11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28"/>
      <c r="X48" s="17">
        <f t="shared" si="7"/>
        <v>0</v>
      </c>
      <c r="Y48" s="63"/>
      <c r="Z48" s="17">
        <f t="shared" si="8"/>
        <v>0</v>
      </c>
      <c r="AA48" s="17"/>
      <c r="AB48" s="48">
        <v>0.0</v>
      </c>
      <c r="AC48" s="49"/>
      <c r="AD48" s="23"/>
    </row>
    <row r="49" ht="15.75" customHeight="1">
      <c r="A49" s="58" t="s">
        <v>238</v>
      </c>
      <c r="B49" s="58" t="s">
        <v>80</v>
      </c>
      <c r="C49" s="62">
        <v>45426.0</v>
      </c>
      <c r="D49" s="62">
        <v>45427.0</v>
      </c>
      <c r="E49" s="60"/>
      <c r="F49" s="17">
        <f t="shared" si="1"/>
        <v>0</v>
      </c>
      <c r="G49" s="17"/>
      <c r="H49" s="60"/>
      <c r="I49" s="17">
        <f t="shared" si="12"/>
        <v>0</v>
      </c>
      <c r="J49" s="17"/>
      <c r="K49" s="57">
        <v>2.0</v>
      </c>
      <c r="L49" s="17">
        <f t="shared" si="13"/>
        <v>377.14</v>
      </c>
      <c r="M49" s="47">
        <v>377.14</v>
      </c>
      <c r="N49" s="28"/>
      <c r="O49" s="17">
        <f t="shared" si="11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60"/>
      <c r="X49" s="17">
        <f t="shared" si="7"/>
        <v>0</v>
      </c>
      <c r="Y49" s="63"/>
      <c r="Z49" s="17">
        <f t="shared" si="8"/>
        <v>0</v>
      </c>
      <c r="AA49" s="17"/>
      <c r="AB49" s="48">
        <v>0.0</v>
      </c>
      <c r="AC49" s="50">
        <v>45431.0</v>
      </c>
      <c r="AD49" s="23"/>
    </row>
    <row r="50" ht="15.75" customHeight="1">
      <c r="A50" s="58" t="s">
        <v>71</v>
      </c>
      <c r="B50" s="58" t="s">
        <v>190</v>
      </c>
      <c r="C50" s="62">
        <v>45406.0</v>
      </c>
      <c r="D50" s="62">
        <v>45407.0</v>
      </c>
      <c r="E50" s="60"/>
      <c r="F50" s="17">
        <f t="shared" si="1"/>
        <v>0</v>
      </c>
      <c r="G50" s="17"/>
      <c r="H50" s="60"/>
      <c r="I50" s="17">
        <f t="shared" si="12"/>
        <v>0</v>
      </c>
      <c r="J50" s="17"/>
      <c r="K50" s="57"/>
      <c r="L50" s="17">
        <f t="shared" si="13"/>
        <v>0</v>
      </c>
      <c r="M50" s="17"/>
      <c r="N50" s="28"/>
      <c r="O50" s="17">
        <f t="shared" si="11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>
        <v>6.0</v>
      </c>
      <c r="X50" s="17">
        <f t="shared" si="7"/>
        <v>109.32</v>
      </c>
      <c r="Y50" s="63">
        <v>12.0</v>
      </c>
      <c r="Z50" s="17">
        <f t="shared" si="8"/>
        <v>400.44</v>
      </c>
      <c r="AA50" s="47">
        <v>400.44</v>
      </c>
      <c r="AB50" s="48">
        <v>0.0</v>
      </c>
      <c r="AC50" s="50">
        <v>45431.0</v>
      </c>
      <c r="AD50" s="23"/>
    </row>
    <row r="51" ht="15.75" customHeight="1">
      <c r="A51" s="58" t="s">
        <v>181</v>
      </c>
      <c r="B51" s="58" t="s">
        <v>182</v>
      </c>
      <c r="C51" s="62">
        <v>45421.0</v>
      </c>
      <c r="D51" s="62">
        <v>45421.0</v>
      </c>
      <c r="E51" s="60">
        <v>1.0</v>
      </c>
      <c r="F51" s="17">
        <f t="shared" si="1"/>
        <v>214.22</v>
      </c>
      <c r="G51" s="47">
        <v>214.22</v>
      </c>
      <c r="H51" s="60"/>
      <c r="I51" s="17">
        <f t="shared" si="12"/>
        <v>0</v>
      </c>
      <c r="J51" s="17"/>
      <c r="K51" s="57"/>
      <c r="L51" s="17">
        <f t="shared" si="13"/>
        <v>0</v>
      </c>
      <c r="M51" s="17"/>
      <c r="N51" s="28"/>
      <c r="O51" s="17">
        <f t="shared" si="11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>
        <v>21.0</v>
      </c>
      <c r="X51" s="17">
        <f t="shared" si="7"/>
        <v>382.62</v>
      </c>
      <c r="Y51" s="63"/>
      <c r="Z51" s="17">
        <f t="shared" si="8"/>
        <v>0</v>
      </c>
      <c r="AA51" s="17"/>
      <c r="AB51" s="48">
        <v>0.0</v>
      </c>
      <c r="AC51" s="26"/>
      <c r="AD51" s="23"/>
    </row>
    <row r="52" ht="15.75" customHeight="1">
      <c r="A52" s="58" t="s">
        <v>163</v>
      </c>
      <c r="B52" s="58" t="s">
        <v>164</v>
      </c>
      <c r="C52" s="62">
        <v>45411.0</v>
      </c>
      <c r="D52" s="62">
        <v>45428.0</v>
      </c>
      <c r="E52" s="60"/>
      <c r="F52" s="17">
        <f t="shared" si="1"/>
        <v>0</v>
      </c>
      <c r="G52" s="17"/>
      <c r="H52" s="60"/>
      <c r="I52" s="17">
        <f t="shared" si="12"/>
        <v>0</v>
      </c>
      <c r="J52" s="17"/>
      <c r="K52" s="57">
        <v>12.0</v>
      </c>
      <c r="L52" s="17">
        <f t="shared" si="13"/>
        <v>2262.84</v>
      </c>
      <c r="M52" s="47">
        <v>2262.84</v>
      </c>
      <c r="N52" s="28"/>
      <c r="O52" s="17">
        <f t="shared" si="11"/>
        <v>0</v>
      </c>
      <c r="P52" s="17"/>
      <c r="Q52" s="28"/>
      <c r="R52" s="97">
        <f t="shared" si="5"/>
        <v>0</v>
      </c>
      <c r="S52" s="17"/>
      <c r="T52" s="60">
        <v>8.0</v>
      </c>
      <c r="U52" s="17">
        <f t="shared" si="6"/>
        <v>40.56</v>
      </c>
      <c r="V52" s="47">
        <v>40.56</v>
      </c>
      <c r="W52" s="60">
        <v>11.0</v>
      </c>
      <c r="X52" s="17">
        <f t="shared" si="7"/>
        <v>200.42</v>
      </c>
      <c r="Y52" s="63"/>
      <c r="Z52" s="17">
        <f t="shared" si="8"/>
        <v>0</v>
      </c>
      <c r="AA52" s="17"/>
      <c r="AB52" s="48">
        <v>0.0</v>
      </c>
      <c r="AC52" s="50">
        <v>45431.0</v>
      </c>
      <c r="AD52" s="23"/>
    </row>
    <row r="53" ht="15.75" customHeight="1">
      <c r="A53" s="40" t="s">
        <v>81</v>
      </c>
      <c r="B53" s="41"/>
      <c r="C53" s="41"/>
      <c r="D53" s="41"/>
      <c r="E53" s="42"/>
      <c r="F53" s="43">
        <f>SUM(F31:F52)</f>
        <v>214.22</v>
      </c>
      <c r="G53" s="43">
        <f>SUM(G4:G43)</f>
        <v>1070.88</v>
      </c>
      <c r="H53" s="42"/>
      <c r="I53" s="43">
        <f>SUM(I4:I52)</f>
        <v>17105.58</v>
      </c>
      <c r="J53" s="43">
        <f>SUM(J4:J43)</f>
        <v>17105.58</v>
      </c>
      <c r="K53" s="42"/>
      <c r="L53" s="43">
        <f t="shared" ref="L53:M53" si="14">SUM(L4:L43)</f>
        <v>21685.55</v>
      </c>
      <c r="M53" s="43">
        <f t="shared" si="14"/>
        <v>20931.27</v>
      </c>
      <c r="N53" s="42"/>
      <c r="O53" s="43">
        <f t="shared" ref="O53:P53" si="15">SUM(O4:O43)</f>
        <v>941.6</v>
      </c>
      <c r="P53" s="43">
        <f t="shared" si="15"/>
        <v>823.9</v>
      </c>
      <c r="Q53" s="42"/>
      <c r="R53" s="43">
        <f t="shared" ref="R53:S53" si="16">SUM(R4:R43)</f>
        <v>0</v>
      </c>
      <c r="S53" s="43">
        <f t="shared" si="16"/>
        <v>0</v>
      </c>
      <c r="T53" s="42"/>
      <c r="U53" s="43">
        <f t="shared" ref="U53:V53" si="17">SUM(U4:U43)</f>
        <v>1480.44</v>
      </c>
      <c r="V53" s="43">
        <f t="shared" si="17"/>
        <v>1216.8</v>
      </c>
      <c r="W53" s="42"/>
      <c r="X53" s="43">
        <f>SUM(X4:X43)</f>
        <v>4409.24</v>
      </c>
      <c r="Y53" s="42"/>
      <c r="Z53" s="43">
        <f t="shared" ref="Z53:AB53" si="18">SUM(Z4:Z43)</f>
        <v>2836.45</v>
      </c>
      <c r="AA53" s="43">
        <f t="shared" si="18"/>
        <v>600.66</v>
      </c>
      <c r="AB53" s="43">
        <f t="shared" si="18"/>
        <v>2748.38</v>
      </c>
      <c r="AC53" s="41"/>
      <c r="AD53" s="44"/>
    </row>
    <row r="54" ht="15.75" customHeight="1">
      <c r="E54" s="1"/>
      <c r="H54" s="1"/>
      <c r="K54" s="1"/>
      <c r="N54" s="1"/>
      <c r="Q54" s="1"/>
      <c r="T54" s="1"/>
      <c r="W54" s="1"/>
      <c r="Y54" s="1"/>
      <c r="AB54" s="3"/>
    </row>
    <row r="55" ht="15.75" customHeight="1">
      <c r="E55" s="1"/>
      <c r="H55" s="1"/>
      <c r="K55" s="1"/>
      <c r="M55" s="75" t="s">
        <v>166</v>
      </c>
      <c r="N55" s="1"/>
      <c r="Q55" s="1"/>
      <c r="T55" s="1"/>
      <c r="W55" s="1"/>
      <c r="Y55" s="1"/>
      <c r="AB55" s="3"/>
    </row>
    <row r="56" ht="15.75" customHeight="1">
      <c r="E56" s="1"/>
      <c r="H56" s="1"/>
      <c r="K56" s="1"/>
      <c r="N56" s="1"/>
      <c r="Q56" s="1"/>
      <c r="T56" s="1"/>
      <c r="W56" s="1"/>
      <c r="Y56" s="1"/>
      <c r="AB56" s="3"/>
    </row>
    <row r="57" ht="15.75" customHeight="1">
      <c r="E57" s="1"/>
      <c r="H57" s="1"/>
      <c r="K57" s="1"/>
      <c r="N57" s="1"/>
      <c r="Q57" s="1"/>
      <c r="T57" s="1"/>
      <c r="W57" s="1"/>
      <c r="Y57" s="1"/>
      <c r="AB57" s="3"/>
    </row>
    <row r="58" ht="15.75" customHeight="1">
      <c r="E58" s="1"/>
      <c r="H58" s="1"/>
      <c r="K58" s="1"/>
      <c r="N58" s="1"/>
      <c r="Q58" s="1"/>
      <c r="T58" s="1"/>
      <c r="W58" s="1"/>
      <c r="Y58" s="1"/>
      <c r="AB58" s="3"/>
    </row>
    <row r="59" ht="15.75" customHeight="1">
      <c r="E59" s="1"/>
      <c r="H59" s="1"/>
      <c r="K59" s="1"/>
      <c r="N59" s="1"/>
      <c r="Q59" s="1"/>
      <c r="T59" s="1"/>
      <c r="W59" s="1"/>
      <c r="Y59" s="1"/>
      <c r="AB59" s="3"/>
    </row>
    <row r="60" ht="15.75" customHeight="1">
      <c r="E60" s="1"/>
      <c r="H60" s="1"/>
      <c r="K60" s="1"/>
      <c r="N60" s="1"/>
      <c r="Q60" s="1"/>
      <c r="T60" s="1"/>
      <c r="W60" s="1"/>
      <c r="Y60" s="1"/>
      <c r="AB60" s="3"/>
    </row>
    <row r="61" ht="15.75" customHeight="1">
      <c r="E61" s="1"/>
      <c r="H61" s="1"/>
      <c r="K61" s="1"/>
      <c r="N61" s="1"/>
      <c r="Q61" s="1"/>
      <c r="T61" s="1"/>
      <c r="W61" s="1"/>
      <c r="Y61" s="1"/>
      <c r="AB61" s="3"/>
    </row>
    <row r="62" ht="15.75" customHeight="1">
      <c r="E62" s="1"/>
      <c r="H62" s="1"/>
      <c r="K62" s="1"/>
      <c r="N62" s="1"/>
      <c r="Q62" s="1"/>
      <c r="T62" s="1"/>
      <c r="W62" s="1"/>
      <c r="Y62" s="1"/>
      <c r="AB62" s="3"/>
    </row>
    <row r="63" ht="15.75" customHeight="1">
      <c r="E63" s="1"/>
      <c r="H63" s="1"/>
      <c r="K63" s="1"/>
      <c r="N63" s="1"/>
      <c r="Q63" s="1"/>
      <c r="T63" s="1"/>
      <c r="W63" s="1"/>
      <c r="Y63" s="1"/>
      <c r="AB63" s="3"/>
    </row>
    <row r="64" ht="15.75" customHeight="1">
      <c r="E64" s="1"/>
      <c r="H64" s="1"/>
      <c r="K64" s="1"/>
      <c r="N64" s="1"/>
      <c r="Q64" s="1"/>
      <c r="T64" s="1"/>
      <c r="W64" s="1"/>
      <c r="Y64" s="1"/>
      <c r="AB64" s="3"/>
    </row>
    <row r="65" ht="15.75" customHeight="1">
      <c r="E65" s="1"/>
      <c r="H65" s="1"/>
      <c r="K65" s="1"/>
      <c r="N65" s="1"/>
      <c r="Q65" s="1"/>
      <c r="T65" s="1"/>
      <c r="W65" s="1"/>
      <c r="Y65" s="1"/>
      <c r="AB65" s="3"/>
    </row>
    <row r="66" ht="15.75" customHeight="1">
      <c r="E66" s="1"/>
      <c r="H66" s="1"/>
      <c r="K66" s="1"/>
      <c r="N66" s="1"/>
      <c r="Q66" s="1"/>
      <c r="T66" s="1"/>
      <c r="W66" s="1"/>
      <c r="Y66" s="1"/>
      <c r="AB66" s="3"/>
    </row>
    <row r="67" ht="15.75" customHeight="1">
      <c r="E67" s="1"/>
      <c r="H67" s="1"/>
      <c r="K67" s="1"/>
      <c r="N67" s="1"/>
      <c r="Q67" s="1"/>
      <c r="T67" s="1"/>
      <c r="W67" s="1"/>
      <c r="Y67" s="1"/>
      <c r="AB67" s="3"/>
    </row>
    <row r="68" ht="15.75" customHeight="1">
      <c r="E68" s="1"/>
      <c r="H68" s="1"/>
      <c r="K68" s="1"/>
      <c r="N68" s="1"/>
      <c r="Q68" s="1"/>
      <c r="T68" s="1"/>
      <c r="W68" s="1"/>
      <c r="Y68" s="1"/>
      <c r="AB68" s="3"/>
    </row>
    <row r="69" ht="15.75" customHeight="1">
      <c r="E69" s="1"/>
      <c r="H69" s="1"/>
      <c r="K69" s="1"/>
      <c r="N69" s="1"/>
      <c r="Q69" s="1"/>
      <c r="T69" s="1"/>
      <c r="W69" s="1"/>
      <c r="Y69" s="1"/>
      <c r="AB69" s="3"/>
    </row>
    <row r="70" ht="15.75" customHeight="1">
      <c r="E70" s="1"/>
      <c r="H70" s="1"/>
      <c r="K70" s="1"/>
      <c r="N70" s="1"/>
      <c r="Q70" s="1"/>
      <c r="T70" s="1"/>
      <c r="W70" s="1"/>
      <c r="Y70" s="1"/>
      <c r="AB70" s="3"/>
    </row>
    <row r="71" ht="15.75" customHeight="1">
      <c r="E71" s="1"/>
      <c r="H71" s="1"/>
      <c r="K71" s="1"/>
      <c r="N71" s="1"/>
      <c r="Q71" s="1"/>
      <c r="T71" s="1"/>
      <c r="W71" s="1"/>
      <c r="Y71" s="1"/>
      <c r="AB71" s="3"/>
    </row>
    <row r="72" ht="15.75" customHeight="1">
      <c r="E72" s="1"/>
      <c r="H72" s="1"/>
      <c r="K72" s="1"/>
      <c r="N72" s="1"/>
      <c r="Q72" s="1"/>
      <c r="T72" s="1"/>
      <c r="W72" s="1"/>
      <c r="Y72" s="1"/>
      <c r="AB72" s="3"/>
    </row>
    <row r="73" ht="15.75" customHeight="1">
      <c r="E73" s="1"/>
      <c r="H73" s="1"/>
      <c r="K73" s="1"/>
      <c r="N73" s="1"/>
      <c r="Q73" s="1"/>
      <c r="T73" s="1"/>
      <c r="W73" s="1"/>
      <c r="Y73" s="1"/>
      <c r="AB73" s="3"/>
    </row>
    <row r="74" ht="15.75" customHeight="1">
      <c r="E74" s="1"/>
      <c r="H74" s="1"/>
      <c r="K74" s="1"/>
      <c r="N74" s="1"/>
      <c r="Q74" s="1"/>
      <c r="T74" s="1"/>
      <c r="W74" s="1"/>
      <c r="Y74" s="1"/>
      <c r="AB74" s="3"/>
    </row>
    <row r="75" ht="15.75" customHeight="1">
      <c r="E75" s="1"/>
      <c r="H75" s="1"/>
      <c r="K75" s="1"/>
      <c r="N75" s="1"/>
      <c r="Q75" s="1"/>
      <c r="T75" s="1"/>
      <c r="W75" s="1"/>
      <c r="Y75" s="1"/>
      <c r="AB75" s="3"/>
    </row>
    <row r="76" ht="15.75" customHeight="1">
      <c r="E76" s="1"/>
      <c r="H76" s="1"/>
      <c r="K76" s="1"/>
      <c r="N76" s="1"/>
      <c r="Q76" s="1"/>
      <c r="T76" s="1"/>
      <c r="W76" s="1"/>
      <c r="Y76" s="1"/>
      <c r="AB76" s="3"/>
    </row>
    <row r="77" ht="15.75" customHeight="1">
      <c r="E77" s="1"/>
      <c r="H77" s="1"/>
      <c r="K77" s="1"/>
      <c r="N77" s="1"/>
      <c r="Q77" s="1"/>
      <c r="T77" s="1"/>
      <c r="W77" s="1"/>
      <c r="Y77" s="1"/>
      <c r="AB77" s="3"/>
    </row>
    <row r="78" ht="15.75" customHeight="1">
      <c r="E78" s="1"/>
      <c r="H78" s="1"/>
      <c r="K78" s="1"/>
      <c r="N78" s="1"/>
      <c r="Q78" s="1"/>
      <c r="T78" s="1"/>
      <c r="W78" s="1"/>
      <c r="Y78" s="1"/>
      <c r="AB78" s="3"/>
    </row>
    <row r="79" ht="15.75" customHeight="1">
      <c r="E79" s="1"/>
      <c r="H79" s="1"/>
      <c r="K79" s="1"/>
      <c r="N79" s="1"/>
      <c r="Q79" s="1"/>
      <c r="T79" s="1"/>
      <c r="W79" s="1"/>
      <c r="Y79" s="1"/>
      <c r="AB79" s="3"/>
    </row>
    <row r="80" ht="15.75" customHeight="1">
      <c r="E80" s="1"/>
      <c r="H80" s="1"/>
      <c r="K80" s="1"/>
      <c r="N80" s="1"/>
      <c r="Q80" s="1"/>
      <c r="T80" s="1"/>
      <c r="W80" s="1"/>
      <c r="Y80" s="1"/>
      <c r="AB80" s="3"/>
    </row>
    <row r="81" ht="15.75" customHeight="1">
      <c r="E81" s="1"/>
      <c r="H81" s="1"/>
      <c r="K81" s="1"/>
      <c r="N81" s="1"/>
      <c r="Q81" s="1"/>
      <c r="T81" s="1"/>
      <c r="W81" s="1"/>
      <c r="Y81" s="1"/>
      <c r="AB81" s="3"/>
    </row>
    <row r="82" ht="15.75" customHeight="1">
      <c r="E82" s="1"/>
      <c r="H82" s="1"/>
      <c r="K82" s="1"/>
      <c r="N82" s="1"/>
      <c r="Q82" s="1"/>
      <c r="T82" s="1"/>
      <c r="W82" s="1"/>
      <c r="Y82" s="1"/>
      <c r="AB82" s="3"/>
    </row>
    <row r="83" ht="15.75" customHeight="1">
      <c r="E83" s="1"/>
      <c r="H83" s="1"/>
      <c r="K83" s="1"/>
      <c r="N83" s="1"/>
      <c r="Q83" s="1"/>
      <c r="T83" s="1"/>
      <c r="W83" s="1"/>
      <c r="Y83" s="1"/>
      <c r="AB83" s="3"/>
    </row>
    <row r="84" ht="15.75" customHeight="1">
      <c r="E84" s="1"/>
      <c r="H84" s="1"/>
      <c r="K84" s="1"/>
      <c r="N84" s="1"/>
      <c r="Q84" s="1"/>
      <c r="T84" s="1"/>
      <c r="W84" s="1"/>
      <c r="Y84" s="1"/>
      <c r="AB84" s="3"/>
    </row>
    <row r="85" ht="15.75" customHeight="1">
      <c r="E85" s="1"/>
      <c r="H85" s="1"/>
      <c r="K85" s="1"/>
      <c r="N85" s="1"/>
      <c r="Q85" s="1"/>
      <c r="T85" s="1"/>
      <c r="W85" s="1"/>
      <c r="Y85" s="1"/>
      <c r="AB85" s="3"/>
    </row>
    <row r="86" ht="15.75" customHeight="1">
      <c r="E86" s="1"/>
      <c r="H86" s="1"/>
      <c r="K86" s="1"/>
      <c r="N86" s="1"/>
      <c r="Q86" s="1"/>
      <c r="T86" s="1"/>
      <c r="W86" s="1"/>
      <c r="Y86" s="1"/>
      <c r="AB86" s="3"/>
    </row>
    <row r="87" ht="15.75" customHeight="1">
      <c r="E87" s="1"/>
      <c r="H87" s="1"/>
      <c r="K87" s="1"/>
      <c r="N87" s="1"/>
      <c r="Q87" s="1"/>
      <c r="T87" s="1"/>
      <c r="W87" s="1"/>
      <c r="Y87" s="1"/>
      <c r="AB87" s="3"/>
    </row>
    <row r="88" ht="15.75" customHeight="1">
      <c r="E88" s="1"/>
      <c r="H88" s="1"/>
      <c r="K88" s="1"/>
      <c r="N88" s="1"/>
      <c r="Q88" s="1"/>
      <c r="T88" s="1"/>
      <c r="W88" s="1"/>
      <c r="Y88" s="1"/>
      <c r="AB88" s="3"/>
    </row>
    <row r="89" ht="15.75" customHeight="1">
      <c r="E89" s="1"/>
      <c r="H89" s="1"/>
      <c r="K89" s="1"/>
      <c r="N89" s="1"/>
      <c r="Q89" s="1"/>
      <c r="T89" s="1"/>
      <c r="W89" s="1"/>
      <c r="Y89" s="1"/>
      <c r="AB89" s="3"/>
    </row>
    <row r="90" ht="15.75" customHeight="1">
      <c r="E90" s="1"/>
      <c r="H90" s="1"/>
      <c r="K90" s="1"/>
      <c r="N90" s="1"/>
      <c r="Q90" s="1"/>
      <c r="T90" s="1"/>
      <c r="W90" s="1"/>
      <c r="Y90" s="1"/>
      <c r="AB90" s="3"/>
    </row>
    <row r="91" ht="15.75" customHeight="1">
      <c r="E91" s="1"/>
      <c r="H91" s="1"/>
      <c r="K91" s="1"/>
      <c r="N91" s="1"/>
      <c r="Q91" s="1"/>
      <c r="T91" s="1"/>
      <c r="W91" s="1"/>
      <c r="Y91" s="1"/>
      <c r="AB91" s="3"/>
    </row>
    <row r="92" ht="15.75" customHeight="1">
      <c r="E92" s="1"/>
      <c r="H92" s="1"/>
      <c r="K92" s="1"/>
      <c r="N92" s="1"/>
      <c r="Q92" s="1"/>
      <c r="T92" s="1"/>
      <c r="W92" s="1"/>
      <c r="Y92" s="1"/>
      <c r="AB92" s="3"/>
    </row>
    <row r="93" ht="15.75" customHeight="1">
      <c r="E93" s="1"/>
      <c r="H93" s="1"/>
      <c r="K93" s="1"/>
      <c r="N93" s="1"/>
      <c r="Q93" s="1"/>
      <c r="T93" s="1"/>
      <c r="W93" s="1"/>
      <c r="Y93" s="1"/>
      <c r="AB93" s="3"/>
    </row>
    <row r="94" ht="15.75" customHeight="1">
      <c r="E94" s="1"/>
      <c r="H94" s="1"/>
      <c r="K94" s="1"/>
      <c r="N94" s="1"/>
      <c r="Q94" s="1"/>
      <c r="T94" s="1"/>
      <c r="W94" s="1"/>
      <c r="Y94" s="1"/>
      <c r="AB94" s="3"/>
    </row>
    <row r="95" ht="15.75" customHeight="1">
      <c r="E95" s="1"/>
      <c r="H95" s="1"/>
      <c r="K95" s="1"/>
      <c r="N95" s="1"/>
      <c r="Q95" s="1"/>
      <c r="T95" s="1"/>
      <c r="W95" s="1"/>
      <c r="Y95" s="1"/>
      <c r="AB95" s="3"/>
    </row>
    <row r="96" ht="15.75" customHeight="1">
      <c r="E96" s="1"/>
      <c r="H96" s="1"/>
      <c r="K96" s="1"/>
      <c r="N96" s="1"/>
      <c r="Q96" s="1"/>
      <c r="T96" s="1"/>
      <c r="W96" s="1"/>
      <c r="Y96" s="1"/>
      <c r="AB96" s="3"/>
    </row>
    <row r="97" ht="15.75" customHeight="1">
      <c r="E97" s="1"/>
      <c r="H97" s="1"/>
      <c r="K97" s="1"/>
      <c r="N97" s="1"/>
      <c r="Q97" s="1"/>
      <c r="T97" s="1"/>
      <c r="W97" s="1"/>
      <c r="Y97" s="1"/>
      <c r="AB97" s="3"/>
    </row>
    <row r="98" ht="15.75" customHeight="1">
      <c r="E98" s="1"/>
      <c r="H98" s="1"/>
      <c r="K98" s="1"/>
      <c r="N98" s="1"/>
      <c r="Q98" s="1"/>
      <c r="T98" s="1"/>
      <c r="W98" s="1"/>
      <c r="Y98" s="1"/>
      <c r="AB98" s="3"/>
    </row>
    <row r="99" ht="15.75" customHeight="1">
      <c r="E99" s="1"/>
      <c r="H99" s="1"/>
      <c r="K99" s="1"/>
      <c r="N99" s="1"/>
      <c r="Q99" s="1"/>
      <c r="T99" s="1"/>
      <c r="W99" s="1"/>
      <c r="Y99" s="1"/>
      <c r="AB99" s="3"/>
    </row>
    <row r="100" ht="15.75" customHeight="1">
      <c r="E100" s="1"/>
      <c r="H100" s="1"/>
      <c r="K100" s="1"/>
      <c r="N100" s="1"/>
      <c r="Q100" s="1"/>
      <c r="T100" s="1"/>
      <c r="W100" s="1"/>
      <c r="Y100" s="1"/>
      <c r="AB100" s="3"/>
    </row>
    <row r="101" ht="15.75" customHeight="1">
      <c r="E101" s="1"/>
      <c r="H101" s="1"/>
      <c r="K101" s="1"/>
      <c r="N101" s="1"/>
      <c r="Q101" s="1"/>
      <c r="T101" s="1"/>
      <c r="W101" s="1"/>
      <c r="Y101" s="1"/>
      <c r="AB101" s="3"/>
    </row>
    <row r="102" ht="15.75" customHeight="1">
      <c r="E102" s="1"/>
      <c r="H102" s="1"/>
      <c r="K102" s="1"/>
      <c r="N102" s="1"/>
      <c r="Q102" s="1"/>
      <c r="T102" s="1"/>
      <c r="W102" s="1"/>
      <c r="Y102" s="1"/>
      <c r="AB102" s="3"/>
    </row>
    <row r="103" ht="15.75" customHeight="1">
      <c r="E103" s="1"/>
      <c r="H103" s="1"/>
      <c r="K103" s="1"/>
      <c r="N103" s="1"/>
      <c r="Q103" s="1"/>
      <c r="T103" s="1"/>
      <c r="W103" s="1"/>
      <c r="Y103" s="1"/>
      <c r="AB103" s="3"/>
    </row>
    <row r="104" ht="15.75" customHeight="1">
      <c r="E104" s="1"/>
      <c r="H104" s="1"/>
      <c r="K104" s="1"/>
      <c r="N104" s="1"/>
      <c r="Q104" s="1"/>
      <c r="T104" s="1"/>
      <c r="W104" s="1"/>
      <c r="Y104" s="1"/>
      <c r="AB104" s="3"/>
    </row>
    <row r="105" ht="15.75" customHeight="1">
      <c r="E105" s="1"/>
      <c r="H105" s="1"/>
      <c r="K105" s="1"/>
      <c r="N105" s="1"/>
      <c r="Q105" s="1"/>
      <c r="T105" s="1"/>
      <c r="W105" s="1"/>
      <c r="Y105" s="1"/>
      <c r="AB105" s="3"/>
    </row>
    <row r="106" ht="15.75" customHeight="1">
      <c r="E106" s="1"/>
      <c r="H106" s="1"/>
      <c r="K106" s="1"/>
      <c r="N106" s="1"/>
      <c r="Q106" s="1"/>
      <c r="T106" s="1"/>
      <c r="W106" s="1"/>
      <c r="Y106" s="1"/>
      <c r="AB106" s="3"/>
    </row>
    <row r="107" ht="15.75" customHeight="1">
      <c r="E107" s="1"/>
      <c r="H107" s="1"/>
      <c r="K107" s="1"/>
      <c r="N107" s="1"/>
      <c r="Q107" s="1"/>
      <c r="T107" s="1"/>
      <c r="W107" s="1"/>
      <c r="Y107" s="1"/>
      <c r="AB107" s="3"/>
    </row>
    <row r="108" ht="15.75" customHeight="1">
      <c r="E108" s="1"/>
      <c r="H108" s="1"/>
      <c r="K108" s="1"/>
      <c r="N108" s="1"/>
      <c r="Q108" s="1"/>
      <c r="T108" s="1"/>
      <c r="W108" s="1"/>
      <c r="Y108" s="1"/>
      <c r="AB108" s="3"/>
    </row>
    <row r="109" ht="15.75" customHeight="1">
      <c r="E109" s="1"/>
      <c r="H109" s="1"/>
      <c r="K109" s="1"/>
      <c r="N109" s="1"/>
      <c r="Q109" s="1"/>
      <c r="T109" s="1"/>
      <c r="W109" s="1"/>
      <c r="Y109" s="1"/>
      <c r="AB109" s="3"/>
    </row>
    <row r="110" ht="15.75" customHeight="1">
      <c r="E110" s="1"/>
      <c r="H110" s="1"/>
      <c r="K110" s="1"/>
      <c r="N110" s="1"/>
      <c r="Q110" s="1"/>
      <c r="T110" s="1"/>
      <c r="W110" s="1"/>
      <c r="Y110" s="1"/>
      <c r="AB110" s="3"/>
    </row>
    <row r="111" ht="15.75" customHeight="1">
      <c r="E111" s="1"/>
      <c r="H111" s="1"/>
      <c r="K111" s="1"/>
      <c r="N111" s="1"/>
      <c r="Q111" s="1"/>
      <c r="T111" s="1"/>
      <c r="W111" s="1"/>
      <c r="Y111" s="1"/>
      <c r="AB111" s="3"/>
    </row>
    <row r="112" ht="15.75" customHeight="1">
      <c r="E112" s="1"/>
      <c r="H112" s="1"/>
      <c r="K112" s="1"/>
      <c r="N112" s="1"/>
      <c r="Q112" s="1"/>
      <c r="T112" s="1"/>
      <c r="W112" s="1"/>
      <c r="Y112" s="1"/>
      <c r="AB112" s="3"/>
    </row>
    <row r="113" ht="15.75" customHeight="1">
      <c r="E113" s="1"/>
      <c r="H113" s="1"/>
      <c r="K113" s="1"/>
      <c r="N113" s="1"/>
      <c r="Q113" s="1"/>
      <c r="T113" s="1"/>
      <c r="W113" s="1"/>
      <c r="Y113" s="1"/>
      <c r="AB113" s="3"/>
    </row>
    <row r="114" ht="15.75" customHeight="1">
      <c r="E114" s="1"/>
      <c r="H114" s="1"/>
      <c r="K114" s="1"/>
      <c r="N114" s="1"/>
      <c r="Q114" s="1"/>
      <c r="T114" s="1"/>
      <c r="W114" s="1"/>
      <c r="Y114" s="1"/>
      <c r="AB114" s="3"/>
    </row>
    <row r="115" ht="15.75" customHeight="1">
      <c r="E115" s="1"/>
      <c r="H115" s="1"/>
      <c r="K115" s="1"/>
      <c r="N115" s="1"/>
      <c r="Q115" s="1"/>
      <c r="T115" s="1"/>
      <c r="W115" s="1"/>
      <c r="Y115" s="1"/>
      <c r="AB115" s="3"/>
    </row>
    <row r="116" ht="15.75" customHeight="1">
      <c r="E116" s="1"/>
      <c r="H116" s="1"/>
      <c r="K116" s="1"/>
      <c r="N116" s="1"/>
      <c r="Q116" s="1"/>
      <c r="T116" s="1"/>
      <c r="W116" s="1"/>
      <c r="Y116" s="1"/>
      <c r="AB116" s="3"/>
    </row>
    <row r="117" ht="15.75" customHeight="1">
      <c r="E117" s="1"/>
      <c r="H117" s="1"/>
      <c r="K117" s="1"/>
      <c r="N117" s="1"/>
      <c r="Q117" s="1"/>
      <c r="T117" s="1"/>
      <c r="W117" s="1"/>
      <c r="Y117" s="1"/>
      <c r="AB117" s="3"/>
    </row>
    <row r="118" ht="15.75" customHeight="1">
      <c r="E118" s="1"/>
      <c r="H118" s="1"/>
      <c r="K118" s="1"/>
      <c r="N118" s="1"/>
      <c r="Q118" s="1"/>
      <c r="T118" s="1"/>
      <c r="W118" s="1"/>
      <c r="Y118" s="1"/>
      <c r="AB118" s="3"/>
    </row>
    <row r="119" ht="15.75" customHeight="1">
      <c r="E119" s="1"/>
      <c r="H119" s="1"/>
      <c r="K119" s="1"/>
      <c r="N119" s="1"/>
      <c r="Q119" s="1"/>
      <c r="T119" s="1"/>
      <c r="W119" s="1"/>
      <c r="Y119" s="1"/>
      <c r="AB119" s="3"/>
    </row>
    <row r="120" ht="15.75" customHeight="1">
      <c r="E120" s="1"/>
      <c r="H120" s="1"/>
      <c r="K120" s="1"/>
      <c r="N120" s="1"/>
      <c r="Q120" s="1"/>
      <c r="T120" s="1"/>
      <c r="W120" s="1"/>
      <c r="Y120" s="1"/>
      <c r="AB120" s="3"/>
    </row>
    <row r="121" ht="15.75" customHeight="1">
      <c r="E121" s="1"/>
      <c r="H121" s="1"/>
      <c r="K121" s="1"/>
      <c r="N121" s="1"/>
      <c r="Q121" s="1"/>
      <c r="T121" s="1"/>
      <c r="W121" s="1"/>
      <c r="Y121" s="1"/>
      <c r="AB121" s="3"/>
    </row>
    <row r="122" ht="15.75" customHeight="1">
      <c r="E122" s="1"/>
      <c r="H122" s="1"/>
      <c r="K122" s="1"/>
      <c r="N122" s="1"/>
      <c r="Q122" s="1"/>
      <c r="T122" s="1"/>
      <c r="W122" s="1"/>
      <c r="Y122" s="1"/>
      <c r="AB122" s="3"/>
    </row>
    <row r="123" ht="15.75" customHeight="1">
      <c r="E123" s="1"/>
      <c r="H123" s="1"/>
      <c r="K123" s="1"/>
      <c r="N123" s="1"/>
      <c r="Q123" s="1"/>
      <c r="T123" s="1"/>
      <c r="W123" s="1"/>
      <c r="Y123" s="1"/>
      <c r="AB123" s="3"/>
    </row>
    <row r="124" ht="15.75" customHeight="1">
      <c r="E124" s="1"/>
      <c r="H124" s="1"/>
      <c r="K124" s="1"/>
      <c r="N124" s="1"/>
      <c r="Q124" s="1"/>
      <c r="T124" s="1"/>
      <c r="W124" s="1"/>
      <c r="Y124" s="1"/>
      <c r="AB124" s="3"/>
    </row>
    <row r="125" ht="15.75" customHeight="1">
      <c r="E125" s="1"/>
      <c r="H125" s="1"/>
      <c r="K125" s="1"/>
      <c r="N125" s="1"/>
      <c r="Q125" s="1"/>
      <c r="T125" s="1"/>
      <c r="W125" s="1"/>
      <c r="Y125" s="1"/>
      <c r="AB125" s="3"/>
    </row>
    <row r="126" ht="15.75" customHeight="1">
      <c r="E126" s="1"/>
      <c r="H126" s="1"/>
      <c r="K126" s="1"/>
      <c r="N126" s="1"/>
      <c r="Q126" s="1"/>
      <c r="T126" s="1"/>
      <c r="W126" s="1"/>
      <c r="Y126" s="1"/>
      <c r="AB126" s="3"/>
    </row>
    <row r="127" ht="15.75" customHeight="1">
      <c r="E127" s="1"/>
      <c r="H127" s="1"/>
      <c r="K127" s="1"/>
      <c r="N127" s="1"/>
      <c r="Q127" s="1"/>
      <c r="T127" s="1"/>
      <c r="W127" s="1"/>
      <c r="Y127" s="1"/>
      <c r="AB127" s="3"/>
    </row>
    <row r="128" ht="15.75" customHeight="1">
      <c r="E128" s="1"/>
      <c r="H128" s="1"/>
      <c r="K128" s="1"/>
      <c r="N128" s="1"/>
      <c r="Q128" s="1"/>
      <c r="T128" s="1"/>
      <c r="W128" s="1"/>
      <c r="Y128" s="1"/>
      <c r="AB128" s="3"/>
    </row>
    <row r="129" ht="15.75" customHeight="1">
      <c r="E129" s="1"/>
      <c r="H129" s="1"/>
      <c r="K129" s="1"/>
      <c r="N129" s="1"/>
      <c r="Q129" s="1"/>
      <c r="T129" s="1"/>
      <c r="W129" s="1"/>
      <c r="Y129" s="1"/>
      <c r="AB129" s="3"/>
    </row>
    <row r="130" ht="15.75" customHeight="1">
      <c r="E130" s="1"/>
      <c r="H130" s="1"/>
      <c r="K130" s="1"/>
      <c r="N130" s="1"/>
      <c r="Q130" s="1"/>
      <c r="T130" s="1"/>
      <c r="W130" s="1"/>
      <c r="Y130" s="1"/>
      <c r="AB130" s="3"/>
    </row>
    <row r="131" ht="15.75" customHeight="1">
      <c r="E131" s="1"/>
      <c r="H131" s="1"/>
      <c r="K131" s="1"/>
      <c r="N131" s="1"/>
      <c r="Q131" s="1"/>
      <c r="T131" s="1"/>
      <c r="W131" s="1"/>
      <c r="Y131" s="1"/>
      <c r="AB131" s="3"/>
    </row>
    <row r="132" ht="15.75" customHeight="1">
      <c r="E132" s="1"/>
      <c r="H132" s="1"/>
      <c r="K132" s="1"/>
      <c r="N132" s="1"/>
      <c r="Q132" s="1"/>
      <c r="T132" s="1"/>
      <c r="W132" s="1"/>
      <c r="Y132" s="1"/>
      <c r="AB132" s="3"/>
    </row>
    <row r="133" ht="15.75" customHeight="1">
      <c r="E133" s="1"/>
      <c r="H133" s="1"/>
      <c r="K133" s="1"/>
      <c r="N133" s="1"/>
      <c r="Q133" s="1"/>
      <c r="T133" s="1"/>
      <c r="W133" s="1"/>
      <c r="Y133" s="1"/>
      <c r="AB133" s="3"/>
    </row>
    <row r="134" ht="15.75" customHeight="1">
      <c r="E134" s="1"/>
      <c r="H134" s="1"/>
      <c r="K134" s="1"/>
      <c r="N134" s="1"/>
      <c r="Q134" s="1"/>
      <c r="T134" s="1"/>
      <c r="W134" s="1"/>
      <c r="Y134" s="1"/>
      <c r="AB134" s="3"/>
    </row>
    <row r="135" ht="15.75" customHeight="1">
      <c r="E135" s="1"/>
      <c r="H135" s="1"/>
      <c r="K135" s="1"/>
      <c r="N135" s="1"/>
      <c r="Q135" s="1"/>
      <c r="T135" s="1"/>
      <c r="W135" s="1"/>
      <c r="Y135" s="1"/>
      <c r="AB135" s="3"/>
    </row>
    <row r="136" ht="15.75" customHeight="1">
      <c r="E136" s="1"/>
      <c r="H136" s="1"/>
      <c r="K136" s="1"/>
      <c r="N136" s="1"/>
      <c r="Q136" s="1"/>
      <c r="T136" s="1"/>
      <c r="W136" s="1"/>
      <c r="Y136" s="1"/>
      <c r="AB136" s="3"/>
    </row>
    <row r="137" ht="15.75" customHeight="1">
      <c r="E137" s="1"/>
      <c r="H137" s="1"/>
      <c r="K137" s="1"/>
      <c r="N137" s="1"/>
      <c r="Q137" s="1"/>
      <c r="T137" s="1"/>
      <c r="W137" s="1"/>
      <c r="Y137" s="1"/>
      <c r="AB137" s="3"/>
    </row>
    <row r="138" ht="15.75" customHeight="1">
      <c r="E138" s="1"/>
      <c r="H138" s="1"/>
      <c r="K138" s="1"/>
      <c r="N138" s="1"/>
      <c r="Q138" s="1"/>
      <c r="T138" s="1"/>
      <c r="W138" s="1"/>
      <c r="Y138" s="1"/>
      <c r="AB138" s="3"/>
    </row>
    <row r="139" ht="15.75" customHeight="1">
      <c r="E139" s="1"/>
      <c r="H139" s="1"/>
      <c r="K139" s="1"/>
      <c r="N139" s="1"/>
      <c r="Q139" s="1"/>
      <c r="T139" s="1"/>
      <c r="W139" s="1"/>
      <c r="Y139" s="1"/>
      <c r="AB139" s="3"/>
    </row>
    <row r="140" ht="15.75" customHeight="1">
      <c r="E140" s="1"/>
      <c r="H140" s="1"/>
      <c r="K140" s="1"/>
      <c r="N140" s="1"/>
      <c r="Q140" s="1"/>
      <c r="T140" s="1"/>
      <c r="W140" s="1"/>
      <c r="Y140" s="1"/>
      <c r="AB140" s="3"/>
    </row>
    <row r="141" ht="15.75" customHeight="1">
      <c r="E141" s="1"/>
      <c r="H141" s="1"/>
      <c r="K141" s="1"/>
      <c r="N141" s="1"/>
      <c r="Q141" s="1"/>
      <c r="T141" s="1"/>
      <c r="W141" s="1"/>
      <c r="Y141" s="1"/>
      <c r="AB141" s="3"/>
    </row>
    <row r="142" ht="15.75" customHeight="1">
      <c r="E142" s="1"/>
      <c r="H142" s="1"/>
      <c r="K142" s="1"/>
      <c r="N142" s="1"/>
      <c r="Q142" s="1"/>
      <c r="T142" s="1"/>
      <c r="W142" s="1"/>
      <c r="Y142" s="1"/>
      <c r="AB142" s="3"/>
    </row>
    <row r="143" ht="15.75" customHeight="1">
      <c r="E143" s="1"/>
      <c r="H143" s="1"/>
      <c r="K143" s="1"/>
      <c r="N143" s="1"/>
      <c r="Q143" s="1"/>
      <c r="T143" s="1"/>
      <c r="W143" s="1"/>
      <c r="Y143" s="1"/>
      <c r="AB143" s="3"/>
    </row>
    <row r="144" ht="15.75" customHeight="1">
      <c r="E144" s="1"/>
      <c r="H144" s="1"/>
      <c r="K144" s="1"/>
      <c r="N144" s="1"/>
      <c r="Q144" s="1"/>
      <c r="T144" s="1"/>
      <c r="W144" s="1"/>
      <c r="Y144" s="1"/>
      <c r="AB144" s="3"/>
    </row>
    <row r="145" ht="15.75" customHeight="1">
      <c r="E145" s="1"/>
      <c r="H145" s="1"/>
      <c r="K145" s="1"/>
      <c r="N145" s="1"/>
      <c r="Q145" s="1"/>
      <c r="T145" s="1"/>
      <c r="W145" s="1"/>
      <c r="Y145" s="1"/>
      <c r="AB145" s="3"/>
    </row>
    <row r="146" ht="15.75" customHeight="1">
      <c r="E146" s="1"/>
      <c r="H146" s="1"/>
      <c r="K146" s="1"/>
      <c r="N146" s="1"/>
      <c r="Q146" s="1"/>
      <c r="T146" s="1"/>
      <c r="W146" s="1"/>
      <c r="Y146" s="1"/>
      <c r="AB146" s="3"/>
    </row>
    <row r="147" ht="15.75" customHeight="1">
      <c r="E147" s="1"/>
      <c r="H147" s="1"/>
      <c r="K147" s="1"/>
      <c r="N147" s="1"/>
      <c r="Q147" s="1"/>
      <c r="T147" s="1"/>
      <c r="W147" s="1"/>
      <c r="Y147" s="1"/>
      <c r="AB147" s="3"/>
    </row>
    <row r="148" ht="15.75" customHeight="1">
      <c r="E148" s="1"/>
      <c r="H148" s="1"/>
      <c r="K148" s="1"/>
      <c r="N148" s="1"/>
      <c r="Q148" s="1"/>
      <c r="T148" s="1"/>
      <c r="W148" s="1"/>
      <c r="Y148" s="1"/>
      <c r="AB148" s="3"/>
    </row>
    <row r="149" ht="15.75" customHeight="1">
      <c r="E149" s="1"/>
      <c r="H149" s="1"/>
      <c r="K149" s="1"/>
      <c r="N149" s="1"/>
      <c r="Q149" s="1"/>
      <c r="T149" s="1"/>
      <c r="W149" s="1"/>
      <c r="Y149" s="1"/>
      <c r="AB149" s="3"/>
    </row>
    <row r="150" ht="15.75" customHeight="1">
      <c r="E150" s="1"/>
      <c r="H150" s="1"/>
      <c r="K150" s="1"/>
      <c r="N150" s="1"/>
      <c r="Q150" s="1"/>
      <c r="T150" s="1"/>
      <c r="W150" s="1"/>
      <c r="Y150" s="1"/>
      <c r="AB150" s="3"/>
    </row>
    <row r="151" ht="15.75" customHeight="1">
      <c r="E151" s="1"/>
      <c r="H151" s="1"/>
      <c r="K151" s="1"/>
      <c r="N151" s="1"/>
      <c r="Q151" s="1"/>
      <c r="T151" s="1"/>
      <c r="W151" s="1"/>
      <c r="Y151" s="1"/>
      <c r="AB151" s="3"/>
    </row>
    <row r="152" ht="15.75" customHeight="1">
      <c r="E152" s="1"/>
      <c r="H152" s="1"/>
      <c r="K152" s="1"/>
      <c r="N152" s="1"/>
      <c r="Q152" s="1"/>
      <c r="T152" s="1"/>
      <c r="W152" s="1"/>
      <c r="Y152" s="1"/>
      <c r="AB152" s="3"/>
    </row>
    <row r="153" ht="15.75" customHeight="1">
      <c r="E153" s="1"/>
      <c r="H153" s="1"/>
      <c r="K153" s="1"/>
      <c r="N153" s="1"/>
      <c r="Q153" s="1"/>
      <c r="T153" s="1"/>
      <c r="W153" s="1"/>
      <c r="Y153" s="1"/>
      <c r="AB153" s="3"/>
    </row>
    <row r="154" ht="15.75" customHeight="1">
      <c r="E154" s="1"/>
      <c r="H154" s="1"/>
      <c r="K154" s="1"/>
      <c r="N154" s="1"/>
      <c r="Q154" s="1"/>
      <c r="T154" s="1"/>
      <c r="W154" s="1"/>
      <c r="Y154" s="1"/>
      <c r="AB154" s="3"/>
    </row>
    <row r="155" ht="15.75" customHeight="1">
      <c r="E155" s="1"/>
      <c r="H155" s="1"/>
      <c r="K155" s="1"/>
      <c r="N155" s="1"/>
      <c r="Q155" s="1"/>
      <c r="T155" s="1"/>
      <c r="W155" s="1"/>
      <c r="Y155" s="1"/>
      <c r="AB155" s="3"/>
    </row>
    <row r="156" ht="15.75" customHeight="1">
      <c r="E156" s="1"/>
      <c r="H156" s="1"/>
      <c r="K156" s="1"/>
      <c r="N156" s="1"/>
      <c r="Q156" s="1"/>
      <c r="T156" s="1"/>
      <c r="W156" s="1"/>
      <c r="Y156" s="1"/>
      <c r="AB156" s="3"/>
    </row>
    <row r="157" ht="15.75" customHeight="1">
      <c r="E157" s="1"/>
      <c r="H157" s="1"/>
      <c r="K157" s="1"/>
      <c r="N157" s="1"/>
      <c r="Q157" s="1"/>
      <c r="T157" s="1"/>
      <c r="W157" s="1"/>
      <c r="Y157" s="1"/>
      <c r="AB157" s="3"/>
    </row>
    <row r="158" ht="15.75" customHeight="1">
      <c r="E158" s="1"/>
      <c r="H158" s="1"/>
      <c r="K158" s="1"/>
      <c r="N158" s="1"/>
      <c r="Q158" s="1"/>
      <c r="T158" s="1"/>
      <c r="W158" s="1"/>
      <c r="Y158" s="1"/>
      <c r="AB158" s="3"/>
    </row>
    <row r="159" ht="15.75" customHeight="1">
      <c r="E159" s="1"/>
      <c r="H159" s="1"/>
      <c r="K159" s="1"/>
      <c r="N159" s="1"/>
      <c r="Q159" s="1"/>
      <c r="T159" s="1"/>
      <c r="W159" s="1"/>
      <c r="Y159" s="1"/>
      <c r="AB159" s="3"/>
    </row>
    <row r="160" ht="15.75" customHeight="1">
      <c r="E160" s="1"/>
      <c r="H160" s="1"/>
      <c r="K160" s="1"/>
      <c r="N160" s="1"/>
      <c r="Q160" s="1"/>
      <c r="T160" s="1"/>
      <c r="W160" s="1"/>
      <c r="Y160" s="1"/>
      <c r="AB160" s="3"/>
    </row>
    <row r="161" ht="15.75" customHeight="1">
      <c r="E161" s="1"/>
      <c r="H161" s="1"/>
      <c r="K161" s="1"/>
      <c r="N161" s="1"/>
      <c r="Q161" s="1"/>
      <c r="T161" s="1"/>
      <c r="W161" s="1"/>
      <c r="Y161" s="1"/>
      <c r="AB161" s="3"/>
    </row>
    <row r="162" ht="15.75" customHeight="1">
      <c r="E162" s="1"/>
      <c r="H162" s="1"/>
      <c r="K162" s="1"/>
      <c r="N162" s="1"/>
      <c r="Q162" s="1"/>
      <c r="T162" s="1"/>
      <c r="W162" s="1"/>
      <c r="Y162" s="1"/>
      <c r="AB162" s="3"/>
    </row>
    <row r="163" ht="15.75" customHeight="1">
      <c r="E163" s="1"/>
      <c r="H163" s="1"/>
      <c r="K163" s="1"/>
      <c r="N163" s="1"/>
      <c r="Q163" s="1"/>
      <c r="T163" s="1"/>
      <c r="W163" s="1"/>
      <c r="Y163" s="1"/>
      <c r="AB163" s="3"/>
    </row>
    <row r="164" ht="15.75" customHeight="1">
      <c r="E164" s="1"/>
      <c r="H164" s="1"/>
      <c r="K164" s="1"/>
      <c r="N164" s="1"/>
      <c r="Q164" s="1"/>
      <c r="T164" s="1"/>
      <c r="W164" s="1"/>
      <c r="Y164" s="1"/>
      <c r="AB164" s="3"/>
    </row>
    <row r="165" ht="15.75" customHeight="1">
      <c r="E165" s="1"/>
      <c r="H165" s="1"/>
      <c r="K165" s="1"/>
      <c r="N165" s="1"/>
      <c r="Q165" s="1"/>
      <c r="T165" s="1"/>
      <c r="W165" s="1"/>
      <c r="Y165" s="1"/>
      <c r="AB165" s="3"/>
    </row>
    <row r="166" ht="15.75" customHeight="1">
      <c r="E166" s="1"/>
      <c r="H166" s="1"/>
      <c r="K166" s="1"/>
      <c r="N166" s="1"/>
      <c r="Q166" s="1"/>
      <c r="T166" s="1"/>
      <c r="W166" s="1"/>
      <c r="Y166" s="1"/>
      <c r="AB166" s="3"/>
    </row>
    <row r="167" ht="15.75" customHeight="1">
      <c r="E167" s="1"/>
      <c r="H167" s="1"/>
      <c r="K167" s="1"/>
      <c r="N167" s="1"/>
      <c r="Q167" s="1"/>
      <c r="T167" s="1"/>
      <c r="W167" s="1"/>
      <c r="Y167" s="1"/>
      <c r="AB167" s="3"/>
    </row>
    <row r="168" ht="15.75" customHeight="1">
      <c r="E168" s="1"/>
      <c r="H168" s="1"/>
      <c r="K168" s="1"/>
      <c r="N168" s="1"/>
      <c r="Q168" s="1"/>
      <c r="T168" s="1"/>
      <c r="W168" s="1"/>
      <c r="Y168" s="1"/>
      <c r="AB168" s="3"/>
    </row>
    <row r="169" ht="15.75" customHeight="1">
      <c r="E169" s="1"/>
      <c r="H169" s="1"/>
      <c r="K169" s="1"/>
      <c r="N169" s="1"/>
      <c r="Q169" s="1"/>
      <c r="T169" s="1"/>
      <c r="W169" s="1"/>
      <c r="Y169" s="1"/>
      <c r="AB169" s="3"/>
    </row>
    <row r="170" ht="15.75" customHeight="1">
      <c r="E170" s="1"/>
      <c r="H170" s="1"/>
      <c r="K170" s="1"/>
      <c r="N170" s="1"/>
      <c r="Q170" s="1"/>
      <c r="T170" s="1"/>
      <c r="W170" s="1"/>
      <c r="Y170" s="1"/>
      <c r="AB170" s="3"/>
    </row>
    <row r="171" ht="15.75" customHeight="1">
      <c r="E171" s="1"/>
      <c r="H171" s="1"/>
      <c r="K171" s="1"/>
      <c r="N171" s="1"/>
      <c r="Q171" s="1"/>
      <c r="T171" s="1"/>
      <c r="W171" s="1"/>
      <c r="Y171" s="1"/>
      <c r="AB171" s="3"/>
    </row>
    <row r="172" ht="15.75" customHeight="1">
      <c r="E172" s="1"/>
      <c r="H172" s="1"/>
      <c r="K172" s="1"/>
      <c r="N172" s="1"/>
      <c r="Q172" s="1"/>
      <c r="T172" s="1"/>
      <c r="W172" s="1"/>
      <c r="Y172" s="1"/>
      <c r="AB172" s="3"/>
    </row>
    <row r="173" ht="15.75" customHeight="1">
      <c r="E173" s="1"/>
      <c r="H173" s="1"/>
      <c r="K173" s="1"/>
      <c r="N173" s="1"/>
      <c r="Q173" s="1"/>
      <c r="T173" s="1"/>
      <c r="W173" s="1"/>
      <c r="Y173" s="1"/>
      <c r="AB173" s="3"/>
    </row>
    <row r="174" ht="15.75" customHeight="1">
      <c r="E174" s="1"/>
      <c r="H174" s="1"/>
      <c r="K174" s="1"/>
      <c r="N174" s="1"/>
      <c r="Q174" s="1"/>
      <c r="T174" s="1"/>
      <c r="W174" s="1"/>
      <c r="Y174" s="1"/>
      <c r="AB174" s="3"/>
    </row>
    <row r="175" ht="15.75" customHeight="1">
      <c r="E175" s="1"/>
      <c r="H175" s="1"/>
      <c r="K175" s="1"/>
      <c r="N175" s="1"/>
      <c r="Q175" s="1"/>
      <c r="T175" s="1"/>
      <c r="W175" s="1"/>
      <c r="Y175" s="1"/>
      <c r="AB175" s="3"/>
    </row>
    <row r="176" ht="15.75" customHeight="1">
      <c r="E176" s="1"/>
      <c r="H176" s="1"/>
      <c r="K176" s="1"/>
      <c r="N176" s="1"/>
      <c r="Q176" s="1"/>
      <c r="T176" s="1"/>
      <c r="W176" s="1"/>
      <c r="Y176" s="1"/>
      <c r="AB176" s="3"/>
    </row>
    <row r="177" ht="15.75" customHeight="1">
      <c r="E177" s="1"/>
      <c r="H177" s="1"/>
      <c r="K177" s="1"/>
      <c r="N177" s="1"/>
      <c r="Q177" s="1"/>
      <c r="T177" s="1"/>
      <c r="W177" s="1"/>
      <c r="Y177" s="1"/>
      <c r="AB177" s="3"/>
    </row>
    <row r="178" ht="15.75" customHeight="1">
      <c r="E178" s="1"/>
      <c r="H178" s="1"/>
      <c r="K178" s="1"/>
      <c r="N178" s="1"/>
      <c r="Q178" s="1"/>
      <c r="T178" s="1"/>
      <c r="W178" s="1"/>
      <c r="Y178" s="1"/>
      <c r="AB178" s="3"/>
    </row>
    <row r="179" ht="15.75" customHeight="1">
      <c r="E179" s="1"/>
      <c r="H179" s="1"/>
      <c r="K179" s="1"/>
      <c r="N179" s="1"/>
      <c r="Q179" s="1"/>
      <c r="T179" s="1"/>
      <c r="W179" s="1"/>
      <c r="Y179" s="1"/>
      <c r="AB179" s="3"/>
    </row>
    <row r="180" ht="15.75" customHeight="1">
      <c r="E180" s="1"/>
      <c r="H180" s="1"/>
      <c r="K180" s="1"/>
      <c r="N180" s="1"/>
      <c r="Q180" s="1"/>
      <c r="T180" s="1"/>
      <c r="W180" s="1"/>
      <c r="Y180" s="1"/>
      <c r="AB180" s="3"/>
    </row>
    <row r="181" ht="15.75" customHeight="1">
      <c r="E181" s="1"/>
      <c r="H181" s="1"/>
      <c r="K181" s="1"/>
      <c r="N181" s="1"/>
      <c r="Q181" s="1"/>
      <c r="T181" s="1"/>
      <c r="W181" s="1"/>
      <c r="Y181" s="1"/>
      <c r="AB181" s="3"/>
    </row>
    <row r="182" ht="15.75" customHeight="1">
      <c r="E182" s="1"/>
      <c r="H182" s="1"/>
      <c r="K182" s="1"/>
      <c r="N182" s="1"/>
      <c r="Q182" s="1"/>
      <c r="T182" s="1"/>
      <c r="W182" s="1"/>
      <c r="Y182" s="1"/>
      <c r="AB182" s="3"/>
    </row>
    <row r="183" ht="15.75" customHeight="1">
      <c r="E183" s="1"/>
      <c r="H183" s="1"/>
      <c r="K183" s="1"/>
      <c r="N183" s="1"/>
      <c r="Q183" s="1"/>
      <c r="T183" s="1"/>
      <c r="W183" s="1"/>
      <c r="Y183" s="1"/>
      <c r="AB183" s="3"/>
    </row>
    <row r="184" ht="15.75" customHeight="1">
      <c r="E184" s="1"/>
      <c r="H184" s="1"/>
      <c r="K184" s="1"/>
      <c r="N184" s="1"/>
      <c r="Q184" s="1"/>
      <c r="T184" s="1"/>
      <c r="W184" s="1"/>
      <c r="Y184" s="1"/>
      <c r="AB184" s="3"/>
    </row>
    <row r="185" ht="15.75" customHeight="1">
      <c r="E185" s="1"/>
      <c r="H185" s="1"/>
      <c r="K185" s="1"/>
      <c r="N185" s="1"/>
      <c r="Q185" s="1"/>
      <c r="T185" s="1"/>
      <c r="W185" s="1"/>
      <c r="Y185" s="1"/>
      <c r="AB185" s="3"/>
    </row>
    <row r="186" ht="15.75" customHeight="1">
      <c r="E186" s="1"/>
      <c r="H186" s="1"/>
      <c r="K186" s="1"/>
      <c r="N186" s="1"/>
      <c r="Q186" s="1"/>
      <c r="T186" s="1"/>
      <c r="W186" s="1"/>
      <c r="Y186" s="1"/>
      <c r="AB186" s="3"/>
    </row>
    <row r="187" ht="15.75" customHeight="1">
      <c r="E187" s="1"/>
      <c r="H187" s="1"/>
      <c r="K187" s="1"/>
      <c r="N187" s="1"/>
      <c r="Q187" s="1"/>
      <c r="T187" s="1"/>
      <c r="W187" s="1"/>
      <c r="Y187" s="1"/>
      <c r="AB187" s="3"/>
    </row>
    <row r="188" ht="15.75" customHeight="1">
      <c r="E188" s="1"/>
      <c r="H188" s="1"/>
      <c r="K188" s="1"/>
      <c r="N188" s="1"/>
      <c r="Q188" s="1"/>
      <c r="T188" s="1"/>
      <c r="W188" s="1"/>
      <c r="Y188" s="1"/>
      <c r="AB188" s="3"/>
    </row>
    <row r="189" ht="15.75" customHeight="1">
      <c r="E189" s="1"/>
      <c r="H189" s="1"/>
      <c r="K189" s="1"/>
      <c r="N189" s="1"/>
      <c r="Q189" s="1"/>
      <c r="T189" s="1"/>
      <c r="W189" s="1"/>
      <c r="Y189" s="1"/>
      <c r="AB189" s="3"/>
    </row>
    <row r="190" ht="15.75" customHeight="1">
      <c r="E190" s="1"/>
      <c r="H190" s="1"/>
      <c r="K190" s="1"/>
      <c r="N190" s="1"/>
      <c r="Q190" s="1"/>
      <c r="T190" s="1"/>
      <c r="W190" s="1"/>
      <c r="Y190" s="1"/>
      <c r="AB190" s="3"/>
    </row>
    <row r="191" ht="15.75" customHeight="1">
      <c r="E191" s="1"/>
      <c r="H191" s="1"/>
      <c r="K191" s="1"/>
      <c r="N191" s="1"/>
      <c r="Q191" s="1"/>
      <c r="T191" s="1"/>
      <c r="W191" s="1"/>
      <c r="Y191" s="1"/>
      <c r="AB191" s="3"/>
    </row>
    <row r="192" ht="15.75" customHeight="1">
      <c r="E192" s="1"/>
      <c r="H192" s="1"/>
      <c r="K192" s="1"/>
      <c r="N192" s="1"/>
      <c r="Q192" s="1"/>
      <c r="T192" s="1"/>
      <c r="W192" s="1"/>
      <c r="Y192" s="1"/>
      <c r="AB192" s="3"/>
    </row>
    <row r="193" ht="15.75" customHeight="1">
      <c r="E193" s="1"/>
      <c r="H193" s="1"/>
      <c r="K193" s="1"/>
      <c r="N193" s="1"/>
      <c r="Q193" s="1"/>
      <c r="T193" s="1"/>
      <c r="W193" s="1"/>
      <c r="Y193" s="1"/>
      <c r="AB193" s="3"/>
    </row>
    <row r="194" ht="15.75" customHeight="1">
      <c r="E194" s="1"/>
      <c r="H194" s="1"/>
      <c r="K194" s="1"/>
      <c r="N194" s="1"/>
      <c r="Q194" s="1"/>
      <c r="T194" s="1"/>
      <c r="W194" s="1"/>
      <c r="Y194" s="1"/>
      <c r="AB194" s="3"/>
    </row>
    <row r="195" ht="15.75" customHeight="1">
      <c r="E195" s="1"/>
      <c r="H195" s="1"/>
      <c r="K195" s="1"/>
      <c r="N195" s="1"/>
      <c r="Q195" s="1"/>
      <c r="T195" s="1"/>
      <c r="W195" s="1"/>
      <c r="Y195" s="1"/>
      <c r="AB195" s="3"/>
    </row>
    <row r="196" ht="15.75" customHeight="1">
      <c r="E196" s="1"/>
      <c r="H196" s="1"/>
      <c r="K196" s="1"/>
      <c r="N196" s="1"/>
      <c r="Q196" s="1"/>
      <c r="T196" s="1"/>
      <c r="W196" s="1"/>
      <c r="Y196" s="1"/>
      <c r="AB196" s="3"/>
    </row>
    <row r="197" ht="15.75" customHeight="1">
      <c r="E197" s="1"/>
      <c r="H197" s="1"/>
      <c r="K197" s="1"/>
      <c r="N197" s="1"/>
      <c r="Q197" s="1"/>
      <c r="T197" s="1"/>
      <c r="W197" s="1"/>
      <c r="Y197" s="1"/>
      <c r="AB197" s="3"/>
    </row>
    <row r="198" ht="15.75" customHeight="1">
      <c r="E198" s="1"/>
      <c r="H198" s="1"/>
      <c r="K198" s="1"/>
      <c r="N198" s="1"/>
      <c r="Q198" s="1"/>
      <c r="T198" s="1"/>
      <c r="W198" s="1"/>
      <c r="Y198" s="1"/>
      <c r="AB198" s="3"/>
    </row>
    <row r="199" ht="15.75" customHeight="1">
      <c r="E199" s="1"/>
      <c r="H199" s="1"/>
      <c r="K199" s="1"/>
      <c r="N199" s="1"/>
      <c r="Q199" s="1"/>
      <c r="T199" s="1"/>
      <c r="W199" s="1"/>
      <c r="Y199" s="1"/>
      <c r="AB199" s="3"/>
    </row>
    <row r="200" ht="15.75" customHeight="1">
      <c r="E200" s="1"/>
      <c r="H200" s="1"/>
      <c r="K200" s="1"/>
      <c r="N200" s="1"/>
      <c r="Q200" s="1"/>
      <c r="T200" s="1"/>
      <c r="W200" s="1"/>
      <c r="Y200" s="1"/>
      <c r="AB200" s="3"/>
    </row>
    <row r="201" ht="15.75" customHeight="1">
      <c r="E201" s="1"/>
      <c r="H201" s="1"/>
      <c r="K201" s="1"/>
      <c r="N201" s="1"/>
      <c r="Q201" s="1"/>
      <c r="T201" s="1"/>
      <c r="W201" s="1"/>
      <c r="Y201" s="1"/>
      <c r="AB201" s="3"/>
    </row>
    <row r="202" ht="15.75" customHeight="1">
      <c r="E202" s="1"/>
      <c r="H202" s="1"/>
      <c r="K202" s="1"/>
      <c r="N202" s="1"/>
      <c r="Q202" s="1"/>
      <c r="T202" s="1"/>
      <c r="W202" s="1"/>
      <c r="Y202" s="1"/>
      <c r="AB202" s="3"/>
    </row>
    <row r="203" ht="15.75" customHeight="1">
      <c r="E203" s="1"/>
      <c r="H203" s="1"/>
      <c r="K203" s="1"/>
      <c r="N203" s="1"/>
      <c r="Q203" s="1"/>
      <c r="T203" s="1"/>
      <c r="W203" s="1"/>
      <c r="Y203" s="1"/>
      <c r="AB203" s="3"/>
    </row>
    <row r="204" ht="15.75" customHeight="1">
      <c r="E204" s="1"/>
      <c r="H204" s="1"/>
      <c r="K204" s="1"/>
      <c r="N204" s="1"/>
      <c r="Q204" s="1"/>
      <c r="T204" s="1"/>
      <c r="W204" s="1"/>
      <c r="Y204" s="1"/>
      <c r="AB204" s="3"/>
    </row>
    <row r="205" ht="15.75" customHeight="1">
      <c r="E205" s="1"/>
      <c r="H205" s="1"/>
      <c r="K205" s="1"/>
      <c r="N205" s="1"/>
      <c r="Q205" s="1"/>
      <c r="T205" s="1"/>
      <c r="W205" s="1"/>
      <c r="Y205" s="1"/>
      <c r="AB205" s="3"/>
    </row>
    <row r="206" ht="15.75" customHeight="1">
      <c r="E206" s="1"/>
      <c r="H206" s="1"/>
      <c r="K206" s="1"/>
      <c r="N206" s="1"/>
      <c r="Q206" s="1"/>
      <c r="T206" s="1"/>
      <c r="W206" s="1"/>
      <c r="Y206" s="1"/>
      <c r="AB206" s="3"/>
    </row>
    <row r="207" ht="15.75" customHeight="1">
      <c r="E207" s="1"/>
      <c r="H207" s="1"/>
      <c r="K207" s="1"/>
      <c r="N207" s="1"/>
      <c r="Q207" s="1"/>
      <c r="T207" s="1"/>
      <c r="W207" s="1"/>
      <c r="Y207" s="1"/>
      <c r="AB207" s="3"/>
    </row>
    <row r="208" ht="15.75" customHeight="1">
      <c r="E208" s="1"/>
      <c r="H208" s="1"/>
      <c r="K208" s="1"/>
      <c r="N208" s="1"/>
      <c r="Q208" s="1"/>
      <c r="T208" s="1"/>
      <c r="W208" s="1"/>
      <c r="Y208" s="1"/>
      <c r="AB208" s="3"/>
    </row>
    <row r="209" ht="15.75" customHeight="1">
      <c r="E209" s="1"/>
      <c r="H209" s="1"/>
      <c r="K209" s="1"/>
      <c r="N209" s="1"/>
      <c r="Q209" s="1"/>
      <c r="T209" s="1"/>
      <c r="W209" s="1"/>
      <c r="Y209" s="1"/>
      <c r="AB209" s="3"/>
    </row>
    <row r="210" ht="15.75" customHeight="1">
      <c r="E210" s="1"/>
      <c r="H210" s="1"/>
      <c r="K210" s="1"/>
      <c r="N210" s="1"/>
      <c r="Q210" s="1"/>
      <c r="T210" s="1"/>
      <c r="W210" s="1"/>
      <c r="Y210" s="1"/>
      <c r="AB210" s="3"/>
    </row>
    <row r="211" ht="15.75" customHeight="1">
      <c r="E211" s="1"/>
      <c r="H211" s="1"/>
      <c r="K211" s="1"/>
      <c r="N211" s="1"/>
      <c r="Q211" s="1"/>
      <c r="T211" s="1"/>
      <c r="W211" s="1"/>
      <c r="Y211" s="1"/>
      <c r="AB211" s="3"/>
    </row>
    <row r="212" ht="15.75" customHeight="1">
      <c r="E212" s="1"/>
      <c r="H212" s="1"/>
      <c r="K212" s="1"/>
      <c r="N212" s="1"/>
      <c r="Q212" s="1"/>
      <c r="T212" s="1"/>
      <c r="W212" s="1"/>
      <c r="Y212" s="1"/>
      <c r="AB212" s="3"/>
    </row>
    <row r="213" ht="15.75" customHeight="1">
      <c r="E213" s="1"/>
      <c r="H213" s="1"/>
      <c r="K213" s="1"/>
      <c r="N213" s="1"/>
      <c r="Q213" s="1"/>
      <c r="T213" s="1"/>
      <c r="W213" s="1"/>
      <c r="Y213" s="1"/>
      <c r="AB213" s="3"/>
    </row>
    <row r="214" ht="15.75" customHeight="1">
      <c r="E214" s="1"/>
      <c r="H214" s="1"/>
      <c r="K214" s="1"/>
      <c r="N214" s="1"/>
      <c r="Q214" s="1"/>
      <c r="T214" s="1"/>
      <c r="W214" s="1"/>
      <c r="Y214" s="1"/>
      <c r="AB214" s="3"/>
    </row>
    <row r="215" ht="15.75" customHeight="1">
      <c r="E215" s="1"/>
      <c r="H215" s="1"/>
      <c r="K215" s="1"/>
      <c r="N215" s="1"/>
      <c r="Q215" s="1"/>
      <c r="T215" s="1"/>
      <c r="W215" s="1"/>
      <c r="Y215" s="1"/>
      <c r="AB215" s="3"/>
    </row>
    <row r="216" ht="15.75" customHeight="1">
      <c r="E216" s="1"/>
      <c r="H216" s="1"/>
      <c r="K216" s="1"/>
      <c r="N216" s="1"/>
      <c r="Q216" s="1"/>
      <c r="T216" s="1"/>
      <c r="W216" s="1"/>
      <c r="Y216" s="1"/>
      <c r="AB216" s="3"/>
    </row>
    <row r="217" ht="15.75" customHeight="1">
      <c r="E217" s="1"/>
      <c r="H217" s="1"/>
      <c r="K217" s="1"/>
      <c r="N217" s="1"/>
      <c r="Q217" s="1"/>
      <c r="T217" s="1"/>
      <c r="W217" s="1"/>
      <c r="Y217" s="1"/>
      <c r="AB217" s="3"/>
    </row>
    <row r="218" ht="15.75" customHeight="1">
      <c r="E218" s="1"/>
      <c r="H218" s="1"/>
      <c r="K218" s="1"/>
      <c r="N218" s="1"/>
      <c r="Q218" s="1"/>
      <c r="T218" s="1"/>
      <c r="W218" s="1"/>
      <c r="Y218" s="1"/>
      <c r="AB218" s="3"/>
    </row>
    <row r="219" ht="15.75" customHeight="1">
      <c r="E219" s="1"/>
      <c r="H219" s="1"/>
      <c r="K219" s="1"/>
      <c r="N219" s="1"/>
      <c r="Q219" s="1"/>
      <c r="T219" s="1"/>
      <c r="W219" s="1"/>
      <c r="Y219" s="1"/>
      <c r="AB219" s="3"/>
    </row>
    <row r="220" ht="15.75" customHeight="1">
      <c r="E220" s="1"/>
      <c r="H220" s="1"/>
      <c r="K220" s="1"/>
      <c r="N220" s="1"/>
      <c r="Q220" s="1"/>
      <c r="T220" s="1"/>
      <c r="W220" s="1"/>
      <c r="Y220" s="1"/>
      <c r="AB220" s="3"/>
    </row>
    <row r="221" ht="15.75" customHeight="1">
      <c r="E221" s="1"/>
      <c r="H221" s="1"/>
      <c r="K221" s="1"/>
      <c r="N221" s="1"/>
      <c r="Q221" s="1"/>
      <c r="T221" s="1"/>
      <c r="W221" s="1"/>
      <c r="Y221" s="1"/>
      <c r="AB221" s="3"/>
    </row>
    <row r="222" ht="15.75" customHeight="1">
      <c r="E222" s="1"/>
      <c r="H222" s="1"/>
      <c r="K222" s="1"/>
      <c r="N222" s="1"/>
      <c r="Q222" s="1"/>
      <c r="T222" s="1"/>
      <c r="W222" s="1"/>
      <c r="Y222" s="1"/>
      <c r="AB222" s="3"/>
    </row>
    <row r="223" ht="15.75" customHeight="1">
      <c r="E223" s="1"/>
      <c r="H223" s="1"/>
      <c r="K223" s="1"/>
      <c r="N223" s="1"/>
      <c r="Q223" s="1"/>
      <c r="T223" s="1"/>
      <c r="W223" s="1"/>
      <c r="Y223" s="1"/>
      <c r="AB223" s="3"/>
    </row>
    <row r="224" ht="15.75" customHeight="1">
      <c r="E224" s="1"/>
      <c r="H224" s="1"/>
      <c r="K224" s="1"/>
      <c r="N224" s="1"/>
      <c r="Q224" s="1"/>
      <c r="T224" s="1"/>
      <c r="W224" s="1"/>
      <c r="Y224" s="1"/>
      <c r="AB224" s="3"/>
    </row>
    <row r="225" ht="15.75" customHeight="1">
      <c r="E225" s="1"/>
      <c r="H225" s="1"/>
      <c r="K225" s="1"/>
      <c r="N225" s="1"/>
      <c r="Q225" s="1"/>
      <c r="T225" s="1"/>
      <c r="W225" s="1"/>
      <c r="Y225" s="1"/>
      <c r="AB225" s="3"/>
    </row>
    <row r="226" ht="15.75" customHeight="1">
      <c r="E226" s="1"/>
      <c r="H226" s="1"/>
      <c r="K226" s="1"/>
      <c r="N226" s="1"/>
      <c r="Q226" s="1"/>
      <c r="T226" s="1"/>
      <c r="W226" s="1"/>
      <c r="Y226" s="1"/>
      <c r="AB226" s="3"/>
    </row>
    <row r="227" ht="15.75" customHeight="1">
      <c r="E227" s="1"/>
      <c r="H227" s="1"/>
      <c r="K227" s="1"/>
      <c r="N227" s="1"/>
      <c r="Q227" s="1"/>
      <c r="T227" s="1"/>
      <c r="W227" s="1"/>
      <c r="Y227" s="1"/>
      <c r="AB227" s="3"/>
    </row>
    <row r="228" ht="15.75" customHeight="1">
      <c r="E228" s="1"/>
      <c r="H228" s="1"/>
      <c r="K228" s="1"/>
      <c r="N228" s="1"/>
      <c r="Q228" s="1"/>
      <c r="T228" s="1"/>
      <c r="W228" s="1"/>
      <c r="Y228" s="1"/>
      <c r="AB228" s="3"/>
    </row>
    <row r="229" ht="15.75" customHeight="1">
      <c r="E229" s="1"/>
      <c r="H229" s="1"/>
      <c r="K229" s="1"/>
      <c r="N229" s="1"/>
      <c r="Q229" s="1"/>
      <c r="T229" s="1"/>
      <c r="W229" s="1"/>
      <c r="Y229" s="1"/>
      <c r="AB229" s="3"/>
    </row>
    <row r="230" ht="15.75" customHeight="1">
      <c r="E230" s="1"/>
      <c r="H230" s="1"/>
      <c r="K230" s="1"/>
      <c r="N230" s="1"/>
      <c r="Q230" s="1"/>
      <c r="T230" s="1"/>
      <c r="W230" s="1"/>
      <c r="Y230" s="1"/>
      <c r="AB230" s="3"/>
    </row>
    <row r="231" ht="15.75" customHeight="1">
      <c r="E231" s="1"/>
      <c r="H231" s="1"/>
      <c r="K231" s="1"/>
      <c r="N231" s="1"/>
      <c r="Q231" s="1"/>
      <c r="T231" s="1"/>
      <c r="W231" s="1"/>
      <c r="Y231" s="1"/>
      <c r="AB231" s="3"/>
    </row>
    <row r="232" ht="15.75" customHeight="1">
      <c r="E232" s="1"/>
      <c r="H232" s="1"/>
      <c r="K232" s="1"/>
      <c r="N232" s="1"/>
      <c r="Q232" s="1"/>
      <c r="T232" s="1"/>
      <c r="W232" s="1"/>
      <c r="Y232" s="1"/>
      <c r="AB232" s="3"/>
    </row>
    <row r="233" ht="15.75" customHeight="1">
      <c r="E233" s="1"/>
      <c r="H233" s="1"/>
      <c r="K233" s="1"/>
      <c r="N233" s="1"/>
      <c r="Q233" s="1"/>
      <c r="T233" s="1"/>
      <c r="W233" s="1"/>
      <c r="Y233" s="1"/>
      <c r="AB233" s="3"/>
    </row>
    <row r="234" ht="15.75" customHeight="1">
      <c r="E234" s="1"/>
      <c r="H234" s="1"/>
      <c r="K234" s="1"/>
      <c r="N234" s="1"/>
      <c r="Q234" s="1"/>
      <c r="T234" s="1"/>
      <c r="W234" s="1"/>
      <c r="Y234" s="1"/>
      <c r="AB234" s="3"/>
    </row>
    <row r="235" ht="15.75" customHeight="1">
      <c r="E235" s="1"/>
      <c r="H235" s="1"/>
      <c r="K235" s="1"/>
      <c r="N235" s="1"/>
      <c r="Q235" s="1"/>
      <c r="T235" s="1"/>
      <c r="W235" s="1"/>
      <c r="Y235" s="1"/>
      <c r="AB235" s="3"/>
    </row>
    <row r="236" ht="15.75" customHeight="1">
      <c r="E236" s="1"/>
      <c r="H236" s="1"/>
      <c r="K236" s="1"/>
      <c r="N236" s="1"/>
      <c r="Q236" s="1"/>
      <c r="T236" s="1"/>
      <c r="W236" s="1"/>
      <c r="Y236" s="1"/>
      <c r="AB236" s="3"/>
    </row>
    <row r="237" ht="15.75" customHeight="1">
      <c r="E237" s="1"/>
      <c r="H237" s="1"/>
      <c r="K237" s="1"/>
      <c r="N237" s="1"/>
      <c r="Q237" s="1"/>
      <c r="T237" s="1"/>
      <c r="W237" s="1"/>
      <c r="Y237" s="1"/>
      <c r="AB237" s="3"/>
    </row>
    <row r="238" ht="15.75" customHeight="1">
      <c r="E238" s="1"/>
      <c r="H238" s="1"/>
      <c r="K238" s="1"/>
      <c r="N238" s="1"/>
      <c r="Q238" s="1"/>
      <c r="T238" s="1"/>
      <c r="W238" s="1"/>
      <c r="Y238" s="1"/>
      <c r="AB238" s="3"/>
    </row>
    <row r="239" ht="15.75" customHeight="1">
      <c r="E239" s="1"/>
      <c r="H239" s="1"/>
      <c r="K239" s="1"/>
      <c r="N239" s="1"/>
      <c r="Q239" s="1"/>
      <c r="T239" s="1"/>
      <c r="W239" s="1"/>
      <c r="Y239" s="1"/>
      <c r="AB239" s="3"/>
    </row>
    <row r="240" ht="15.75" customHeight="1">
      <c r="E240" s="1"/>
      <c r="H240" s="1"/>
      <c r="K240" s="1"/>
      <c r="N240" s="1"/>
      <c r="Q240" s="1"/>
      <c r="T240" s="1"/>
      <c r="W240" s="1"/>
      <c r="Y240" s="1"/>
      <c r="AB240" s="3"/>
    </row>
    <row r="241" ht="15.75" customHeight="1">
      <c r="E241" s="1"/>
      <c r="H241" s="1"/>
      <c r="K241" s="1"/>
      <c r="N241" s="1"/>
      <c r="Q241" s="1"/>
      <c r="T241" s="1"/>
      <c r="W241" s="1"/>
      <c r="Y241" s="1"/>
      <c r="AB241" s="3"/>
    </row>
    <row r="242" ht="15.75" customHeight="1">
      <c r="E242" s="1"/>
      <c r="H242" s="1"/>
      <c r="K242" s="1"/>
      <c r="N242" s="1"/>
      <c r="Q242" s="1"/>
      <c r="T242" s="1"/>
      <c r="W242" s="1"/>
      <c r="Y242" s="1"/>
      <c r="AB242" s="3"/>
    </row>
    <row r="243" ht="15.75" customHeight="1">
      <c r="E243" s="1"/>
      <c r="H243" s="1"/>
      <c r="K243" s="1"/>
      <c r="N243" s="1"/>
      <c r="Q243" s="1"/>
      <c r="T243" s="1"/>
      <c r="W243" s="1"/>
      <c r="Y243" s="1"/>
      <c r="AB243" s="3"/>
    </row>
    <row r="244" ht="15.75" customHeight="1">
      <c r="E244" s="1"/>
      <c r="H244" s="1"/>
      <c r="K244" s="1"/>
      <c r="N244" s="1"/>
      <c r="Q244" s="1"/>
      <c r="T244" s="1"/>
      <c r="W244" s="1"/>
      <c r="Y244" s="1"/>
      <c r="AB244" s="3"/>
    </row>
    <row r="245" ht="15.75" customHeight="1">
      <c r="E245" s="1"/>
      <c r="H245" s="1"/>
      <c r="K245" s="1"/>
      <c r="N245" s="1"/>
      <c r="Q245" s="1"/>
      <c r="T245" s="1"/>
      <c r="W245" s="1"/>
      <c r="Y245" s="1"/>
      <c r="AB245" s="3"/>
    </row>
    <row r="246" ht="15.75" customHeight="1">
      <c r="E246" s="1"/>
      <c r="H246" s="1"/>
      <c r="K246" s="1"/>
      <c r="N246" s="1"/>
      <c r="Q246" s="1"/>
      <c r="T246" s="1"/>
      <c r="W246" s="1"/>
      <c r="Y246" s="1"/>
      <c r="AB246" s="3"/>
    </row>
    <row r="247" ht="15.75" customHeight="1">
      <c r="E247" s="1"/>
      <c r="H247" s="1"/>
      <c r="K247" s="1"/>
      <c r="N247" s="1"/>
      <c r="Q247" s="1"/>
      <c r="T247" s="1"/>
      <c r="W247" s="1"/>
      <c r="Y247" s="1"/>
      <c r="AB247" s="3"/>
    </row>
    <row r="248" ht="15.75" customHeight="1">
      <c r="E248" s="1"/>
      <c r="H248" s="1"/>
      <c r="K248" s="1"/>
      <c r="N248" s="1"/>
      <c r="Q248" s="1"/>
      <c r="T248" s="1"/>
      <c r="W248" s="1"/>
      <c r="Y248" s="1"/>
      <c r="AB248" s="3"/>
    </row>
    <row r="249" ht="15.75" customHeight="1">
      <c r="E249" s="1"/>
      <c r="H249" s="1"/>
      <c r="K249" s="1"/>
      <c r="N249" s="1"/>
      <c r="Q249" s="1"/>
      <c r="T249" s="1"/>
      <c r="W249" s="1"/>
      <c r="Y249" s="1"/>
      <c r="AB249" s="3"/>
    </row>
    <row r="250" ht="15.75" customHeight="1">
      <c r="E250" s="1"/>
      <c r="H250" s="1"/>
      <c r="K250" s="1"/>
      <c r="N250" s="1"/>
      <c r="Q250" s="1"/>
      <c r="T250" s="1"/>
      <c r="W250" s="1"/>
      <c r="Y250" s="1"/>
      <c r="AB250" s="3"/>
    </row>
    <row r="251" ht="15.75" customHeight="1">
      <c r="E251" s="1"/>
      <c r="H251" s="1"/>
      <c r="K251" s="1"/>
      <c r="N251" s="1"/>
      <c r="Q251" s="1"/>
      <c r="T251" s="1"/>
      <c r="W251" s="1"/>
      <c r="Y251" s="1"/>
      <c r="AB251" s="3"/>
    </row>
    <row r="252" ht="15.75" customHeight="1">
      <c r="E252" s="1"/>
      <c r="H252" s="1"/>
      <c r="K252" s="1"/>
      <c r="N252" s="1"/>
      <c r="Q252" s="1"/>
      <c r="T252" s="1"/>
      <c r="W252" s="1"/>
      <c r="Y252" s="1"/>
      <c r="AB252" s="3"/>
    </row>
    <row r="253" ht="15.75" customHeight="1">
      <c r="E253" s="1"/>
      <c r="H253" s="1"/>
      <c r="K253" s="1"/>
      <c r="N253" s="1"/>
      <c r="Q253" s="1"/>
      <c r="T253" s="1"/>
      <c r="W253" s="1"/>
      <c r="Y253" s="1"/>
      <c r="AB253" s="3"/>
    </row>
    <row r="254" ht="15.75" customHeight="1">
      <c r="E254" s="1"/>
      <c r="H254" s="1"/>
      <c r="K254" s="1"/>
      <c r="N254" s="1"/>
      <c r="Q254" s="1"/>
      <c r="T254" s="1"/>
      <c r="W254" s="1"/>
      <c r="Y254" s="1"/>
      <c r="AB254" s="3"/>
    </row>
    <row r="255" ht="15.75" customHeight="1">
      <c r="E255" s="1"/>
      <c r="H255" s="1"/>
      <c r="K255" s="1"/>
      <c r="N255" s="1"/>
      <c r="Q255" s="1"/>
      <c r="T255" s="1"/>
      <c r="W255" s="1"/>
      <c r="Y255" s="1"/>
      <c r="AB255" s="3"/>
    </row>
    <row r="256" ht="15.75" customHeight="1">
      <c r="E256" s="1"/>
      <c r="H256" s="1"/>
      <c r="K256" s="1"/>
      <c r="N256" s="1"/>
      <c r="Q256" s="1"/>
      <c r="T256" s="1"/>
      <c r="W256" s="1"/>
      <c r="Y256" s="1"/>
      <c r="AB256" s="3"/>
    </row>
    <row r="257" ht="15.75" customHeight="1">
      <c r="E257" s="1"/>
      <c r="H257" s="1"/>
      <c r="K257" s="1"/>
      <c r="N257" s="1"/>
      <c r="Q257" s="1"/>
      <c r="T257" s="1"/>
      <c r="W257" s="1"/>
      <c r="Y257" s="1"/>
      <c r="AB257" s="3"/>
    </row>
    <row r="258" ht="15.75" customHeight="1">
      <c r="E258" s="1"/>
      <c r="H258" s="1"/>
      <c r="K258" s="1"/>
      <c r="N258" s="1"/>
      <c r="Q258" s="1"/>
      <c r="T258" s="1"/>
      <c r="W258" s="1"/>
      <c r="Y258" s="1"/>
      <c r="AB258" s="3"/>
    </row>
    <row r="259" ht="15.75" customHeight="1">
      <c r="E259" s="1"/>
      <c r="H259" s="1"/>
      <c r="K259" s="1"/>
      <c r="N259" s="1"/>
      <c r="Q259" s="1"/>
      <c r="T259" s="1"/>
      <c r="W259" s="1"/>
      <c r="Y259" s="1"/>
      <c r="AB259" s="3"/>
    </row>
    <row r="260" ht="15.75" customHeight="1">
      <c r="E260" s="1"/>
      <c r="H260" s="1"/>
      <c r="K260" s="1"/>
      <c r="N260" s="1"/>
      <c r="Q260" s="1"/>
      <c r="T260" s="1"/>
      <c r="W260" s="1"/>
      <c r="Y260" s="1"/>
      <c r="AB260" s="3"/>
    </row>
    <row r="261" ht="15.75" customHeight="1">
      <c r="E261" s="1"/>
      <c r="H261" s="1"/>
      <c r="K261" s="1"/>
      <c r="N261" s="1"/>
      <c r="Q261" s="1"/>
      <c r="T261" s="1"/>
      <c r="W261" s="1"/>
      <c r="Y261" s="1"/>
      <c r="AB261" s="3"/>
    </row>
    <row r="262" ht="15.75" customHeight="1">
      <c r="E262" s="1"/>
      <c r="H262" s="1"/>
      <c r="K262" s="1"/>
      <c r="N262" s="1"/>
      <c r="Q262" s="1"/>
      <c r="T262" s="1"/>
      <c r="W262" s="1"/>
      <c r="Y262" s="1"/>
      <c r="AB262" s="3"/>
    </row>
    <row r="263" ht="15.75" customHeight="1">
      <c r="E263" s="1"/>
      <c r="H263" s="1"/>
      <c r="K263" s="1"/>
      <c r="N263" s="1"/>
      <c r="Q263" s="1"/>
      <c r="T263" s="1"/>
      <c r="W263" s="1"/>
      <c r="Y263" s="1"/>
      <c r="AB263" s="3"/>
    </row>
    <row r="264" ht="15.75" customHeight="1">
      <c r="E264" s="1"/>
      <c r="H264" s="1"/>
      <c r="K264" s="1"/>
      <c r="N264" s="1"/>
      <c r="Q264" s="1"/>
      <c r="T264" s="1"/>
      <c r="W264" s="1"/>
      <c r="Y264" s="1"/>
      <c r="AB264" s="3"/>
    </row>
    <row r="265" ht="15.75" customHeight="1">
      <c r="E265" s="1"/>
      <c r="H265" s="1"/>
      <c r="K265" s="1"/>
      <c r="N265" s="1"/>
      <c r="Q265" s="1"/>
      <c r="T265" s="1"/>
      <c r="W265" s="1"/>
      <c r="Y265" s="1"/>
      <c r="AB265" s="3"/>
    </row>
    <row r="266" ht="15.75" customHeight="1">
      <c r="E266" s="1"/>
      <c r="H266" s="1"/>
      <c r="K266" s="1"/>
      <c r="N266" s="1"/>
      <c r="Q266" s="1"/>
      <c r="T266" s="1"/>
      <c r="W266" s="1"/>
      <c r="Y266" s="1"/>
      <c r="AB266" s="3"/>
    </row>
    <row r="267" ht="15.75" customHeight="1">
      <c r="E267" s="1"/>
      <c r="H267" s="1"/>
      <c r="K267" s="1"/>
      <c r="N267" s="1"/>
      <c r="Q267" s="1"/>
      <c r="T267" s="1"/>
      <c r="W267" s="1"/>
      <c r="Y267" s="1"/>
      <c r="AB267" s="3"/>
    </row>
    <row r="268" ht="15.75" customHeight="1">
      <c r="E268" s="1"/>
      <c r="H268" s="1"/>
      <c r="K268" s="1"/>
      <c r="N268" s="1"/>
      <c r="Q268" s="1"/>
      <c r="T268" s="1"/>
      <c r="W268" s="1"/>
      <c r="Y268" s="1"/>
      <c r="AB268" s="3"/>
    </row>
    <row r="269" ht="15.75" customHeight="1">
      <c r="E269" s="1"/>
      <c r="H269" s="1"/>
      <c r="K269" s="1"/>
      <c r="N269" s="1"/>
      <c r="Q269" s="1"/>
      <c r="T269" s="1"/>
      <c r="W269" s="1"/>
      <c r="Y269" s="1"/>
      <c r="AB269" s="3"/>
    </row>
    <row r="270" ht="15.75" customHeight="1">
      <c r="E270" s="1"/>
      <c r="H270" s="1"/>
      <c r="K270" s="1"/>
      <c r="N270" s="1"/>
      <c r="Q270" s="1"/>
      <c r="T270" s="1"/>
      <c r="W270" s="1"/>
      <c r="Y270" s="1"/>
      <c r="AB270" s="3"/>
    </row>
    <row r="271" ht="15.75" customHeight="1">
      <c r="E271" s="1"/>
      <c r="H271" s="1"/>
      <c r="K271" s="1"/>
      <c r="N271" s="1"/>
      <c r="Q271" s="1"/>
      <c r="T271" s="1"/>
      <c r="W271" s="1"/>
      <c r="Y271" s="1"/>
      <c r="AB271" s="3"/>
    </row>
    <row r="272" ht="15.75" customHeight="1">
      <c r="E272" s="1"/>
      <c r="H272" s="1"/>
      <c r="K272" s="1"/>
      <c r="N272" s="1"/>
      <c r="Q272" s="1"/>
      <c r="T272" s="1"/>
      <c r="W272" s="1"/>
      <c r="Y272" s="1"/>
      <c r="AB272" s="3"/>
    </row>
    <row r="273" ht="15.75" customHeight="1">
      <c r="E273" s="1"/>
      <c r="H273" s="1"/>
      <c r="K273" s="1"/>
      <c r="N273" s="1"/>
      <c r="Q273" s="1"/>
      <c r="T273" s="1"/>
      <c r="W273" s="1"/>
      <c r="Y273" s="1"/>
      <c r="AB273" s="3"/>
    </row>
    <row r="274" ht="15.75" customHeight="1">
      <c r="E274" s="1"/>
      <c r="H274" s="1"/>
      <c r="K274" s="1"/>
      <c r="N274" s="1"/>
      <c r="Q274" s="1"/>
      <c r="T274" s="1"/>
      <c r="W274" s="1"/>
      <c r="Y274" s="1"/>
      <c r="AB274" s="3"/>
    </row>
    <row r="275" ht="15.75" customHeight="1">
      <c r="E275" s="1"/>
      <c r="H275" s="1"/>
      <c r="K275" s="1"/>
      <c r="N275" s="1"/>
      <c r="Q275" s="1"/>
      <c r="T275" s="1"/>
      <c r="W275" s="1"/>
      <c r="Y275" s="1"/>
      <c r="AB275" s="3"/>
    </row>
    <row r="276" ht="15.75" customHeight="1">
      <c r="E276" s="1"/>
      <c r="H276" s="1"/>
      <c r="K276" s="1"/>
      <c r="N276" s="1"/>
      <c r="Q276" s="1"/>
      <c r="T276" s="1"/>
      <c r="W276" s="1"/>
      <c r="Y276" s="1"/>
      <c r="AB276" s="3"/>
    </row>
    <row r="277" ht="15.75" customHeight="1">
      <c r="E277" s="1"/>
      <c r="H277" s="1"/>
      <c r="K277" s="1"/>
      <c r="N277" s="1"/>
      <c r="Q277" s="1"/>
      <c r="T277" s="1"/>
      <c r="W277" s="1"/>
      <c r="Y277" s="1"/>
      <c r="AB277" s="3"/>
    </row>
    <row r="278" ht="15.75" customHeight="1">
      <c r="E278" s="1"/>
      <c r="H278" s="1"/>
      <c r="K278" s="1"/>
      <c r="N278" s="1"/>
      <c r="Q278" s="1"/>
      <c r="T278" s="1"/>
      <c r="W278" s="1"/>
      <c r="Y278" s="1"/>
      <c r="AB278" s="3"/>
    </row>
    <row r="279" ht="15.75" customHeight="1">
      <c r="E279" s="1"/>
      <c r="H279" s="1"/>
      <c r="K279" s="1"/>
      <c r="N279" s="1"/>
      <c r="Q279" s="1"/>
      <c r="T279" s="1"/>
      <c r="W279" s="1"/>
      <c r="Y279" s="1"/>
      <c r="AB279" s="3"/>
    </row>
    <row r="280" ht="15.75" customHeight="1">
      <c r="E280" s="1"/>
      <c r="H280" s="1"/>
      <c r="K280" s="1"/>
      <c r="N280" s="1"/>
      <c r="Q280" s="1"/>
      <c r="T280" s="1"/>
      <c r="W280" s="1"/>
      <c r="Y280" s="1"/>
      <c r="AB280" s="3"/>
    </row>
    <row r="281" ht="15.75" customHeight="1">
      <c r="E281" s="1"/>
      <c r="H281" s="1"/>
      <c r="K281" s="1"/>
      <c r="N281" s="1"/>
      <c r="Q281" s="1"/>
      <c r="T281" s="1"/>
      <c r="W281" s="1"/>
      <c r="Y281" s="1"/>
      <c r="AB281" s="3"/>
    </row>
    <row r="282" ht="15.75" customHeight="1">
      <c r="E282" s="1"/>
      <c r="H282" s="1"/>
      <c r="K282" s="1"/>
      <c r="N282" s="1"/>
      <c r="Q282" s="1"/>
      <c r="T282" s="1"/>
      <c r="W282" s="1"/>
      <c r="Y282" s="1"/>
      <c r="AB282" s="3"/>
    </row>
    <row r="283" ht="15.75" customHeight="1">
      <c r="E283" s="1"/>
      <c r="H283" s="1"/>
      <c r="K283" s="1"/>
      <c r="N283" s="1"/>
      <c r="Q283" s="1"/>
      <c r="T283" s="1"/>
      <c r="W283" s="1"/>
      <c r="Y283" s="1"/>
      <c r="AB283" s="3"/>
    </row>
    <row r="284" ht="15.75" customHeight="1">
      <c r="E284" s="1"/>
      <c r="H284" s="1"/>
      <c r="K284" s="1"/>
      <c r="N284" s="1"/>
      <c r="Q284" s="1"/>
      <c r="T284" s="1"/>
      <c r="W284" s="1"/>
      <c r="Y284" s="1"/>
      <c r="AB284" s="3"/>
    </row>
    <row r="285" ht="15.75" customHeight="1">
      <c r="E285" s="1"/>
      <c r="H285" s="1"/>
      <c r="K285" s="1"/>
      <c r="N285" s="1"/>
      <c r="Q285" s="1"/>
      <c r="T285" s="1"/>
      <c r="W285" s="1"/>
      <c r="Y285" s="1"/>
      <c r="AB285" s="3"/>
    </row>
    <row r="286" ht="15.75" customHeight="1">
      <c r="E286" s="1"/>
      <c r="H286" s="1"/>
      <c r="K286" s="1"/>
      <c r="N286" s="1"/>
      <c r="Q286" s="1"/>
      <c r="T286" s="1"/>
      <c r="W286" s="1"/>
      <c r="Y286" s="1"/>
      <c r="AB286" s="3"/>
    </row>
    <row r="287" ht="15.75" customHeight="1">
      <c r="E287" s="1"/>
      <c r="H287" s="1"/>
      <c r="K287" s="1"/>
      <c r="N287" s="1"/>
      <c r="Q287" s="1"/>
      <c r="T287" s="1"/>
      <c r="W287" s="1"/>
      <c r="Y287" s="1"/>
      <c r="AB287" s="3"/>
    </row>
    <row r="288" ht="15.75" customHeight="1">
      <c r="E288" s="1"/>
      <c r="H288" s="1"/>
      <c r="K288" s="1"/>
      <c r="N288" s="1"/>
      <c r="Q288" s="1"/>
      <c r="T288" s="1"/>
      <c r="W288" s="1"/>
      <c r="Y288" s="1"/>
      <c r="AB288" s="3"/>
    </row>
    <row r="289" ht="15.75" customHeight="1">
      <c r="E289" s="1"/>
      <c r="H289" s="1"/>
      <c r="K289" s="1"/>
      <c r="N289" s="1"/>
      <c r="Q289" s="1"/>
      <c r="T289" s="1"/>
      <c r="W289" s="1"/>
      <c r="Y289" s="1"/>
      <c r="AB289" s="3"/>
    </row>
    <row r="290" ht="15.75" customHeight="1">
      <c r="E290" s="1"/>
      <c r="H290" s="1"/>
      <c r="K290" s="1"/>
      <c r="N290" s="1"/>
      <c r="Q290" s="1"/>
      <c r="T290" s="1"/>
      <c r="W290" s="1"/>
      <c r="Y290" s="1"/>
      <c r="AB290" s="3"/>
    </row>
    <row r="291" ht="15.75" customHeight="1">
      <c r="E291" s="1"/>
      <c r="H291" s="1"/>
      <c r="K291" s="1"/>
      <c r="N291" s="1"/>
      <c r="Q291" s="1"/>
      <c r="T291" s="1"/>
      <c r="W291" s="1"/>
      <c r="Y291" s="1"/>
      <c r="AB291" s="3"/>
    </row>
    <row r="292" ht="15.75" customHeight="1">
      <c r="E292" s="1"/>
      <c r="H292" s="1"/>
      <c r="K292" s="1"/>
      <c r="N292" s="1"/>
      <c r="Q292" s="1"/>
      <c r="T292" s="1"/>
      <c r="W292" s="1"/>
      <c r="Y292" s="1"/>
      <c r="AB292" s="3"/>
    </row>
    <row r="293" ht="15.75" customHeight="1">
      <c r="E293" s="1"/>
      <c r="H293" s="1"/>
      <c r="K293" s="1"/>
      <c r="N293" s="1"/>
      <c r="Q293" s="1"/>
      <c r="T293" s="1"/>
      <c r="W293" s="1"/>
      <c r="Y293" s="1"/>
      <c r="AB293" s="3"/>
    </row>
    <row r="294" ht="15.75" customHeight="1">
      <c r="E294" s="1"/>
      <c r="H294" s="1"/>
      <c r="K294" s="1"/>
      <c r="N294" s="1"/>
      <c r="Q294" s="1"/>
      <c r="T294" s="1"/>
      <c r="W294" s="1"/>
      <c r="Y294" s="1"/>
      <c r="AB294" s="3"/>
    </row>
    <row r="295" ht="15.75" customHeight="1">
      <c r="E295" s="1"/>
      <c r="H295" s="1"/>
      <c r="K295" s="1"/>
      <c r="N295" s="1"/>
      <c r="Q295" s="1"/>
      <c r="T295" s="1"/>
      <c r="W295" s="1"/>
      <c r="Y295" s="1"/>
      <c r="AB295" s="3"/>
    </row>
    <row r="296" ht="15.75" customHeight="1">
      <c r="E296" s="1"/>
      <c r="H296" s="1"/>
      <c r="K296" s="1"/>
      <c r="N296" s="1"/>
      <c r="Q296" s="1"/>
      <c r="T296" s="1"/>
      <c r="W296" s="1"/>
      <c r="Y296" s="1"/>
      <c r="AB296" s="3"/>
    </row>
    <row r="297" ht="15.75" customHeight="1">
      <c r="E297" s="1"/>
      <c r="H297" s="1"/>
      <c r="K297" s="1"/>
      <c r="N297" s="1"/>
      <c r="Q297" s="1"/>
      <c r="T297" s="1"/>
      <c r="W297" s="1"/>
      <c r="Y297" s="1"/>
      <c r="AB297" s="3"/>
    </row>
    <row r="298" ht="15.75" customHeight="1">
      <c r="E298" s="1"/>
      <c r="H298" s="1"/>
      <c r="K298" s="1"/>
      <c r="N298" s="1"/>
      <c r="Q298" s="1"/>
      <c r="T298" s="1"/>
      <c r="W298" s="1"/>
      <c r="Y298" s="1"/>
      <c r="AB298" s="3"/>
    </row>
    <row r="299" ht="15.75" customHeight="1">
      <c r="E299" s="1"/>
      <c r="H299" s="1"/>
      <c r="K299" s="1"/>
      <c r="N299" s="1"/>
      <c r="Q299" s="1"/>
      <c r="T299" s="1"/>
      <c r="W299" s="1"/>
      <c r="Y299" s="1"/>
      <c r="AB299" s="3"/>
    </row>
    <row r="300" ht="15.75" customHeight="1">
      <c r="E300" s="1"/>
      <c r="H300" s="1"/>
      <c r="K300" s="1"/>
      <c r="N300" s="1"/>
      <c r="Q300" s="1"/>
      <c r="T300" s="1"/>
      <c r="W300" s="1"/>
      <c r="Y300" s="1"/>
      <c r="AB300" s="3"/>
    </row>
    <row r="301" ht="15.75" customHeight="1">
      <c r="E301" s="1"/>
      <c r="H301" s="1"/>
      <c r="K301" s="1"/>
      <c r="N301" s="1"/>
      <c r="Q301" s="1"/>
      <c r="T301" s="1"/>
      <c r="W301" s="1"/>
      <c r="Y301" s="1"/>
      <c r="AB301" s="3"/>
    </row>
    <row r="302" ht="15.75" customHeight="1">
      <c r="E302" s="1"/>
      <c r="H302" s="1"/>
      <c r="K302" s="1"/>
      <c r="N302" s="1"/>
      <c r="Q302" s="1"/>
      <c r="T302" s="1"/>
      <c r="W302" s="1"/>
      <c r="Y302" s="1"/>
      <c r="AB302" s="3"/>
    </row>
    <row r="303" ht="15.75" customHeight="1">
      <c r="E303" s="1"/>
      <c r="H303" s="1"/>
      <c r="K303" s="1"/>
      <c r="N303" s="1"/>
      <c r="Q303" s="1"/>
      <c r="T303" s="1"/>
      <c r="W303" s="1"/>
      <c r="Y303" s="1"/>
      <c r="AB303" s="3"/>
    </row>
    <row r="304" ht="15.75" customHeight="1">
      <c r="E304" s="1"/>
      <c r="H304" s="1"/>
      <c r="K304" s="1"/>
      <c r="N304" s="1"/>
      <c r="Q304" s="1"/>
      <c r="T304" s="1"/>
      <c r="W304" s="1"/>
      <c r="Y304" s="1"/>
      <c r="AB304" s="3"/>
    </row>
    <row r="305" ht="15.75" customHeight="1">
      <c r="E305" s="1"/>
      <c r="H305" s="1"/>
      <c r="K305" s="1"/>
      <c r="N305" s="1"/>
      <c r="Q305" s="1"/>
      <c r="T305" s="1"/>
      <c r="W305" s="1"/>
      <c r="Y305" s="1"/>
      <c r="AB305" s="3"/>
    </row>
    <row r="306" ht="15.75" customHeight="1">
      <c r="E306" s="1"/>
      <c r="H306" s="1"/>
      <c r="K306" s="1"/>
      <c r="N306" s="1"/>
      <c r="Q306" s="1"/>
      <c r="T306" s="1"/>
      <c r="W306" s="1"/>
      <c r="Y306" s="1"/>
      <c r="AB306" s="3"/>
    </row>
    <row r="307" ht="15.75" customHeight="1">
      <c r="E307" s="1"/>
      <c r="H307" s="1"/>
      <c r="K307" s="1"/>
      <c r="N307" s="1"/>
      <c r="Q307" s="1"/>
      <c r="T307" s="1"/>
      <c r="W307" s="1"/>
      <c r="Y307" s="1"/>
      <c r="AB307" s="3"/>
    </row>
    <row r="308" ht="15.75" customHeight="1">
      <c r="E308" s="1"/>
      <c r="H308" s="1"/>
      <c r="K308" s="1"/>
      <c r="N308" s="1"/>
      <c r="Q308" s="1"/>
      <c r="T308" s="1"/>
      <c r="W308" s="1"/>
      <c r="Y308" s="1"/>
      <c r="AB308" s="3"/>
    </row>
    <row r="309" ht="15.75" customHeight="1">
      <c r="E309" s="1"/>
      <c r="H309" s="1"/>
      <c r="K309" s="1"/>
      <c r="N309" s="1"/>
      <c r="Q309" s="1"/>
      <c r="T309" s="1"/>
      <c r="W309" s="1"/>
      <c r="Y309" s="1"/>
      <c r="AB309" s="3"/>
    </row>
    <row r="310" ht="15.75" customHeight="1">
      <c r="E310" s="1"/>
      <c r="H310" s="1"/>
      <c r="K310" s="1"/>
      <c r="N310" s="1"/>
      <c r="Q310" s="1"/>
      <c r="T310" s="1"/>
      <c r="W310" s="1"/>
      <c r="Y310" s="1"/>
      <c r="AB310" s="3"/>
    </row>
    <row r="311" ht="15.75" customHeight="1">
      <c r="E311" s="1"/>
      <c r="H311" s="1"/>
      <c r="K311" s="1"/>
      <c r="N311" s="1"/>
      <c r="Q311" s="1"/>
      <c r="T311" s="1"/>
      <c r="W311" s="1"/>
      <c r="Y311" s="1"/>
      <c r="AB311" s="3"/>
    </row>
    <row r="312" ht="15.75" customHeight="1">
      <c r="E312" s="1"/>
      <c r="H312" s="1"/>
      <c r="K312" s="1"/>
      <c r="N312" s="1"/>
      <c r="Q312" s="1"/>
      <c r="T312" s="1"/>
      <c r="W312" s="1"/>
      <c r="Y312" s="1"/>
      <c r="AB312" s="3"/>
    </row>
    <row r="313" ht="15.75" customHeight="1">
      <c r="E313" s="1"/>
      <c r="H313" s="1"/>
      <c r="K313" s="1"/>
      <c r="N313" s="1"/>
      <c r="Q313" s="1"/>
      <c r="T313" s="1"/>
      <c r="W313" s="1"/>
      <c r="Y313" s="1"/>
      <c r="AB313" s="3"/>
    </row>
    <row r="314" ht="15.75" customHeight="1">
      <c r="E314" s="1"/>
      <c r="H314" s="1"/>
      <c r="K314" s="1"/>
      <c r="N314" s="1"/>
      <c r="Q314" s="1"/>
      <c r="T314" s="1"/>
      <c r="W314" s="1"/>
      <c r="Y314" s="1"/>
      <c r="AB314" s="3"/>
    </row>
    <row r="315" ht="15.75" customHeight="1">
      <c r="E315" s="1"/>
      <c r="H315" s="1"/>
      <c r="K315" s="1"/>
      <c r="N315" s="1"/>
      <c r="Q315" s="1"/>
      <c r="T315" s="1"/>
      <c r="W315" s="1"/>
      <c r="Y315" s="1"/>
      <c r="AB315" s="3"/>
    </row>
    <row r="316" ht="15.75" customHeight="1">
      <c r="E316" s="1"/>
      <c r="H316" s="1"/>
      <c r="K316" s="1"/>
      <c r="N316" s="1"/>
      <c r="Q316" s="1"/>
      <c r="T316" s="1"/>
      <c r="W316" s="1"/>
      <c r="Y316" s="1"/>
      <c r="AB316" s="3"/>
    </row>
    <row r="317" ht="15.75" customHeight="1">
      <c r="E317" s="1"/>
      <c r="H317" s="1"/>
      <c r="K317" s="1"/>
      <c r="N317" s="1"/>
      <c r="Q317" s="1"/>
      <c r="T317" s="1"/>
      <c r="W317" s="1"/>
      <c r="Y317" s="1"/>
      <c r="AB317" s="3"/>
    </row>
    <row r="318" ht="15.75" customHeight="1">
      <c r="E318" s="1"/>
      <c r="H318" s="1"/>
      <c r="K318" s="1"/>
      <c r="N318" s="1"/>
      <c r="Q318" s="1"/>
      <c r="T318" s="1"/>
      <c r="W318" s="1"/>
      <c r="Y318" s="1"/>
      <c r="AB318" s="3"/>
    </row>
    <row r="319" ht="15.75" customHeight="1">
      <c r="E319" s="1"/>
      <c r="H319" s="1"/>
      <c r="K319" s="1"/>
      <c r="N319" s="1"/>
      <c r="Q319" s="1"/>
      <c r="T319" s="1"/>
      <c r="W319" s="1"/>
      <c r="Y319" s="1"/>
      <c r="AB319" s="3"/>
    </row>
    <row r="320" ht="15.75" customHeight="1">
      <c r="E320" s="1"/>
      <c r="H320" s="1"/>
      <c r="K320" s="1"/>
      <c r="N320" s="1"/>
      <c r="Q320" s="1"/>
      <c r="T320" s="1"/>
      <c r="W320" s="1"/>
      <c r="Y320" s="1"/>
      <c r="AB320" s="3"/>
    </row>
    <row r="321" ht="15.75" customHeight="1">
      <c r="E321" s="1"/>
      <c r="H321" s="1"/>
      <c r="K321" s="1"/>
      <c r="N321" s="1"/>
      <c r="Q321" s="1"/>
      <c r="T321" s="1"/>
      <c r="W321" s="1"/>
      <c r="Y321" s="1"/>
      <c r="AB321" s="3"/>
    </row>
    <row r="322" ht="15.75" customHeight="1">
      <c r="E322" s="1"/>
      <c r="H322" s="1"/>
      <c r="K322" s="1"/>
      <c r="N322" s="1"/>
      <c r="Q322" s="1"/>
      <c r="T322" s="1"/>
      <c r="W322" s="1"/>
      <c r="Y322" s="1"/>
      <c r="AB322" s="3"/>
    </row>
    <row r="323" ht="15.75" customHeight="1">
      <c r="E323" s="1"/>
      <c r="H323" s="1"/>
      <c r="K323" s="1"/>
      <c r="N323" s="1"/>
      <c r="Q323" s="1"/>
      <c r="T323" s="1"/>
      <c r="W323" s="1"/>
      <c r="Y323" s="1"/>
      <c r="AB323" s="3"/>
    </row>
    <row r="324" ht="15.75" customHeight="1">
      <c r="E324" s="1"/>
      <c r="H324" s="1"/>
      <c r="K324" s="1"/>
      <c r="N324" s="1"/>
      <c r="Q324" s="1"/>
      <c r="T324" s="1"/>
      <c r="W324" s="1"/>
      <c r="Y324" s="1"/>
      <c r="AB324" s="3"/>
    </row>
    <row r="325" ht="15.75" customHeight="1">
      <c r="E325" s="1"/>
      <c r="H325" s="1"/>
      <c r="K325" s="1"/>
      <c r="N325" s="1"/>
      <c r="Q325" s="1"/>
      <c r="T325" s="1"/>
      <c r="W325" s="1"/>
      <c r="Y325" s="1"/>
      <c r="AB325" s="3"/>
    </row>
    <row r="326" ht="15.75" customHeight="1">
      <c r="E326" s="1"/>
      <c r="H326" s="1"/>
      <c r="K326" s="1"/>
      <c r="N326" s="1"/>
      <c r="Q326" s="1"/>
      <c r="T326" s="1"/>
      <c r="W326" s="1"/>
      <c r="Y326" s="1"/>
      <c r="AB326" s="3"/>
    </row>
    <row r="327" ht="15.75" customHeight="1">
      <c r="E327" s="1"/>
      <c r="H327" s="1"/>
      <c r="K327" s="1"/>
      <c r="N327" s="1"/>
      <c r="Q327" s="1"/>
      <c r="T327" s="1"/>
      <c r="W327" s="1"/>
      <c r="Y327" s="1"/>
      <c r="AB327" s="3"/>
    </row>
    <row r="328" ht="15.75" customHeight="1">
      <c r="E328" s="1"/>
      <c r="H328" s="1"/>
      <c r="K328" s="1"/>
      <c r="N328" s="1"/>
      <c r="Q328" s="1"/>
      <c r="T328" s="1"/>
      <c r="W328" s="1"/>
      <c r="Y328" s="1"/>
      <c r="AB328" s="3"/>
    </row>
    <row r="329" ht="15.75" customHeight="1">
      <c r="E329" s="1"/>
      <c r="H329" s="1"/>
      <c r="K329" s="1"/>
      <c r="N329" s="1"/>
      <c r="Q329" s="1"/>
      <c r="T329" s="1"/>
      <c r="W329" s="1"/>
      <c r="Y329" s="1"/>
      <c r="AB329" s="3"/>
    </row>
    <row r="330" ht="15.75" customHeight="1">
      <c r="E330" s="1"/>
      <c r="H330" s="1"/>
      <c r="K330" s="1"/>
      <c r="N330" s="1"/>
      <c r="Q330" s="1"/>
      <c r="T330" s="1"/>
      <c r="W330" s="1"/>
      <c r="Y330" s="1"/>
      <c r="AB330" s="3"/>
    </row>
    <row r="331" ht="15.75" customHeight="1">
      <c r="E331" s="1"/>
      <c r="H331" s="1"/>
      <c r="K331" s="1"/>
      <c r="N331" s="1"/>
      <c r="Q331" s="1"/>
      <c r="T331" s="1"/>
      <c r="W331" s="1"/>
      <c r="Y331" s="1"/>
      <c r="AB331" s="3"/>
    </row>
    <row r="332" ht="15.75" customHeight="1">
      <c r="E332" s="1"/>
      <c r="H332" s="1"/>
      <c r="K332" s="1"/>
      <c r="N332" s="1"/>
      <c r="Q332" s="1"/>
      <c r="T332" s="1"/>
      <c r="W332" s="1"/>
      <c r="Y332" s="1"/>
      <c r="AB332" s="3"/>
    </row>
    <row r="333" ht="15.75" customHeight="1">
      <c r="E333" s="1"/>
      <c r="H333" s="1"/>
      <c r="K333" s="1"/>
      <c r="N333" s="1"/>
      <c r="Q333" s="1"/>
      <c r="T333" s="1"/>
      <c r="W333" s="1"/>
      <c r="Y333" s="1"/>
      <c r="AB333" s="3"/>
    </row>
    <row r="334" ht="15.75" customHeight="1">
      <c r="E334" s="1"/>
      <c r="H334" s="1"/>
      <c r="K334" s="1"/>
      <c r="N334" s="1"/>
      <c r="Q334" s="1"/>
      <c r="T334" s="1"/>
      <c r="W334" s="1"/>
      <c r="Y334" s="1"/>
      <c r="AB334" s="3"/>
    </row>
    <row r="335" ht="15.75" customHeight="1">
      <c r="E335" s="1"/>
      <c r="H335" s="1"/>
      <c r="K335" s="1"/>
      <c r="N335" s="1"/>
      <c r="Q335" s="1"/>
      <c r="T335" s="1"/>
      <c r="W335" s="1"/>
      <c r="Y335" s="1"/>
      <c r="AB335" s="3"/>
    </row>
    <row r="336" ht="15.75" customHeight="1">
      <c r="E336" s="1"/>
      <c r="H336" s="1"/>
      <c r="K336" s="1"/>
      <c r="N336" s="1"/>
      <c r="Q336" s="1"/>
      <c r="T336" s="1"/>
      <c r="W336" s="1"/>
      <c r="Y336" s="1"/>
      <c r="AB336" s="3"/>
    </row>
    <row r="337" ht="15.75" customHeight="1">
      <c r="E337" s="1"/>
      <c r="H337" s="1"/>
      <c r="K337" s="1"/>
      <c r="N337" s="1"/>
      <c r="Q337" s="1"/>
      <c r="T337" s="1"/>
      <c r="W337" s="1"/>
      <c r="Y337" s="1"/>
      <c r="AB337" s="3"/>
    </row>
    <row r="338" ht="15.75" customHeight="1">
      <c r="E338" s="1"/>
      <c r="H338" s="1"/>
      <c r="K338" s="1"/>
      <c r="N338" s="1"/>
      <c r="Q338" s="1"/>
      <c r="T338" s="1"/>
      <c r="W338" s="1"/>
      <c r="Y338" s="1"/>
      <c r="AB338" s="3"/>
    </row>
    <row r="339" ht="15.75" customHeight="1">
      <c r="E339" s="1"/>
      <c r="H339" s="1"/>
      <c r="K339" s="1"/>
      <c r="N339" s="1"/>
      <c r="Q339" s="1"/>
      <c r="T339" s="1"/>
      <c r="W339" s="1"/>
      <c r="Y339" s="1"/>
      <c r="AB339" s="3"/>
    </row>
    <row r="340" ht="15.75" customHeight="1">
      <c r="E340" s="1"/>
      <c r="H340" s="1"/>
      <c r="K340" s="1"/>
      <c r="N340" s="1"/>
      <c r="Q340" s="1"/>
      <c r="T340" s="1"/>
      <c r="W340" s="1"/>
      <c r="Y340" s="1"/>
      <c r="AB340" s="3"/>
    </row>
    <row r="341" ht="15.75" customHeight="1">
      <c r="E341" s="1"/>
      <c r="H341" s="1"/>
      <c r="K341" s="1"/>
      <c r="N341" s="1"/>
      <c r="Q341" s="1"/>
      <c r="T341" s="1"/>
      <c r="W341" s="1"/>
      <c r="Y341" s="1"/>
      <c r="AB341" s="3"/>
    </row>
    <row r="342" ht="15.75" customHeight="1">
      <c r="E342" s="1"/>
      <c r="H342" s="1"/>
      <c r="K342" s="1"/>
      <c r="N342" s="1"/>
      <c r="Q342" s="1"/>
      <c r="T342" s="1"/>
      <c r="W342" s="1"/>
      <c r="Y342" s="1"/>
      <c r="AB342" s="3"/>
    </row>
    <row r="343" ht="15.75" customHeight="1">
      <c r="E343" s="1"/>
      <c r="H343" s="1"/>
      <c r="K343" s="1"/>
      <c r="N343" s="1"/>
      <c r="Q343" s="1"/>
      <c r="T343" s="1"/>
      <c r="W343" s="1"/>
      <c r="Y343" s="1"/>
      <c r="AB343" s="3"/>
    </row>
    <row r="344" ht="15.75" customHeight="1">
      <c r="E344" s="1"/>
      <c r="H344" s="1"/>
      <c r="K344" s="1"/>
      <c r="N344" s="1"/>
      <c r="Q344" s="1"/>
      <c r="T344" s="1"/>
      <c r="W344" s="1"/>
      <c r="Y344" s="1"/>
      <c r="AB344" s="3"/>
    </row>
    <row r="345" ht="15.75" customHeight="1">
      <c r="E345" s="1"/>
      <c r="H345" s="1"/>
      <c r="K345" s="1"/>
      <c r="N345" s="1"/>
      <c r="Q345" s="1"/>
      <c r="T345" s="1"/>
      <c r="W345" s="1"/>
      <c r="Y345" s="1"/>
      <c r="AB345" s="3"/>
    </row>
    <row r="346" ht="15.75" customHeight="1">
      <c r="E346" s="1"/>
      <c r="H346" s="1"/>
      <c r="K346" s="1"/>
      <c r="N346" s="1"/>
      <c r="Q346" s="1"/>
      <c r="T346" s="1"/>
      <c r="W346" s="1"/>
      <c r="Y346" s="1"/>
      <c r="AB346" s="3"/>
    </row>
    <row r="347" ht="15.75" customHeight="1">
      <c r="E347" s="1"/>
      <c r="H347" s="1"/>
      <c r="K347" s="1"/>
      <c r="N347" s="1"/>
      <c r="Q347" s="1"/>
      <c r="T347" s="1"/>
      <c r="W347" s="1"/>
      <c r="Y347" s="1"/>
      <c r="AB347" s="3"/>
    </row>
    <row r="348" ht="15.75" customHeight="1">
      <c r="E348" s="1"/>
      <c r="H348" s="1"/>
      <c r="K348" s="1"/>
      <c r="N348" s="1"/>
      <c r="Q348" s="1"/>
      <c r="T348" s="1"/>
      <c r="W348" s="1"/>
      <c r="Y348" s="1"/>
      <c r="AB348" s="3"/>
    </row>
    <row r="349" ht="15.75" customHeight="1">
      <c r="E349" s="1"/>
      <c r="H349" s="1"/>
      <c r="K349" s="1"/>
      <c r="N349" s="1"/>
      <c r="Q349" s="1"/>
      <c r="T349" s="1"/>
      <c r="W349" s="1"/>
      <c r="Y349" s="1"/>
      <c r="AB349" s="3"/>
    </row>
    <row r="350" ht="15.75" customHeight="1">
      <c r="E350" s="1"/>
      <c r="H350" s="1"/>
      <c r="K350" s="1"/>
      <c r="N350" s="1"/>
      <c r="Q350" s="1"/>
      <c r="T350" s="1"/>
      <c r="W350" s="1"/>
      <c r="Y350" s="1"/>
      <c r="AB350" s="3"/>
    </row>
    <row r="351" ht="15.75" customHeight="1">
      <c r="E351" s="1"/>
      <c r="H351" s="1"/>
      <c r="K351" s="1"/>
      <c r="N351" s="1"/>
      <c r="Q351" s="1"/>
      <c r="T351" s="1"/>
      <c r="W351" s="1"/>
      <c r="Y351" s="1"/>
      <c r="AB351" s="3"/>
    </row>
    <row r="352" ht="15.75" customHeight="1">
      <c r="E352" s="1"/>
      <c r="H352" s="1"/>
      <c r="K352" s="1"/>
      <c r="N352" s="1"/>
      <c r="Q352" s="1"/>
      <c r="T352" s="1"/>
      <c r="W352" s="1"/>
      <c r="Y352" s="1"/>
      <c r="AB352" s="3"/>
    </row>
    <row r="353" ht="15.75" customHeight="1">
      <c r="E353" s="1"/>
      <c r="H353" s="1"/>
      <c r="K353" s="1"/>
      <c r="N353" s="1"/>
      <c r="Q353" s="1"/>
      <c r="T353" s="1"/>
      <c r="W353" s="1"/>
      <c r="Y353" s="1"/>
      <c r="AB353" s="3"/>
    </row>
    <row r="354" ht="15.75" customHeight="1">
      <c r="E354" s="1"/>
      <c r="H354" s="1"/>
      <c r="K354" s="1"/>
      <c r="N354" s="1"/>
      <c r="Q354" s="1"/>
      <c r="T354" s="1"/>
      <c r="W354" s="1"/>
      <c r="Y354" s="1"/>
      <c r="AB354" s="3"/>
    </row>
    <row r="355" ht="15.75" customHeight="1">
      <c r="E355" s="1"/>
      <c r="H355" s="1"/>
      <c r="K355" s="1"/>
      <c r="N355" s="1"/>
      <c r="Q355" s="1"/>
      <c r="T355" s="1"/>
      <c r="W355" s="1"/>
      <c r="Y355" s="1"/>
      <c r="AB355" s="3"/>
    </row>
    <row r="356" ht="15.75" customHeight="1">
      <c r="E356" s="1"/>
      <c r="H356" s="1"/>
      <c r="K356" s="1"/>
      <c r="N356" s="1"/>
      <c r="Q356" s="1"/>
      <c r="T356" s="1"/>
      <c r="W356" s="1"/>
      <c r="Y356" s="1"/>
      <c r="AB356" s="3"/>
    </row>
    <row r="357" ht="15.75" customHeight="1">
      <c r="E357" s="1"/>
      <c r="H357" s="1"/>
      <c r="K357" s="1"/>
      <c r="N357" s="1"/>
      <c r="Q357" s="1"/>
      <c r="T357" s="1"/>
      <c r="W357" s="1"/>
      <c r="Y357" s="1"/>
      <c r="AB357" s="3"/>
    </row>
    <row r="358" ht="15.75" customHeight="1">
      <c r="E358" s="1"/>
      <c r="H358" s="1"/>
      <c r="K358" s="1"/>
      <c r="N358" s="1"/>
      <c r="Q358" s="1"/>
      <c r="T358" s="1"/>
      <c r="W358" s="1"/>
      <c r="Y358" s="1"/>
      <c r="AB358" s="3"/>
    </row>
    <row r="359" ht="15.75" customHeight="1">
      <c r="E359" s="1"/>
      <c r="H359" s="1"/>
      <c r="K359" s="1"/>
      <c r="N359" s="1"/>
      <c r="Q359" s="1"/>
      <c r="T359" s="1"/>
      <c r="W359" s="1"/>
      <c r="Y359" s="1"/>
      <c r="AB359" s="3"/>
    </row>
    <row r="360" ht="15.75" customHeight="1">
      <c r="E360" s="1"/>
      <c r="H360" s="1"/>
      <c r="K360" s="1"/>
      <c r="N360" s="1"/>
      <c r="Q360" s="1"/>
      <c r="T360" s="1"/>
      <c r="W360" s="1"/>
      <c r="Y360" s="1"/>
      <c r="AB360" s="3"/>
    </row>
    <row r="361" ht="15.75" customHeight="1">
      <c r="E361" s="1"/>
      <c r="H361" s="1"/>
      <c r="K361" s="1"/>
      <c r="N361" s="1"/>
      <c r="Q361" s="1"/>
      <c r="T361" s="1"/>
      <c r="W361" s="1"/>
      <c r="Y361" s="1"/>
      <c r="AB361" s="3"/>
    </row>
    <row r="362" ht="15.75" customHeight="1">
      <c r="E362" s="1"/>
      <c r="H362" s="1"/>
      <c r="K362" s="1"/>
      <c r="N362" s="1"/>
      <c r="Q362" s="1"/>
      <c r="T362" s="1"/>
      <c r="W362" s="1"/>
      <c r="Y362" s="1"/>
      <c r="AB362" s="3"/>
    </row>
    <row r="363" ht="15.75" customHeight="1">
      <c r="E363" s="1"/>
      <c r="H363" s="1"/>
      <c r="K363" s="1"/>
      <c r="N363" s="1"/>
      <c r="Q363" s="1"/>
      <c r="T363" s="1"/>
      <c r="W363" s="1"/>
      <c r="Y363" s="1"/>
      <c r="AB363" s="3"/>
    </row>
    <row r="364" ht="15.75" customHeight="1">
      <c r="E364" s="1"/>
      <c r="H364" s="1"/>
      <c r="K364" s="1"/>
      <c r="N364" s="1"/>
      <c r="Q364" s="1"/>
      <c r="T364" s="1"/>
      <c r="W364" s="1"/>
      <c r="Y364" s="1"/>
      <c r="AB364" s="3"/>
    </row>
    <row r="365" ht="15.75" customHeight="1">
      <c r="E365" s="1"/>
      <c r="H365" s="1"/>
      <c r="K365" s="1"/>
      <c r="N365" s="1"/>
      <c r="Q365" s="1"/>
      <c r="T365" s="1"/>
      <c r="W365" s="1"/>
      <c r="Y365" s="1"/>
      <c r="AB365" s="3"/>
    </row>
    <row r="366" ht="15.75" customHeight="1">
      <c r="E366" s="1"/>
      <c r="H366" s="1"/>
      <c r="K366" s="1"/>
      <c r="N366" s="1"/>
      <c r="Q366" s="1"/>
      <c r="T366" s="1"/>
      <c r="W366" s="1"/>
      <c r="Y366" s="1"/>
      <c r="AB366" s="3"/>
    </row>
    <row r="367" ht="15.75" customHeight="1">
      <c r="E367" s="1"/>
      <c r="H367" s="1"/>
      <c r="K367" s="1"/>
      <c r="N367" s="1"/>
      <c r="Q367" s="1"/>
      <c r="T367" s="1"/>
      <c r="W367" s="1"/>
      <c r="Y367" s="1"/>
      <c r="AB367" s="3"/>
    </row>
    <row r="368" ht="15.75" customHeight="1">
      <c r="E368" s="1"/>
      <c r="H368" s="1"/>
      <c r="K368" s="1"/>
      <c r="N368" s="1"/>
      <c r="Q368" s="1"/>
      <c r="T368" s="1"/>
      <c r="W368" s="1"/>
      <c r="Y368" s="1"/>
      <c r="AB368" s="3"/>
    </row>
    <row r="369" ht="15.75" customHeight="1">
      <c r="E369" s="1"/>
      <c r="H369" s="1"/>
      <c r="K369" s="1"/>
      <c r="N369" s="1"/>
      <c r="Q369" s="1"/>
      <c r="T369" s="1"/>
      <c r="W369" s="1"/>
      <c r="Y369" s="1"/>
      <c r="AB369" s="3"/>
    </row>
    <row r="370" ht="15.75" customHeight="1">
      <c r="E370" s="1"/>
      <c r="H370" s="1"/>
      <c r="K370" s="1"/>
      <c r="N370" s="1"/>
      <c r="Q370" s="1"/>
      <c r="T370" s="1"/>
      <c r="W370" s="1"/>
      <c r="Y370" s="1"/>
      <c r="AB370" s="3"/>
    </row>
    <row r="371" ht="15.75" customHeight="1">
      <c r="E371" s="1"/>
      <c r="H371" s="1"/>
      <c r="K371" s="1"/>
      <c r="N371" s="1"/>
      <c r="Q371" s="1"/>
      <c r="T371" s="1"/>
      <c r="W371" s="1"/>
      <c r="Y371" s="1"/>
      <c r="AB371" s="3"/>
    </row>
    <row r="372" ht="15.75" customHeight="1">
      <c r="E372" s="1"/>
      <c r="H372" s="1"/>
      <c r="K372" s="1"/>
      <c r="N372" s="1"/>
      <c r="Q372" s="1"/>
      <c r="T372" s="1"/>
      <c r="W372" s="1"/>
      <c r="Y372" s="1"/>
      <c r="AB372" s="3"/>
    </row>
    <row r="373" ht="15.75" customHeight="1">
      <c r="E373" s="1"/>
      <c r="H373" s="1"/>
      <c r="K373" s="1"/>
      <c r="N373" s="1"/>
      <c r="Q373" s="1"/>
      <c r="T373" s="1"/>
      <c r="W373" s="1"/>
      <c r="Y373" s="1"/>
      <c r="AB373" s="3"/>
    </row>
    <row r="374" ht="15.75" customHeight="1">
      <c r="E374" s="1"/>
      <c r="H374" s="1"/>
      <c r="K374" s="1"/>
      <c r="N374" s="1"/>
      <c r="Q374" s="1"/>
      <c r="T374" s="1"/>
      <c r="W374" s="1"/>
      <c r="Y374" s="1"/>
      <c r="AB374" s="3"/>
    </row>
    <row r="375" ht="15.75" customHeight="1">
      <c r="E375" s="1"/>
      <c r="H375" s="1"/>
      <c r="K375" s="1"/>
      <c r="N375" s="1"/>
      <c r="Q375" s="1"/>
      <c r="T375" s="1"/>
      <c r="W375" s="1"/>
      <c r="Y375" s="1"/>
      <c r="AB375" s="3"/>
    </row>
    <row r="376" ht="15.75" customHeight="1">
      <c r="E376" s="1"/>
      <c r="H376" s="1"/>
      <c r="K376" s="1"/>
      <c r="N376" s="1"/>
      <c r="Q376" s="1"/>
      <c r="T376" s="1"/>
      <c r="W376" s="1"/>
      <c r="Y376" s="1"/>
      <c r="AB376" s="3"/>
    </row>
    <row r="377" ht="15.75" customHeight="1">
      <c r="E377" s="1"/>
      <c r="H377" s="1"/>
      <c r="K377" s="1"/>
      <c r="N377" s="1"/>
      <c r="Q377" s="1"/>
      <c r="T377" s="1"/>
      <c r="W377" s="1"/>
      <c r="Y377" s="1"/>
      <c r="AB377" s="3"/>
    </row>
    <row r="378" ht="15.75" customHeight="1">
      <c r="E378" s="1"/>
      <c r="H378" s="1"/>
      <c r="K378" s="1"/>
      <c r="N378" s="1"/>
      <c r="Q378" s="1"/>
      <c r="T378" s="1"/>
      <c r="W378" s="1"/>
      <c r="Y378" s="1"/>
      <c r="AB378" s="3"/>
    </row>
    <row r="379" ht="15.75" customHeight="1">
      <c r="E379" s="1"/>
      <c r="H379" s="1"/>
      <c r="K379" s="1"/>
      <c r="N379" s="1"/>
      <c r="Q379" s="1"/>
      <c r="T379" s="1"/>
      <c r="W379" s="1"/>
      <c r="Y379" s="1"/>
      <c r="AB379" s="3"/>
    </row>
    <row r="380" ht="15.75" customHeight="1">
      <c r="E380" s="1"/>
      <c r="H380" s="1"/>
      <c r="K380" s="1"/>
      <c r="N380" s="1"/>
      <c r="Q380" s="1"/>
      <c r="T380" s="1"/>
      <c r="W380" s="1"/>
      <c r="Y380" s="1"/>
      <c r="AB380" s="3"/>
    </row>
    <row r="381" ht="15.75" customHeight="1">
      <c r="E381" s="1"/>
      <c r="H381" s="1"/>
      <c r="K381" s="1"/>
      <c r="N381" s="1"/>
      <c r="Q381" s="1"/>
      <c r="T381" s="1"/>
      <c r="W381" s="1"/>
      <c r="Y381" s="1"/>
      <c r="AB381" s="3"/>
    </row>
    <row r="382" ht="15.75" customHeight="1">
      <c r="E382" s="1"/>
      <c r="H382" s="1"/>
      <c r="K382" s="1"/>
      <c r="N382" s="1"/>
      <c r="Q382" s="1"/>
      <c r="T382" s="1"/>
      <c r="W382" s="1"/>
      <c r="Y382" s="1"/>
      <c r="AB382" s="3"/>
    </row>
    <row r="383" ht="15.75" customHeight="1">
      <c r="E383" s="1"/>
      <c r="H383" s="1"/>
      <c r="K383" s="1"/>
      <c r="N383" s="1"/>
      <c r="Q383" s="1"/>
      <c r="T383" s="1"/>
      <c r="W383" s="1"/>
      <c r="Y383" s="1"/>
      <c r="AB383" s="3"/>
    </row>
    <row r="384" ht="15.75" customHeight="1">
      <c r="E384" s="1"/>
      <c r="H384" s="1"/>
      <c r="K384" s="1"/>
      <c r="N384" s="1"/>
      <c r="Q384" s="1"/>
      <c r="T384" s="1"/>
      <c r="W384" s="1"/>
      <c r="Y384" s="1"/>
      <c r="AB384" s="3"/>
    </row>
    <row r="385" ht="15.75" customHeight="1">
      <c r="E385" s="1"/>
      <c r="H385" s="1"/>
      <c r="K385" s="1"/>
      <c r="N385" s="1"/>
      <c r="Q385" s="1"/>
      <c r="T385" s="1"/>
      <c r="W385" s="1"/>
      <c r="Y385" s="1"/>
      <c r="AB385" s="3"/>
    </row>
    <row r="386" ht="15.75" customHeight="1">
      <c r="E386" s="1"/>
      <c r="H386" s="1"/>
      <c r="K386" s="1"/>
      <c r="N386" s="1"/>
      <c r="Q386" s="1"/>
      <c r="T386" s="1"/>
      <c r="W386" s="1"/>
      <c r="Y386" s="1"/>
      <c r="AB386" s="3"/>
    </row>
    <row r="387" ht="15.75" customHeight="1">
      <c r="E387" s="1"/>
      <c r="H387" s="1"/>
      <c r="K387" s="1"/>
      <c r="N387" s="1"/>
      <c r="Q387" s="1"/>
      <c r="T387" s="1"/>
      <c r="W387" s="1"/>
      <c r="Y387" s="1"/>
      <c r="AB387" s="3"/>
    </row>
    <row r="388" ht="15.75" customHeight="1">
      <c r="E388" s="1"/>
      <c r="H388" s="1"/>
      <c r="K388" s="1"/>
      <c r="N388" s="1"/>
      <c r="Q388" s="1"/>
      <c r="T388" s="1"/>
      <c r="W388" s="1"/>
      <c r="Y388" s="1"/>
      <c r="AB388" s="3"/>
    </row>
    <row r="389" ht="15.75" customHeight="1">
      <c r="E389" s="1"/>
      <c r="H389" s="1"/>
      <c r="K389" s="1"/>
      <c r="N389" s="1"/>
      <c r="Q389" s="1"/>
      <c r="T389" s="1"/>
      <c r="W389" s="1"/>
      <c r="Y389" s="1"/>
      <c r="AB389" s="3"/>
    </row>
    <row r="390" ht="15.75" customHeight="1">
      <c r="E390" s="1"/>
      <c r="H390" s="1"/>
      <c r="K390" s="1"/>
      <c r="N390" s="1"/>
      <c r="Q390" s="1"/>
      <c r="T390" s="1"/>
      <c r="W390" s="1"/>
      <c r="Y390" s="1"/>
      <c r="AB390" s="3"/>
    </row>
    <row r="391" ht="15.75" customHeight="1">
      <c r="E391" s="1"/>
      <c r="H391" s="1"/>
      <c r="K391" s="1"/>
      <c r="N391" s="1"/>
      <c r="Q391" s="1"/>
      <c r="T391" s="1"/>
      <c r="W391" s="1"/>
      <c r="Y391" s="1"/>
      <c r="AB391" s="3"/>
    </row>
    <row r="392" ht="15.75" customHeight="1">
      <c r="E392" s="1"/>
      <c r="H392" s="1"/>
      <c r="K392" s="1"/>
      <c r="N392" s="1"/>
      <c r="Q392" s="1"/>
      <c r="T392" s="1"/>
      <c r="W392" s="1"/>
      <c r="Y392" s="1"/>
      <c r="AB392" s="3"/>
    </row>
    <row r="393" ht="15.75" customHeight="1">
      <c r="E393" s="1"/>
      <c r="H393" s="1"/>
      <c r="K393" s="1"/>
      <c r="N393" s="1"/>
      <c r="Q393" s="1"/>
      <c r="T393" s="1"/>
      <c r="W393" s="1"/>
      <c r="Y393" s="1"/>
      <c r="AB393" s="3"/>
    </row>
    <row r="394" ht="15.75" customHeight="1">
      <c r="E394" s="1"/>
      <c r="H394" s="1"/>
      <c r="K394" s="1"/>
      <c r="N394" s="1"/>
      <c r="Q394" s="1"/>
      <c r="T394" s="1"/>
      <c r="W394" s="1"/>
      <c r="Y394" s="1"/>
      <c r="AB394" s="3"/>
    </row>
    <row r="395" ht="15.75" customHeight="1">
      <c r="E395" s="1"/>
      <c r="H395" s="1"/>
      <c r="K395" s="1"/>
      <c r="N395" s="1"/>
      <c r="Q395" s="1"/>
      <c r="T395" s="1"/>
      <c r="W395" s="1"/>
      <c r="Y395" s="1"/>
      <c r="AB395" s="3"/>
    </row>
    <row r="396" ht="15.75" customHeight="1">
      <c r="E396" s="1"/>
      <c r="H396" s="1"/>
      <c r="K396" s="1"/>
      <c r="N396" s="1"/>
      <c r="Q396" s="1"/>
      <c r="T396" s="1"/>
      <c r="W396" s="1"/>
      <c r="Y396" s="1"/>
      <c r="AB396" s="3"/>
    </row>
    <row r="397" ht="15.75" customHeight="1">
      <c r="E397" s="1"/>
      <c r="H397" s="1"/>
      <c r="K397" s="1"/>
      <c r="N397" s="1"/>
      <c r="Q397" s="1"/>
      <c r="T397" s="1"/>
      <c r="W397" s="1"/>
      <c r="Y397" s="1"/>
      <c r="AB397" s="3"/>
    </row>
    <row r="398" ht="15.75" customHeight="1">
      <c r="E398" s="1"/>
      <c r="H398" s="1"/>
      <c r="K398" s="1"/>
      <c r="N398" s="1"/>
      <c r="Q398" s="1"/>
      <c r="T398" s="1"/>
      <c r="W398" s="1"/>
      <c r="Y398" s="1"/>
      <c r="AB398" s="3"/>
    </row>
    <row r="399" ht="15.75" customHeight="1">
      <c r="E399" s="1"/>
      <c r="H399" s="1"/>
      <c r="K399" s="1"/>
      <c r="N399" s="1"/>
      <c r="Q399" s="1"/>
      <c r="T399" s="1"/>
      <c r="W399" s="1"/>
      <c r="Y399" s="1"/>
      <c r="AB399" s="3"/>
    </row>
    <row r="400" ht="15.75" customHeight="1">
      <c r="E400" s="1"/>
      <c r="H400" s="1"/>
      <c r="K400" s="1"/>
      <c r="N400" s="1"/>
      <c r="Q400" s="1"/>
      <c r="T400" s="1"/>
      <c r="W400" s="1"/>
      <c r="Y400" s="1"/>
      <c r="AB400" s="3"/>
    </row>
    <row r="401" ht="15.75" customHeight="1">
      <c r="E401" s="1"/>
      <c r="H401" s="1"/>
      <c r="K401" s="1"/>
      <c r="N401" s="1"/>
      <c r="Q401" s="1"/>
      <c r="T401" s="1"/>
      <c r="W401" s="1"/>
      <c r="Y401" s="1"/>
      <c r="AB401" s="3"/>
    </row>
    <row r="402" ht="15.75" customHeight="1">
      <c r="E402" s="1"/>
      <c r="H402" s="1"/>
      <c r="K402" s="1"/>
      <c r="N402" s="1"/>
      <c r="Q402" s="1"/>
      <c r="T402" s="1"/>
      <c r="W402" s="1"/>
      <c r="Y402" s="1"/>
      <c r="AB402" s="3"/>
    </row>
    <row r="403" ht="15.75" customHeight="1">
      <c r="E403" s="1"/>
      <c r="H403" s="1"/>
      <c r="K403" s="1"/>
      <c r="N403" s="1"/>
      <c r="Q403" s="1"/>
      <c r="T403" s="1"/>
      <c r="W403" s="1"/>
      <c r="Y403" s="1"/>
      <c r="AB403" s="3"/>
    </row>
    <row r="404" ht="15.75" customHeight="1">
      <c r="E404" s="1"/>
      <c r="H404" s="1"/>
      <c r="K404" s="1"/>
      <c r="N404" s="1"/>
      <c r="Q404" s="1"/>
      <c r="T404" s="1"/>
      <c r="W404" s="1"/>
      <c r="Y404" s="1"/>
      <c r="AB404" s="3"/>
    </row>
    <row r="405" ht="15.75" customHeight="1">
      <c r="E405" s="1"/>
      <c r="H405" s="1"/>
      <c r="K405" s="1"/>
      <c r="N405" s="1"/>
      <c r="Q405" s="1"/>
      <c r="T405" s="1"/>
      <c r="W405" s="1"/>
      <c r="Y405" s="1"/>
      <c r="AB405" s="3"/>
    </row>
    <row r="406" ht="15.75" customHeight="1">
      <c r="E406" s="1"/>
      <c r="H406" s="1"/>
      <c r="K406" s="1"/>
      <c r="N406" s="1"/>
      <c r="Q406" s="1"/>
      <c r="T406" s="1"/>
      <c r="W406" s="1"/>
      <c r="Y406" s="1"/>
      <c r="AB406" s="3"/>
    </row>
    <row r="407" ht="15.75" customHeight="1">
      <c r="E407" s="1"/>
      <c r="H407" s="1"/>
      <c r="K407" s="1"/>
      <c r="N407" s="1"/>
      <c r="Q407" s="1"/>
      <c r="T407" s="1"/>
      <c r="W407" s="1"/>
      <c r="Y407" s="1"/>
      <c r="AB407" s="3"/>
    </row>
    <row r="408" ht="15.75" customHeight="1">
      <c r="E408" s="1"/>
      <c r="H408" s="1"/>
      <c r="K408" s="1"/>
      <c r="N408" s="1"/>
      <c r="Q408" s="1"/>
      <c r="T408" s="1"/>
      <c r="W408" s="1"/>
      <c r="Y408" s="1"/>
      <c r="AB408" s="3"/>
    </row>
    <row r="409" ht="15.75" customHeight="1">
      <c r="E409" s="1"/>
      <c r="H409" s="1"/>
      <c r="K409" s="1"/>
      <c r="N409" s="1"/>
      <c r="Q409" s="1"/>
      <c r="T409" s="1"/>
      <c r="W409" s="1"/>
      <c r="Y409" s="1"/>
      <c r="AB409" s="3"/>
    </row>
    <row r="410" ht="15.75" customHeight="1">
      <c r="E410" s="1"/>
      <c r="H410" s="1"/>
      <c r="K410" s="1"/>
      <c r="N410" s="1"/>
      <c r="Q410" s="1"/>
      <c r="T410" s="1"/>
      <c r="W410" s="1"/>
      <c r="Y410" s="1"/>
      <c r="AB410" s="3"/>
    </row>
    <row r="411" ht="15.75" customHeight="1">
      <c r="E411" s="1"/>
      <c r="H411" s="1"/>
      <c r="K411" s="1"/>
      <c r="N411" s="1"/>
      <c r="Q411" s="1"/>
      <c r="T411" s="1"/>
      <c r="W411" s="1"/>
      <c r="Y411" s="1"/>
      <c r="AB411" s="3"/>
    </row>
    <row r="412" ht="15.75" customHeight="1">
      <c r="E412" s="1"/>
      <c r="H412" s="1"/>
      <c r="K412" s="1"/>
      <c r="N412" s="1"/>
      <c r="Q412" s="1"/>
      <c r="T412" s="1"/>
      <c r="W412" s="1"/>
      <c r="Y412" s="1"/>
      <c r="AB412" s="3"/>
    </row>
    <row r="413" ht="15.75" customHeight="1">
      <c r="E413" s="1"/>
      <c r="H413" s="1"/>
      <c r="K413" s="1"/>
      <c r="N413" s="1"/>
      <c r="Q413" s="1"/>
      <c r="T413" s="1"/>
      <c r="W413" s="1"/>
      <c r="Y413" s="1"/>
      <c r="AB413" s="3"/>
    </row>
    <row r="414" ht="15.75" customHeight="1">
      <c r="E414" s="1"/>
      <c r="H414" s="1"/>
      <c r="K414" s="1"/>
      <c r="N414" s="1"/>
      <c r="Q414" s="1"/>
      <c r="T414" s="1"/>
      <c r="W414" s="1"/>
      <c r="Y414" s="1"/>
      <c r="AB414" s="3"/>
    </row>
    <row r="415" ht="15.75" customHeight="1">
      <c r="E415" s="1"/>
      <c r="H415" s="1"/>
      <c r="K415" s="1"/>
      <c r="N415" s="1"/>
      <c r="Q415" s="1"/>
      <c r="T415" s="1"/>
      <c r="W415" s="1"/>
      <c r="Y415" s="1"/>
      <c r="AB415" s="3"/>
    </row>
    <row r="416" ht="15.75" customHeight="1">
      <c r="E416" s="1"/>
      <c r="H416" s="1"/>
      <c r="K416" s="1"/>
      <c r="N416" s="1"/>
      <c r="Q416" s="1"/>
      <c r="T416" s="1"/>
      <c r="W416" s="1"/>
      <c r="Y416" s="1"/>
      <c r="AB416" s="3"/>
    </row>
    <row r="417" ht="15.75" customHeight="1">
      <c r="E417" s="1"/>
      <c r="H417" s="1"/>
      <c r="K417" s="1"/>
      <c r="N417" s="1"/>
      <c r="Q417" s="1"/>
      <c r="T417" s="1"/>
      <c r="W417" s="1"/>
      <c r="Y417" s="1"/>
      <c r="AB417" s="3"/>
    </row>
    <row r="418" ht="15.75" customHeight="1">
      <c r="E418" s="1"/>
      <c r="H418" s="1"/>
      <c r="K418" s="1"/>
      <c r="N418" s="1"/>
      <c r="Q418" s="1"/>
      <c r="T418" s="1"/>
      <c r="W418" s="1"/>
      <c r="Y418" s="1"/>
      <c r="AB418" s="3"/>
    </row>
    <row r="419" ht="15.75" customHeight="1">
      <c r="E419" s="1"/>
      <c r="H419" s="1"/>
      <c r="K419" s="1"/>
      <c r="N419" s="1"/>
      <c r="Q419" s="1"/>
      <c r="T419" s="1"/>
      <c r="W419" s="1"/>
      <c r="Y419" s="1"/>
      <c r="AB419" s="3"/>
    </row>
    <row r="420" ht="15.75" customHeight="1">
      <c r="E420" s="1"/>
      <c r="H420" s="1"/>
      <c r="K420" s="1"/>
      <c r="N420" s="1"/>
      <c r="Q420" s="1"/>
      <c r="T420" s="1"/>
      <c r="W420" s="1"/>
      <c r="Y420" s="1"/>
      <c r="AB420" s="3"/>
    </row>
    <row r="421" ht="15.75" customHeight="1">
      <c r="E421" s="1"/>
      <c r="H421" s="1"/>
      <c r="K421" s="1"/>
      <c r="N421" s="1"/>
      <c r="Q421" s="1"/>
      <c r="T421" s="1"/>
      <c r="W421" s="1"/>
      <c r="Y421" s="1"/>
      <c r="AB421" s="3"/>
    </row>
    <row r="422" ht="15.75" customHeight="1">
      <c r="E422" s="1"/>
      <c r="H422" s="1"/>
      <c r="K422" s="1"/>
      <c r="N422" s="1"/>
      <c r="Q422" s="1"/>
      <c r="T422" s="1"/>
      <c r="W422" s="1"/>
      <c r="Y422" s="1"/>
      <c r="AB422" s="3"/>
    </row>
    <row r="423" ht="15.75" customHeight="1">
      <c r="E423" s="1"/>
      <c r="H423" s="1"/>
      <c r="K423" s="1"/>
      <c r="N423" s="1"/>
      <c r="Q423" s="1"/>
      <c r="T423" s="1"/>
      <c r="W423" s="1"/>
      <c r="Y423" s="1"/>
      <c r="AB423" s="3"/>
    </row>
    <row r="424" ht="15.75" customHeight="1">
      <c r="E424" s="1"/>
      <c r="H424" s="1"/>
      <c r="K424" s="1"/>
      <c r="N424" s="1"/>
      <c r="Q424" s="1"/>
      <c r="T424" s="1"/>
      <c r="W424" s="1"/>
      <c r="Y424" s="1"/>
      <c r="AB424" s="3"/>
    </row>
    <row r="425" ht="15.75" customHeight="1">
      <c r="E425" s="1"/>
      <c r="H425" s="1"/>
      <c r="K425" s="1"/>
      <c r="N425" s="1"/>
      <c r="Q425" s="1"/>
      <c r="T425" s="1"/>
      <c r="W425" s="1"/>
      <c r="Y425" s="1"/>
      <c r="AB425" s="3"/>
    </row>
    <row r="426" ht="15.75" customHeight="1">
      <c r="E426" s="1"/>
      <c r="H426" s="1"/>
      <c r="K426" s="1"/>
      <c r="N426" s="1"/>
      <c r="Q426" s="1"/>
      <c r="T426" s="1"/>
      <c r="W426" s="1"/>
      <c r="Y426" s="1"/>
      <c r="AB426" s="3"/>
    </row>
    <row r="427" ht="15.75" customHeight="1">
      <c r="E427" s="1"/>
      <c r="H427" s="1"/>
      <c r="K427" s="1"/>
      <c r="N427" s="1"/>
      <c r="Q427" s="1"/>
      <c r="T427" s="1"/>
      <c r="W427" s="1"/>
      <c r="Y427" s="1"/>
      <c r="AB427" s="3"/>
    </row>
    <row r="428" ht="15.75" customHeight="1">
      <c r="E428" s="1"/>
      <c r="H428" s="1"/>
      <c r="K428" s="1"/>
      <c r="N428" s="1"/>
      <c r="Q428" s="1"/>
      <c r="T428" s="1"/>
      <c r="W428" s="1"/>
      <c r="Y428" s="1"/>
      <c r="AB428" s="3"/>
    </row>
    <row r="429" ht="15.75" customHeight="1">
      <c r="E429" s="1"/>
      <c r="H429" s="1"/>
      <c r="K429" s="1"/>
      <c r="N429" s="1"/>
      <c r="Q429" s="1"/>
      <c r="T429" s="1"/>
      <c r="W429" s="1"/>
      <c r="Y429" s="1"/>
      <c r="AB429" s="3"/>
    </row>
    <row r="430" ht="15.75" customHeight="1">
      <c r="E430" s="1"/>
      <c r="H430" s="1"/>
      <c r="K430" s="1"/>
      <c r="N430" s="1"/>
      <c r="Q430" s="1"/>
      <c r="T430" s="1"/>
      <c r="W430" s="1"/>
      <c r="Y430" s="1"/>
      <c r="AB430" s="3"/>
    </row>
    <row r="431" ht="15.75" customHeight="1">
      <c r="E431" s="1"/>
      <c r="H431" s="1"/>
      <c r="K431" s="1"/>
      <c r="N431" s="1"/>
      <c r="Q431" s="1"/>
      <c r="T431" s="1"/>
      <c r="W431" s="1"/>
      <c r="Y431" s="1"/>
      <c r="AB431" s="3"/>
    </row>
    <row r="432" ht="15.75" customHeight="1">
      <c r="E432" s="1"/>
      <c r="H432" s="1"/>
      <c r="K432" s="1"/>
      <c r="N432" s="1"/>
      <c r="Q432" s="1"/>
      <c r="T432" s="1"/>
      <c r="W432" s="1"/>
      <c r="Y432" s="1"/>
      <c r="AB432" s="3"/>
    </row>
    <row r="433" ht="15.75" customHeight="1">
      <c r="E433" s="1"/>
      <c r="H433" s="1"/>
      <c r="K433" s="1"/>
      <c r="N433" s="1"/>
      <c r="Q433" s="1"/>
      <c r="T433" s="1"/>
      <c r="W433" s="1"/>
      <c r="Y433" s="1"/>
      <c r="AB433" s="3"/>
    </row>
    <row r="434" ht="15.75" customHeight="1">
      <c r="E434" s="1"/>
      <c r="H434" s="1"/>
      <c r="K434" s="1"/>
      <c r="N434" s="1"/>
      <c r="Q434" s="1"/>
      <c r="T434" s="1"/>
      <c r="W434" s="1"/>
      <c r="Y434" s="1"/>
      <c r="AB434" s="3"/>
    </row>
    <row r="435" ht="15.75" customHeight="1">
      <c r="E435" s="1"/>
      <c r="H435" s="1"/>
      <c r="K435" s="1"/>
      <c r="N435" s="1"/>
      <c r="Q435" s="1"/>
      <c r="T435" s="1"/>
      <c r="W435" s="1"/>
      <c r="Y435" s="1"/>
      <c r="AB435" s="3"/>
    </row>
    <row r="436" ht="15.75" customHeight="1">
      <c r="E436" s="1"/>
      <c r="H436" s="1"/>
      <c r="K436" s="1"/>
      <c r="N436" s="1"/>
      <c r="Q436" s="1"/>
      <c r="T436" s="1"/>
      <c r="W436" s="1"/>
      <c r="Y436" s="1"/>
      <c r="AB436" s="3"/>
    </row>
    <row r="437" ht="15.75" customHeight="1">
      <c r="E437" s="1"/>
      <c r="H437" s="1"/>
      <c r="K437" s="1"/>
      <c r="N437" s="1"/>
      <c r="Q437" s="1"/>
      <c r="T437" s="1"/>
      <c r="W437" s="1"/>
      <c r="Y437" s="1"/>
      <c r="AB437" s="3"/>
    </row>
    <row r="438" ht="15.75" customHeight="1">
      <c r="E438" s="1"/>
      <c r="H438" s="1"/>
      <c r="K438" s="1"/>
      <c r="N438" s="1"/>
      <c r="Q438" s="1"/>
      <c r="T438" s="1"/>
      <c r="W438" s="1"/>
      <c r="Y438" s="1"/>
      <c r="AB438" s="3"/>
    </row>
    <row r="439" ht="15.75" customHeight="1">
      <c r="E439" s="1"/>
      <c r="H439" s="1"/>
      <c r="K439" s="1"/>
      <c r="N439" s="1"/>
      <c r="Q439" s="1"/>
      <c r="T439" s="1"/>
      <c r="W439" s="1"/>
      <c r="Y439" s="1"/>
      <c r="AB439" s="3"/>
    </row>
    <row r="440" ht="15.75" customHeight="1">
      <c r="E440" s="1"/>
      <c r="H440" s="1"/>
      <c r="K440" s="1"/>
      <c r="N440" s="1"/>
      <c r="Q440" s="1"/>
      <c r="T440" s="1"/>
      <c r="W440" s="1"/>
      <c r="Y440" s="1"/>
      <c r="AB440" s="3"/>
    </row>
    <row r="441" ht="15.75" customHeight="1">
      <c r="E441" s="1"/>
      <c r="H441" s="1"/>
      <c r="K441" s="1"/>
      <c r="N441" s="1"/>
      <c r="Q441" s="1"/>
      <c r="T441" s="1"/>
      <c r="W441" s="1"/>
      <c r="Y441" s="1"/>
      <c r="AB441" s="3"/>
    </row>
    <row r="442" ht="15.75" customHeight="1">
      <c r="E442" s="1"/>
      <c r="H442" s="1"/>
      <c r="K442" s="1"/>
      <c r="N442" s="1"/>
      <c r="Q442" s="1"/>
      <c r="T442" s="1"/>
      <c r="W442" s="1"/>
      <c r="Y442" s="1"/>
      <c r="AB442" s="3"/>
    </row>
    <row r="443" ht="15.75" customHeight="1">
      <c r="E443" s="1"/>
      <c r="H443" s="1"/>
      <c r="K443" s="1"/>
      <c r="N443" s="1"/>
      <c r="Q443" s="1"/>
      <c r="T443" s="1"/>
      <c r="W443" s="1"/>
      <c r="Y443" s="1"/>
      <c r="AB443" s="3"/>
    </row>
    <row r="444" ht="15.75" customHeight="1">
      <c r="E444" s="1"/>
      <c r="H444" s="1"/>
      <c r="K444" s="1"/>
      <c r="N444" s="1"/>
      <c r="Q444" s="1"/>
      <c r="T444" s="1"/>
      <c r="W444" s="1"/>
      <c r="Y444" s="1"/>
      <c r="AB444" s="3"/>
    </row>
    <row r="445" ht="15.75" customHeight="1">
      <c r="E445" s="1"/>
      <c r="H445" s="1"/>
      <c r="K445" s="1"/>
      <c r="N445" s="1"/>
      <c r="Q445" s="1"/>
      <c r="T445" s="1"/>
      <c r="W445" s="1"/>
      <c r="Y445" s="1"/>
      <c r="AB445" s="3"/>
    </row>
    <row r="446" ht="15.75" customHeight="1">
      <c r="E446" s="1"/>
      <c r="H446" s="1"/>
      <c r="K446" s="1"/>
      <c r="N446" s="1"/>
      <c r="Q446" s="1"/>
      <c r="T446" s="1"/>
      <c r="W446" s="1"/>
      <c r="Y446" s="1"/>
      <c r="AB446" s="3"/>
    </row>
    <row r="447" ht="15.75" customHeight="1">
      <c r="E447" s="1"/>
      <c r="H447" s="1"/>
      <c r="K447" s="1"/>
      <c r="N447" s="1"/>
      <c r="Q447" s="1"/>
      <c r="T447" s="1"/>
      <c r="W447" s="1"/>
      <c r="Y447" s="1"/>
      <c r="AB447" s="3"/>
    </row>
    <row r="448" ht="15.75" customHeight="1">
      <c r="E448" s="1"/>
      <c r="H448" s="1"/>
      <c r="K448" s="1"/>
      <c r="N448" s="1"/>
      <c r="Q448" s="1"/>
      <c r="T448" s="1"/>
      <c r="W448" s="1"/>
      <c r="Y448" s="1"/>
      <c r="AB448" s="3"/>
    </row>
    <row r="449" ht="15.75" customHeight="1">
      <c r="E449" s="1"/>
      <c r="H449" s="1"/>
      <c r="K449" s="1"/>
      <c r="N449" s="1"/>
      <c r="Q449" s="1"/>
      <c r="T449" s="1"/>
      <c r="W449" s="1"/>
      <c r="Y449" s="1"/>
      <c r="AB449" s="3"/>
    </row>
    <row r="450" ht="15.75" customHeight="1">
      <c r="E450" s="1"/>
      <c r="H450" s="1"/>
      <c r="K450" s="1"/>
      <c r="N450" s="1"/>
      <c r="Q450" s="1"/>
      <c r="T450" s="1"/>
      <c r="W450" s="1"/>
      <c r="Y450" s="1"/>
      <c r="AB450" s="3"/>
    </row>
    <row r="451" ht="15.75" customHeight="1">
      <c r="E451" s="1"/>
      <c r="H451" s="1"/>
      <c r="K451" s="1"/>
      <c r="N451" s="1"/>
      <c r="Q451" s="1"/>
      <c r="T451" s="1"/>
      <c r="W451" s="1"/>
      <c r="Y451" s="1"/>
      <c r="AB451" s="3"/>
    </row>
    <row r="452" ht="15.75" customHeight="1">
      <c r="E452" s="1"/>
      <c r="H452" s="1"/>
      <c r="K452" s="1"/>
      <c r="N452" s="1"/>
      <c r="Q452" s="1"/>
      <c r="T452" s="1"/>
      <c r="W452" s="1"/>
      <c r="Y452" s="1"/>
      <c r="AB452" s="3"/>
    </row>
    <row r="453" ht="15.75" customHeight="1">
      <c r="E453" s="1"/>
      <c r="H453" s="1"/>
      <c r="K453" s="1"/>
      <c r="N453" s="1"/>
      <c r="Q453" s="1"/>
      <c r="T453" s="1"/>
      <c r="W453" s="1"/>
      <c r="Y453" s="1"/>
      <c r="AB453" s="3"/>
    </row>
    <row r="454" ht="15.75" customHeight="1">
      <c r="E454" s="1"/>
      <c r="H454" s="1"/>
      <c r="K454" s="1"/>
      <c r="N454" s="1"/>
      <c r="Q454" s="1"/>
      <c r="T454" s="1"/>
      <c r="W454" s="1"/>
      <c r="Y454" s="1"/>
      <c r="AB454" s="3"/>
    </row>
    <row r="455" ht="15.75" customHeight="1">
      <c r="E455" s="1"/>
      <c r="H455" s="1"/>
      <c r="K455" s="1"/>
      <c r="N455" s="1"/>
      <c r="Q455" s="1"/>
      <c r="T455" s="1"/>
      <c r="W455" s="1"/>
      <c r="Y455" s="1"/>
      <c r="AB455" s="3"/>
    </row>
    <row r="456" ht="15.75" customHeight="1">
      <c r="E456" s="1"/>
      <c r="H456" s="1"/>
      <c r="K456" s="1"/>
      <c r="N456" s="1"/>
      <c r="Q456" s="1"/>
      <c r="T456" s="1"/>
      <c r="W456" s="1"/>
      <c r="Y456" s="1"/>
      <c r="AB456" s="3"/>
    </row>
    <row r="457" ht="15.75" customHeight="1">
      <c r="E457" s="1"/>
      <c r="H457" s="1"/>
      <c r="K457" s="1"/>
      <c r="N457" s="1"/>
      <c r="Q457" s="1"/>
      <c r="T457" s="1"/>
      <c r="W457" s="1"/>
      <c r="Y457" s="1"/>
      <c r="AB457" s="3"/>
    </row>
    <row r="458" ht="15.75" customHeight="1">
      <c r="E458" s="1"/>
      <c r="H458" s="1"/>
      <c r="K458" s="1"/>
      <c r="N458" s="1"/>
      <c r="Q458" s="1"/>
      <c r="T458" s="1"/>
      <c r="W458" s="1"/>
      <c r="Y458" s="1"/>
      <c r="AB458" s="3"/>
    </row>
    <row r="459" ht="15.75" customHeight="1">
      <c r="E459" s="1"/>
      <c r="H459" s="1"/>
      <c r="K459" s="1"/>
      <c r="N459" s="1"/>
      <c r="Q459" s="1"/>
      <c r="T459" s="1"/>
      <c r="W459" s="1"/>
      <c r="Y459" s="1"/>
      <c r="AB459" s="3"/>
    </row>
    <row r="460" ht="15.75" customHeight="1">
      <c r="E460" s="1"/>
      <c r="H460" s="1"/>
      <c r="K460" s="1"/>
      <c r="N460" s="1"/>
      <c r="Q460" s="1"/>
      <c r="T460" s="1"/>
      <c r="W460" s="1"/>
      <c r="Y460" s="1"/>
      <c r="AB460" s="3"/>
    </row>
    <row r="461" ht="15.75" customHeight="1">
      <c r="E461" s="1"/>
      <c r="H461" s="1"/>
      <c r="K461" s="1"/>
      <c r="N461" s="1"/>
      <c r="Q461" s="1"/>
      <c r="T461" s="1"/>
      <c r="W461" s="1"/>
      <c r="Y461" s="1"/>
      <c r="AB461" s="3"/>
    </row>
    <row r="462" ht="15.75" customHeight="1">
      <c r="E462" s="1"/>
      <c r="H462" s="1"/>
      <c r="K462" s="1"/>
      <c r="N462" s="1"/>
      <c r="Q462" s="1"/>
      <c r="T462" s="1"/>
      <c r="W462" s="1"/>
      <c r="Y462" s="1"/>
      <c r="AB462" s="3"/>
    </row>
    <row r="463" ht="15.75" customHeight="1">
      <c r="E463" s="1"/>
      <c r="H463" s="1"/>
      <c r="K463" s="1"/>
      <c r="N463" s="1"/>
      <c r="Q463" s="1"/>
      <c r="T463" s="1"/>
      <c r="W463" s="1"/>
      <c r="Y463" s="1"/>
      <c r="AB463" s="3"/>
    </row>
    <row r="464" ht="15.75" customHeight="1">
      <c r="E464" s="1"/>
      <c r="H464" s="1"/>
      <c r="K464" s="1"/>
      <c r="N464" s="1"/>
      <c r="Q464" s="1"/>
      <c r="T464" s="1"/>
      <c r="W464" s="1"/>
      <c r="Y464" s="1"/>
      <c r="AB464" s="3"/>
    </row>
    <row r="465" ht="15.75" customHeight="1">
      <c r="E465" s="1"/>
      <c r="H465" s="1"/>
      <c r="K465" s="1"/>
      <c r="N465" s="1"/>
      <c r="Q465" s="1"/>
      <c r="T465" s="1"/>
      <c r="W465" s="1"/>
      <c r="Y465" s="1"/>
      <c r="AB465" s="3"/>
    </row>
    <row r="466" ht="15.75" customHeight="1">
      <c r="E466" s="1"/>
      <c r="H466" s="1"/>
      <c r="K466" s="1"/>
      <c r="N466" s="1"/>
      <c r="Q466" s="1"/>
      <c r="T466" s="1"/>
      <c r="W466" s="1"/>
      <c r="Y466" s="1"/>
      <c r="AB466" s="3"/>
    </row>
    <row r="467" ht="15.75" customHeight="1">
      <c r="E467" s="1"/>
      <c r="H467" s="1"/>
      <c r="K467" s="1"/>
      <c r="N467" s="1"/>
      <c r="Q467" s="1"/>
      <c r="T467" s="1"/>
      <c r="W467" s="1"/>
      <c r="Y467" s="1"/>
      <c r="AB467" s="3"/>
    </row>
    <row r="468" ht="15.75" customHeight="1">
      <c r="E468" s="1"/>
      <c r="H468" s="1"/>
      <c r="K468" s="1"/>
      <c r="N468" s="1"/>
      <c r="Q468" s="1"/>
      <c r="T468" s="1"/>
      <c r="W468" s="1"/>
      <c r="Y468" s="1"/>
      <c r="AB468" s="3"/>
    </row>
    <row r="469" ht="15.75" customHeight="1">
      <c r="E469" s="1"/>
      <c r="H469" s="1"/>
      <c r="K469" s="1"/>
      <c r="N469" s="1"/>
      <c r="Q469" s="1"/>
      <c r="T469" s="1"/>
      <c r="W469" s="1"/>
      <c r="Y469" s="1"/>
      <c r="AB469" s="3"/>
    </row>
    <row r="470" ht="15.75" customHeight="1">
      <c r="E470" s="1"/>
      <c r="H470" s="1"/>
      <c r="K470" s="1"/>
      <c r="N470" s="1"/>
      <c r="Q470" s="1"/>
      <c r="T470" s="1"/>
      <c r="W470" s="1"/>
      <c r="Y470" s="1"/>
      <c r="AB470" s="3"/>
    </row>
    <row r="471" ht="15.75" customHeight="1">
      <c r="E471" s="1"/>
      <c r="H471" s="1"/>
      <c r="K471" s="1"/>
      <c r="N471" s="1"/>
      <c r="Q471" s="1"/>
      <c r="T471" s="1"/>
      <c r="W471" s="1"/>
      <c r="Y471" s="1"/>
      <c r="AB471" s="3"/>
    </row>
    <row r="472" ht="15.75" customHeight="1">
      <c r="E472" s="1"/>
      <c r="H472" s="1"/>
      <c r="K472" s="1"/>
      <c r="N472" s="1"/>
      <c r="Q472" s="1"/>
      <c r="T472" s="1"/>
      <c r="W472" s="1"/>
      <c r="Y472" s="1"/>
      <c r="AB472" s="3"/>
    </row>
    <row r="473" ht="15.75" customHeight="1">
      <c r="E473" s="1"/>
      <c r="H473" s="1"/>
      <c r="K473" s="1"/>
      <c r="N473" s="1"/>
      <c r="Q473" s="1"/>
      <c r="T473" s="1"/>
      <c r="W473" s="1"/>
      <c r="Y473" s="1"/>
      <c r="AB473" s="3"/>
    </row>
    <row r="474" ht="15.75" customHeight="1">
      <c r="E474" s="1"/>
      <c r="H474" s="1"/>
      <c r="K474" s="1"/>
      <c r="N474" s="1"/>
      <c r="Q474" s="1"/>
      <c r="T474" s="1"/>
      <c r="W474" s="1"/>
      <c r="Y474" s="1"/>
      <c r="AB474" s="3"/>
    </row>
    <row r="475" ht="15.75" customHeight="1">
      <c r="E475" s="1"/>
      <c r="H475" s="1"/>
      <c r="K475" s="1"/>
      <c r="N475" s="1"/>
      <c r="Q475" s="1"/>
      <c r="T475" s="1"/>
      <c r="W475" s="1"/>
      <c r="Y475" s="1"/>
      <c r="AB475" s="3"/>
    </row>
    <row r="476" ht="15.75" customHeight="1">
      <c r="E476" s="1"/>
      <c r="H476" s="1"/>
      <c r="K476" s="1"/>
      <c r="N476" s="1"/>
      <c r="Q476" s="1"/>
      <c r="T476" s="1"/>
      <c r="W476" s="1"/>
      <c r="Y476" s="1"/>
      <c r="AB476" s="3"/>
    </row>
    <row r="477" ht="15.75" customHeight="1">
      <c r="E477" s="1"/>
      <c r="H477" s="1"/>
      <c r="K477" s="1"/>
      <c r="N477" s="1"/>
      <c r="Q477" s="1"/>
      <c r="T477" s="1"/>
      <c r="W477" s="1"/>
      <c r="Y477" s="1"/>
      <c r="AB477" s="3"/>
    </row>
    <row r="478" ht="15.75" customHeight="1">
      <c r="E478" s="1"/>
      <c r="H478" s="1"/>
      <c r="K478" s="1"/>
      <c r="N478" s="1"/>
      <c r="Q478" s="1"/>
      <c r="T478" s="1"/>
      <c r="W478" s="1"/>
      <c r="Y478" s="1"/>
      <c r="AB478" s="3"/>
    </row>
    <row r="479" ht="15.75" customHeight="1">
      <c r="E479" s="1"/>
      <c r="H479" s="1"/>
      <c r="K479" s="1"/>
      <c r="N479" s="1"/>
      <c r="Q479" s="1"/>
      <c r="T479" s="1"/>
      <c r="W479" s="1"/>
      <c r="Y479" s="1"/>
      <c r="AB479" s="3"/>
    </row>
    <row r="480" ht="15.75" customHeight="1">
      <c r="E480" s="1"/>
      <c r="H480" s="1"/>
      <c r="K480" s="1"/>
      <c r="N480" s="1"/>
      <c r="Q480" s="1"/>
      <c r="T480" s="1"/>
      <c r="W480" s="1"/>
      <c r="Y480" s="1"/>
      <c r="AB480" s="3"/>
    </row>
    <row r="481" ht="15.75" customHeight="1">
      <c r="E481" s="1"/>
      <c r="H481" s="1"/>
      <c r="K481" s="1"/>
      <c r="N481" s="1"/>
      <c r="Q481" s="1"/>
      <c r="T481" s="1"/>
      <c r="W481" s="1"/>
      <c r="Y481" s="1"/>
      <c r="AB481" s="3"/>
    </row>
    <row r="482" ht="15.75" customHeight="1">
      <c r="E482" s="1"/>
      <c r="H482" s="1"/>
      <c r="K482" s="1"/>
      <c r="N482" s="1"/>
      <c r="Q482" s="1"/>
      <c r="T482" s="1"/>
      <c r="W482" s="1"/>
      <c r="Y482" s="1"/>
      <c r="AB482" s="3"/>
    </row>
    <row r="483" ht="15.75" customHeight="1">
      <c r="E483" s="1"/>
      <c r="H483" s="1"/>
      <c r="K483" s="1"/>
      <c r="N483" s="1"/>
      <c r="Q483" s="1"/>
      <c r="T483" s="1"/>
      <c r="W483" s="1"/>
      <c r="Y483" s="1"/>
      <c r="AB483" s="3"/>
    </row>
    <row r="484" ht="15.75" customHeight="1">
      <c r="E484" s="1"/>
      <c r="H484" s="1"/>
      <c r="K484" s="1"/>
      <c r="N484" s="1"/>
      <c r="Q484" s="1"/>
      <c r="T484" s="1"/>
      <c r="W484" s="1"/>
      <c r="Y484" s="1"/>
      <c r="AB484" s="3"/>
    </row>
    <row r="485" ht="15.75" customHeight="1">
      <c r="E485" s="1"/>
      <c r="H485" s="1"/>
      <c r="K485" s="1"/>
      <c r="N485" s="1"/>
      <c r="Q485" s="1"/>
      <c r="T485" s="1"/>
      <c r="W485" s="1"/>
      <c r="Y485" s="1"/>
      <c r="AB485" s="3"/>
    </row>
    <row r="486" ht="15.75" customHeight="1">
      <c r="E486" s="1"/>
      <c r="H486" s="1"/>
      <c r="K486" s="1"/>
      <c r="N486" s="1"/>
      <c r="Q486" s="1"/>
      <c r="T486" s="1"/>
      <c r="W486" s="1"/>
      <c r="Y486" s="1"/>
      <c r="AB486" s="3"/>
    </row>
    <row r="487" ht="15.75" customHeight="1">
      <c r="E487" s="1"/>
      <c r="H487" s="1"/>
      <c r="K487" s="1"/>
      <c r="N487" s="1"/>
      <c r="Q487" s="1"/>
      <c r="T487" s="1"/>
      <c r="W487" s="1"/>
      <c r="Y487" s="1"/>
      <c r="AB487" s="3"/>
    </row>
    <row r="488" ht="15.75" customHeight="1">
      <c r="E488" s="1"/>
      <c r="H488" s="1"/>
      <c r="K488" s="1"/>
      <c r="N488" s="1"/>
      <c r="Q488" s="1"/>
      <c r="T488" s="1"/>
      <c r="W488" s="1"/>
      <c r="Y488" s="1"/>
      <c r="AB488" s="3"/>
    </row>
    <row r="489" ht="15.75" customHeight="1">
      <c r="E489" s="1"/>
      <c r="H489" s="1"/>
      <c r="K489" s="1"/>
      <c r="N489" s="1"/>
      <c r="Q489" s="1"/>
      <c r="T489" s="1"/>
      <c r="W489" s="1"/>
      <c r="Y489" s="1"/>
      <c r="AB489" s="3"/>
    </row>
    <row r="490" ht="15.75" customHeight="1">
      <c r="E490" s="1"/>
      <c r="H490" s="1"/>
      <c r="K490" s="1"/>
      <c r="N490" s="1"/>
      <c r="Q490" s="1"/>
      <c r="T490" s="1"/>
      <c r="W490" s="1"/>
      <c r="Y490" s="1"/>
      <c r="AB490" s="3"/>
    </row>
    <row r="491" ht="15.75" customHeight="1">
      <c r="E491" s="1"/>
      <c r="H491" s="1"/>
      <c r="K491" s="1"/>
      <c r="N491" s="1"/>
      <c r="Q491" s="1"/>
      <c r="T491" s="1"/>
      <c r="W491" s="1"/>
      <c r="Y491" s="1"/>
      <c r="AB491" s="3"/>
    </row>
    <row r="492" ht="15.75" customHeight="1">
      <c r="E492" s="1"/>
      <c r="H492" s="1"/>
      <c r="K492" s="1"/>
      <c r="N492" s="1"/>
      <c r="Q492" s="1"/>
      <c r="T492" s="1"/>
      <c r="W492" s="1"/>
      <c r="Y492" s="1"/>
      <c r="AB492" s="3"/>
    </row>
    <row r="493" ht="15.75" customHeight="1">
      <c r="E493" s="1"/>
      <c r="H493" s="1"/>
      <c r="K493" s="1"/>
      <c r="N493" s="1"/>
      <c r="Q493" s="1"/>
      <c r="T493" s="1"/>
      <c r="W493" s="1"/>
      <c r="Y493" s="1"/>
      <c r="AB493" s="3"/>
    </row>
    <row r="494" ht="15.75" customHeight="1">
      <c r="E494" s="1"/>
      <c r="H494" s="1"/>
      <c r="K494" s="1"/>
      <c r="N494" s="1"/>
      <c r="Q494" s="1"/>
      <c r="T494" s="1"/>
      <c r="W494" s="1"/>
      <c r="Y494" s="1"/>
      <c r="AB494" s="3"/>
    </row>
    <row r="495" ht="15.75" customHeight="1">
      <c r="E495" s="1"/>
      <c r="H495" s="1"/>
      <c r="K495" s="1"/>
      <c r="N495" s="1"/>
      <c r="Q495" s="1"/>
      <c r="T495" s="1"/>
      <c r="W495" s="1"/>
      <c r="Y495" s="1"/>
      <c r="AB495" s="3"/>
    </row>
    <row r="496" ht="15.75" customHeight="1">
      <c r="E496" s="1"/>
      <c r="H496" s="1"/>
      <c r="K496" s="1"/>
      <c r="N496" s="1"/>
      <c r="Q496" s="1"/>
      <c r="T496" s="1"/>
      <c r="W496" s="1"/>
      <c r="Y496" s="1"/>
      <c r="AB496" s="3"/>
    </row>
    <row r="497" ht="15.75" customHeight="1">
      <c r="E497" s="1"/>
      <c r="H497" s="1"/>
      <c r="K497" s="1"/>
      <c r="N497" s="1"/>
      <c r="Q497" s="1"/>
      <c r="T497" s="1"/>
      <c r="W497" s="1"/>
      <c r="Y497" s="1"/>
      <c r="AB497" s="3"/>
    </row>
    <row r="498" ht="15.75" customHeight="1">
      <c r="E498" s="1"/>
      <c r="H498" s="1"/>
      <c r="K498" s="1"/>
      <c r="N498" s="1"/>
      <c r="Q498" s="1"/>
      <c r="T498" s="1"/>
      <c r="W498" s="1"/>
      <c r="Y498" s="1"/>
      <c r="AB498" s="3"/>
    </row>
    <row r="499" ht="15.75" customHeight="1">
      <c r="E499" s="1"/>
      <c r="H499" s="1"/>
      <c r="K499" s="1"/>
      <c r="N499" s="1"/>
      <c r="Q499" s="1"/>
      <c r="T499" s="1"/>
      <c r="W499" s="1"/>
      <c r="Y499" s="1"/>
      <c r="AB499" s="3"/>
    </row>
    <row r="500" ht="15.75" customHeight="1">
      <c r="E500" s="1"/>
      <c r="H500" s="1"/>
      <c r="K500" s="1"/>
      <c r="N500" s="1"/>
      <c r="Q500" s="1"/>
      <c r="T500" s="1"/>
      <c r="W500" s="1"/>
      <c r="Y500" s="1"/>
      <c r="AB500" s="3"/>
    </row>
    <row r="501" ht="15.75" customHeight="1">
      <c r="E501" s="1"/>
      <c r="H501" s="1"/>
      <c r="K501" s="1"/>
      <c r="N501" s="1"/>
      <c r="Q501" s="1"/>
      <c r="T501" s="1"/>
      <c r="W501" s="1"/>
      <c r="Y501" s="1"/>
      <c r="AB501" s="3"/>
    </row>
    <row r="502" ht="15.75" customHeight="1">
      <c r="E502" s="1"/>
      <c r="H502" s="1"/>
      <c r="K502" s="1"/>
      <c r="N502" s="1"/>
      <c r="Q502" s="1"/>
      <c r="T502" s="1"/>
      <c r="W502" s="1"/>
      <c r="Y502" s="1"/>
      <c r="AB502" s="3"/>
    </row>
    <row r="503" ht="15.75" customHeight="1">
      <c r="E503" s="1"/>
      <c r="H503" s="1"/>
      <c r="K503" s="1"/>
      <c r="N503" s="1"/>
      <c r="Q503" s="1"/>
      <c r="T503" s="1"/>
      <c r="W503" s="1"/>
      <c r="Y503" s="1"/>
      <c r="AB503" s="3"/>
    </row>
    <row r="504" ht="15.75" customHeight="1">
      <c r="E504" s="1"/>
      <c r="H504" s="1"/>
      <c r="K504" s="1"/>
      <c r="N504" s="1"/>
      <c r="Q504" s="1"/>
      <c r="T504" s="1"/>
      <c r="W504" s="1"/>
      <c r="Y504" s="1"/>
      <c r="AB504" s="3"/>
    </row>
    <row r="505" ht="15.75" customHeight="1">
      <c r="E505" s="1"/>
      <c r="H505" s="1"/>
      <c r="K505" s="1"/>
      <c r="N505" s="1"/>
      <c r="Q505" s="1"/>
      <c r="T505" s="1"/>
      <c r="W505" s="1"/>
      <c r="Y505" s="1"/>
      <c r="AB505" s="3"/>
    </row>
    <row r="506" ht="15.75" customHeight="1">
      <c r="E506" s="1"/>
      <c r="H506" s="1"/>
      <c r="K506" s="1"/>
      <c r="N506" s="1"/>
      <c r="Q506" s="1"/>
      <c r="T506" s="1"/>
      <c r="W506" s="1"/>
      <c r="Y506" s="1"/>
      <c r="AB506" s="3"/>
    </row>
    <row r="507" ht="15.75" customHeight="1">
      <c r="E507" s="1"/>
      <c r="H507" s="1"/>
      <c r="K507" s="1"/>
      <c r="N507" s="1"/>
      <c r="Q507" s="1"/>
      <c r="T507" s="1"/>
      <c r="W507" s="1"/>
      <c r="Y507" s="1"/>
      <c r="AB507" s="3"/>
    </row>
    <row r="508" ht="15.75" customHeight="1">
      <c r="E508" s="1"/>
      <c r="H508" s="1"/>
      <c r="K508" s="1"/>
      <c r="N508" s="1"/>
      <c r="Q508" s="1"/>
      <c r="T508" s="1"/>
      <c r="W508" s="1"/>
      <c r="Y508" s="1"/>
      <c r="AB508" s="3"/>
    </row>
    <row r="509" ht="15.75" customHeight="1">
      <c r="E509" s="1"/>
      <c r="H509" s="1"/>
      <c r="K509" s="1"/>
      <c r="N509" s="1"/>
      <c r="Q509" s="1"/>
      <c r="T509" s="1"/>
      <c r="W509" s="1"/>
      <c r="Y509" s="1"/>
      <c r="AB509" s="3"/>
    </row>
    <row r="510" ht="15.75" customHeight="1">
      <c r="E510" s="1"/>
      <c r="H510" s="1"/>
      <c r="K510" s="1"/>
      <c r="N510" s="1"/>
      <c r="Q510" s="1"/>
      <c r="T510" s="1"/>
      <c r="W510" s="1"/>
      <c r="Y510" s="1"/>
      <c r="AB510" s="3"/>
    </row>
    <row r="511" ht="15.75" customHeight="1">
      <c r="E511" s="1"/>
      <c r="H511" s="1"/>
      <c r="K511" s="1"/>
      <c r="N511" s="1"/>
      <c r="Q511" s="1"/>
      <c r="T511" s="1"/>
      <c r="W511" s="1"/>
      <c r="Y511" s="1"/>
      <c r="AB511" s="3"/>
    </row>
    <row r="512" ht="15.75" customHeight="1">
      <c r="E512" s="1"/>
      <c r="H512" s="1"/>
      <c r="K512" s="1"/>
      <c r="N512" s="1"/>
      <c r="Q512" s="1"/>
      <c r="T512" s="1"/>
      <c r="W512" s="1"/>
      <c r="Y512" s="1"/>
      <c r="AB512" s="3"/>
    </row>
    <row r="513" ht="15.75" customHeight="1">
      <c r="E513" s="1"/>
      <c r="H513" s="1"/>
      <c r="K513" s="1"/>
      <c r="N513" s="1"/>
      <c r="Q513" s="1"/>
      <c r="T513" s="1"/>
      <c r="W513" s="1"/>
      <c r="Y513" s="1"/>
      <c r="AB513" s="3"/>
    </row>
    <row r="514" ht="15.75" customHeight="1">
      <c r="E514" s="1"/>
      <c r="H514" s="1"/>
      <c r="K514" s="1"/>
      <c r="N514" s="1"/>
      <c r="Q514" s="1"/>
      <c r="T514" s="1"/>
      <c r="W514" s="1"/>
      <c r="Y514" s="1"/>
      <c r="AB514" s="3"/>
    </row>
    <row r="515" ht="15.75" customHeight="1">
      <c r="E515" s="1"/>
      <c r="H515" s="1"/>
      <c r="K515" s="1"/>
      <c r="N515" s="1"/>
      <c r="Q515" s="1"/>
      <c r="T515" s="1"/>
      <c r="W515" s="1"/>
      <c r="Y515" s="1"/>
      <c r="AB515" s="3"/>
    </row>
    <row r="516" ht="15.75" customHeight="1">
      <c r="E516" s="1"/>
      <c r="H516" s="1"/>
      <c r="K516" s="1"/>
      <c r="N516" s="1"/>
      <c r="Q516" s="1"/>
      <c r="T516" s="1"/>
      <c r="W516" s="1"/>
      <c r="Y516" s="1"/>
      <c r="AB516" s="3"/>
    </row>
    <row r="517" ht="15.75" customHeight="1">
      <c r="E517" s="1"/>
      <c r="H517" s="1"/>
      <c r="K517" s="1"/>
      <c r="N517" s="1"/>
      <c r="Q517" s="1"/>
      <c r="T517" s="1"/>
      <c r="W517" s="1"/>
      <c r="Y517" s="1"/>
      <c r="AB517" s="3"/>
    </row>
    <row r="518" ht="15.75" customHeight="1">
      <c r="E518" s="1"/>
      <c r="H518" s="1"/>
      <c r="K518" s="1"/>
      <c r="N518" s="1"/>
      <c r="Q518" s="1"/>
      <c r="T518" s="1"/>
      <c r="W518" s="1"/>
      <c r="Y518" s="1"/>
      <c r="AB518" s="3"/>
    </row>
    <row r="519" ht="15.75" customHeight="1">
      <c r="E519" s="1"/>
      <c r="H519" s="1"/>
      <c r="K519" s="1"/>
      <c r="N519" s="1"/>
      <c r="Q519" s="1"/>
      <c r="T519" s="1"/>
      <c r="W519" s="1"/>
      <c r="Y519" s="1"/>
      <c r="AB519" s="3"/>
    </row>
    <row r="520" ht="15.75" customHeight="1">
      <c r="E520" s="1"/>
      <c r="H520" s="1"/>
      <c r="K520" s="1"/>
      <c r="N520" s="1"/>
      <c r="Q520" s="1"/>
      <c r="T520" s="1"/>
      <c r="W520" s="1"/>
      <c r="Y520" s="1"/>
      <c r="AB520" s="3"/>
    </row>
    <row r="521" ht="15.75" customHeight="1">
      <c r="E521" s="1"/>
      <c r="H521" s="1"/>
      <c r="K521" s="1"/>
      <c r="N521" s="1"/>
      <c r="Q521" s="1"/>
      <c r="T521" s="1"/>
      <c r="W521" s="1"/>
      <c r="Y521" s="1"/>
      <c r="AB521" s="3"/>
    </row>
    <row r="522" ht="15.75" customHeight="1">
      <c r="E522" s="1"/>
      <c r="H522" s="1"/>
      <c r="K522" s="1"/>
      <c r="N522" s="1"/>
      <c r="Q522" s="1"/>
      <c r="T522" s="1"/>
      <c r="W522" s="1"/>
      <c r="Y522" s="1"/>
      <c r="AB522" s="3"/>
    </row>
    <row r="523" ht="15.75" customHeight="1">
      <c r="E523" s="1"/>
      <c r="H523" s="1"/>
      <c r="K523" s="1"/>
      <c r="N523" s="1"/>
      <c r="Q523" s="1"/>
      <c r="T523" s="1"/>
      <c r="W523" s="1"/>
      <c r="Y523" s="1"/>
      <c r="AB523" s="3"/>
    </row>
    <row r="524" ht="15.75" customHeight="1">
      <c r="E524" s="1"/>
      <c r="H524" s="1"/>
      <c r="K524" s="1"/>
      <c r="N524" s="1"/>
      <c r="Q524" s="1"/>
      <c r="T524" s="1"/>
      <c r="W524" s="1"/>
      <c r="Y524" s="1"/>
      <c r="AB524" s="3"/>
    </row>
    <row r="525" ht="15.75" customHeight="1">
      <c r="E525" s="1"/>
      <c r="H525" s="1"/>
      <c r="K525" s="1"/>
      <c r="N525" s="1"/>
      <c r="Q525" s="1"/>
      <c r="T525" s="1"/>
      <c r="W525" s="1"/>
      <c r="Y525" s="1"/>
      <c r="AB525" s="3"/>
    </row>
    <row r="526" ht="15.75" customHeight="1">
      <c r="E526" s="1"/>
      <c r="H526" s="1"/>
      <c r="K526" s="1"/>
      <c r="N526" s="1"/>
      <c r="Q526" s="1"/>
      <c r="T526" s="1"/>
      <c r="W526" s="1"/>
      <c r="Y526" s="1"/>
      <c r="AB526" s="3"/>
    </row>
    <row r="527" ht="15.75" customHeight="1">
      <c r="E527" s="1"/>
      <c r="H527" s="1"/>
      <c r="K527" s="1"/>
      <c r="N527" s="1"/>
      <c r="Q527" s="1"/>
      <c r="T527" s="1"/>
      <c r="W527" s="1"/>
      <c r="Y527" s="1"/>
      <c r="AB527" s="3"/>
    </row>
    <row r="528" ht="15.75" customHeight="1">
      <c r="E528" s="1"/>
      <c r="H528" s="1"/>
      <c r="K528" s="1"/>
      <c r="N528" s="1"/>
      <c r="Q528" s="1"/>
      <c r="T528" s="1"/>
      <c r="W528" s="1"/>
      <c r="Y528" s="1"/>
      <c r="AB528" s="3"/>
    </row>
    <row r="529" ht="15.75" customHeight="1">
      <c r="E529" s="1"/>
      <c r="H529" s="1"/>
      <c r="K529" s="1"/>
      <c r="N529" s="1"/>
      <c r="Q529" s="1"/>
      <c r="T529" s="1"/>
      <c r="W529" s="1"/>
      <c r="Y529" s="1"/>
      <c r="AB529" s="3"/>
    </row>
    <row r="530" ht="15.75" customHeight="1">
      <c r="E530" s="1"/>
      <c r="H530" s="1"/>
      <c r="K530" s="1"/>
      <c r="N530" s="1"/>
      <c r="Q530" s="1"/>
      <c r="T530" s="1"/>
      <c r="W530" s="1"/>
      <c r="Y530" s="1"/>
      <c r="AB530" s="3"/>
    </row>
    <row r="531" ht="15.75" customHeight="1">
      <c r="E531" s="1"/>
      <c r="H531" s="1"/>
      <c r="K531" s="1"/>
      <c r="N531" s="1"/>
      <c r="Q531" s="1"/>
      <c r="T531" s="1"/>
      <c r="W531" s="1"/>
      <c r="Y531" s="1"/>
      <c r="AB531" s="3"/>
    </row>
    <row r="532" ht="15.75" customHeight="1">
      <c r="E532" s="1"/>
      <c r="H532" s="1"/>
      <c r="K532" s="1"/>
      <c r="N532" s="1"/>
      <c r="Q532" s="1"/>
      <c r="T532" s="1"/>
      <c r="W532" s="1"/>
      <c r="Y532" s="1"/>
      <c r="AB532" s="3"/>
    </row>
    <row r="533" ht="15.75" customHeight="1">
      <c r="E533" s="1"/>
      <c r="H533" s="1"/>
      <c r="K533" s="1"/>
      <c r="N533" s="1"/>
      <c r="Q533" s="1"/>
      <c r="T533" s="1"/>
      <c r="W533" s="1"/>
      <c r="Y533" s="1"/>
      <c r="AB533" s="3"/>
    </row>
    <row r="534" ht="15.75" customHeight="1">
      <c r="E534" s="1"/>
      <c r="H534" s="1"/>
      <c r="K534" s="1"/>
      <c r="N534" s="1"/>
      <c r="Q534" s="1"/>
      <c r="T534" s="1"/>
      <c r="W534" s="1"/>
      <c r="Y534" s="1"/>
      <c r="AB534" s="3"/>
    </row>
    <row r="535" ht="15.75" customHeight="1">
      <c r="E535" s="1"/>
      <c r="H535" s="1"/>
      <c r="K535" s="1"/>
      <c r="N535" s="1"/>
      <c r="Q535" s="1"/>
      <c r="T535" s="1"/>
      <c r="W535" s="1"/>
      <c r="Y535" s="1"/>
      <c r="AB535" s="3"/>
    </row>
    <row r="536" ht="15.75" customHeight="1">
      <c r="E536" s="1"/>
      <c r="H536" s="1"/>
      <c r="K536" s="1"/>
      <c r="N536" s="1"/>
      <c r="Q536" s="1"/>
      <c r="T536" s="1"/>
      <c r="W536" s="1"/>
      <c r="Y536" s="1"/>
      <c r="AB536" s="3"/>
    </row>
    <row r="537" ht="15.75" customHeight="1">
      <c r="E537" s="1"/>
      <c r="H537" s="1"/>
      <c r="K537" s="1"/>
      <c r="N537" s="1"/>
      <c r="Q537" s="1"/>
      <c r="T537" s="1"/>
      <c r="W537" s="1"/>
      <c r="Y537" s="1"/>
      <c r="AB537" s="3"/>
    </row>
    <row r="538" ht="15.75" customHeight="1">
      <c r="E538" s="1"/>
      <c r="H538" s="1"/>
      <c r="K538" s="1"/>
      <c r="N538" s="1"/>
      <c r="Q538" s="1"/>
      <c r="T538" s="1"/>
      <c r="W538" s="1"/>
      <c r="Y538" s="1"/>
      <c r="AB538" s="3"/>
    </row>
    <row r="539" ht="15.75" customHeight="1">
      <c r="E539" s="1"/>
      <c r="H539" s="1"/>
      <c r="K539" s="1"/>
      <c r="N539" s="1"/>
      <c r="Q539" s="1"/>
      <c r="T539" s="1"/>
      <c r="W539" s="1"/>
      <c r="Y539" s="1"/>
      <c r="AB539" s="3"/>
    </row>
    <row r="540" ht="15.75" customHeight="1">
      <c r="E540" s="1"/>
      <c r="H540" s="1"/>
      <c r="K540" s="1"/>
      <c r="N540" s="1"/>
      <c r="Q540" s="1"/>
      <c r="T540" s="1"/>
      <c r="W540" s="1"/>
      <c r="Y540" s="1"/>
      <c r="AB540" s="3"/>
    </row>
    <row r="541" ht="15.75" customHeight="1">
      <c r="E541" s="1"/>
      <c r="H541" s="1"/>
      <c r="K541" s="1"/>
      <c r="N541" s="1"/>
      <c r="Q541" s="1"/>
      <c r="T541" s="1"/>
      <c r="W541" s="1"/>
      <c r="Y541" s="1"/>
      <c r="AB541" s="3"/>
    </row>
    <row r="542" ht="15.75" customHeight="1">
      <c r="E542" s="1"/>
      <c r="H542" s="1"/>
      <c r="K542" s="1"/>
      <c r="N542" s="1"/>
      <c r="Q542" s="1"/>
      <c r="T542" s="1"/>
      <c r="W542" s="1"/>
      <c r="Y542" s="1"/>
      <c r="AB542" s="3"/>
    </row>
    <row r="543" ht="15.75" customHeight="1">
      <c r="E543" s="1"/>
      <c r="H543" s="1"/>
      <c r="K543" s="1"/>
      <c r="N543" s="1"/>
      <c r="Q543" s="1"/>
      <c r="T543" s="1"/>
      <c r="W543" s="1"/>
      <c r="Y543" s="1"/>
      <c r="AB543" s="3"/>
    </row>
    <row r="544" ht="15.75" customHeight="1">
      <c r="E544" s="1"/>
      <c r="H544" s="1"/>
      <c r="K544" s="1"/>
      <c r="N544" s="1"/>
      <c r="Q544" s="1"/>
      <c r="T544" s="1"/>
      <c r="W544" s="1"/>
      <c r="Y544" s="1"/>
      <c r="AB544" s="3"/>
    </row>
    <row r="545" ht="15.75" customHeight="1">
      <c r="E545" s="1"/>
      <c r="H545" s="1"/>
      <c r="K545" s="1"/>
      <c r="N545" s="1"/>
      <c r="Q545" s="1"/>
      <c r="T545" s="1"/>
      <c r="W545" s="1"/>
      <c r="Y545" s="1"/>
      <c r="AB545" s="3"/>
    </row>
    <row r="546" ht="15.75" customHeight="1">
      <c r="E546" s="1"/>
      <c r="H546" s="1"/>
      <c r="K546" s="1"/>
      <c r="N546" s="1"/>
      <c r="Q546" s="1"/>
      <c r="T546" s="1"/>
      <c r="W546" s="1"/>
      <c r="Y546" s="1"/>
      <c r="AB546" s="3"/>
    </row>
    <row r="547" ht="15.75" customHeight="1">
      <c r="E547" s="1"/>
      <c r="H547" s="1"/>
      <c r="K547" s="1"/>
      <c r="N547" s="1"/>
      <c r="Q547" s="1"/>
      <c r="T547" s="1"/>
      <c r="W547" s="1"/>
      <c r="Y547" s="1"/>
      <c r="AB547" s="3"/>
    </row>
    <row r="548" ht="15.75" customHeight="1">
      <c r="E548" s="1"/>
      <c r="H548" s="1"/>
      <c r="K548" s="1"/>
      <c r="N548" s="1"/>
      <c r="Q548" s="1"/>
      <c r="T548" s="1"/>
      <c r="W548" s="1"/>
      <c r="Y548" s="1"/>
      <c r="AB548" s="3"/>
    </row>
    <row r="549" ht="15.75" customHeight="1">
      <c r="E549" s="1"/>
      <c r="H549" s="1"/>
      <c r="K549" s="1"/>
      <c r="N549" s="1"/>
      <c r="Q549" s="1"/>
      <c r="T549" s="1"/>
      <c r="W549" s="1"/>
      <c r="Y549" s="1"/>
      <c r="AB549" s="3"/>
    </row>
    <row r="550" ht="15.75" customHeight="1">
      <c r="E550" s="1"/>
      <c r="H550" s="1"/>
      <c r="K550" s="1"/>
      <c r="N550" s="1"/>
      <c r="Q550" s="1"/>
      <c r="T550" s="1"/>
      <c r="W550" s="1"/>
      <c r="Y550" s="1"/>
      <c r="AB550" s="3"/>
    </row>
    <row r="551" ht="15.75" customHeight="1">
      <c r="E551" s="1"/>
      <c r="H551" s="1"/>
      <c r="K551" s="1"/>
      <c r="N551" s="1"/>
      <c r="Q551" s="1"/>
      <c r="T551" s="1"/>
      <c r="W551" s="1"/>
      <c r="Y551" s="1"/>
      <c r="AB551" s="3"/>
    </row>
    <row r="552" ht="15.75" customHeight="1">
      <c r="E552" s="1"/>
      <c r="H552" s="1"/>
      <c r="K552" s="1"/>
      <c r="N552" s="1"/>
      <c r="Q552" s="1"/>
      <c r="T552" s="1"/>
      <c r="W552" s="1"/>
      <c r="Y552" s="1"/>
      <c r="AB552" s="3"/>
    </row>
    <row r="553" ht="15.75" customHeight="1">
      <c r="E553" s="1"/>
      <c r="H553" s="1"/>
      <c r="K553" s="1"/>
      <c r="N553" s="1"/>
      <c r="Q553" s="1"/>
      <c r="T553" s="1"/>
      <c r="W553" s="1"/>
      <c r="Y553" s="1"/>
      <c r="AB553" s="3"/>
    </row>
    <row r="554" ht="15.75" customHeight="1">
      <c r="E554" s="1"/>
      <c r="H554" s="1"/>
      <c r="K554" s="1"/>
      <c r="N554" s="1"/>
      <c r="Q554" s="1"/>
      <c r="T554" s="1"/>
      <c r="W554" s="1"/>
      <c r="Y554" s="1"/>
      <c r="AB554" s="3"/>
    </row>
    <row r="555" ht="15.75" customHeight="1">
      <c r="E555" s="1"/>
      <c r="H555" s="1"/>
      <c r="K555" s="1"/>
      <c r="N555" s="1"/>
      <c r="Q555" s="1"/>
      <c r="T555" s="1"/>
      <c r="W555" s="1"/>
      <c r="Y555" s="1"/>
      <c r="AB555" s="3"/>
    </row>
    <row r="556" ht="15.75" customHeight="1">
      <c r="E556" s="1"/>
      <c r="H556" s="1"/>
      <c r="K556" s="1"/>
      <c r="N556" s="1"/>
      <c r="Q556" s="1"/>
      <c r="T556" s="1"/>
      <c r="W556" s="1"/>
      <c r="Y556" s="1"/>
      <c r="AB556" s="3"/>
    </row>
    <row r="557" ht="15.75" customHeight="1">
      <c r="E557" s="1"/>
      <c r="H557" s="1"/>
      <c r="K557" s="1"/>
      <c r="N557" s="1"/>
      <c r="Q557" s="1"/>
      <c r="T557" s="1"/>
      <c r="W557" s="1"/>
      <c r="Y557" s="1"/>
      <c r="AB557" s="3"/>
    </row>
    <row r="558" ht="15.75" customHeight="1">
      <c r="E558" s="1"/>
      <c r="H558" s="1"/>
      <c r="K558" s="1"/>
      <c r="N558" s="1"/>
      <c r="Q558" s="1"/>
      <c r="T558" s="1"/>
      <c r="W558" s="1"/>
      <c r="Y558" s="1"/>
      <c r="AB558" s="3"/>
    </row>
    <row r="559" ht="15.75" customHeight="1">
      <c r="E559" s="1"/>
      <c r="H559" s="1"/>
      <c r="K559" s="1"/>
      <c r="N559" s="1"/>
      <c r="Q559" s="1"/>
      <c r="T559" s="1"/>
      <c r="W559" s="1"/>
      <c r="Y559" s="1"/>
      <c r="AB559" s="3"/>
    </row>
    <row r="560" ht="15.75" customHeight="1">
      <c r="E560" s="1"/>
      <c r="H560" s="1"/>
      <c r="K560" s="1"/>
      <c r="N560" s="1"/>
      <c r="Q560" s="1"/>
      <c r="T560" s="1"/>
      <c r="W560" s="1"/>
      <c r="Y560" s="1"/>
      <c r="AB560" s="3"/>
    </row>
    <row r="561" ht="15.75" customHeight="1">
      <c r="E561" s="1"/>
      <c r="H561" s="1"/>
      <c r="K561" s="1"/>
      <c r="N561" s="1"/>
      <c r="Q561" s="1"/>
      <c r="T561" s="1"/>
      <c r="W561" s="1"/>
      <c r="Y561" s="1"/>
      <c r="AB561" s="3"/>
    </row>
    <row r="562" ht="15.75" customHeight="1">
      <c r="E562" s="1"/>
      <c r="H562" s="1"/>
      <c r="K562" s="1"/>
      <c r="N562" s="1"/>
      <c r="Q562" s="1"/>
      <c r="T562" s="1"/>
      <c r="W562" s="1"/>
      <c r="Y562" s="1"/>
      <c r="AB562" s="3"/>
    </row>
    <row r="563" ht="15.75" customHeight="1">
      <c r="E563" s="1"/>
      <c r="H563" s="1"/>
      <c r="K563" s="1"/>
      <c r="N563" s="1"/>
      <c r="Q563" s="1"/>
      <c r="T563" s="1"/>
      <c r="W563" s="1"/>
      <c r="Y563" s="1"/>
      <c r="AB563" s="3"/>
    </row>
    <row r="564" ht="15.75" customHeight="1">
      <c r="E564" s="1"/>
      <c r="H564" s="1"/>
      <c r="K564" s="1"/>
      <c r="N564" s="1"/>
      <c r="Q564" s="1"/>
      <c r="T564" s="1"/>
      <c r="W564" s="1"/>
      <c r="Y564" s="1"/>
      <c r="AB564" s="3"/>
    </row>
    <row r="565" ht="15.75" customHeight="1">
      <c r="E565" s="1"/>
      <c r="H565" s="1"/>
      <c r="K565" s="1"/>
      <c r="N565" s="1"/>
      <c r="Q565" s="1"/>
      <c r="T565" s="1"/>
      <c r="W565" s="1"/>
      <c r="Y565" s="1"/>
      <c r="AB565" s="3"/>
    </row>
    <row r="566" ht="15.75" customHeight="1">
      <c r="E566" s="1"/>
      <c r="H566" s="1"/>
      <c r="K566" s="1"/>
      <c r="N566" s="1"/>
      <c r="Q566" s="1"/>
      <c r="T566" s="1"/>
      <c r="W566" s="1"/>
      <c r="Y566" s="1"/>
      <c r="AB566" s="3"/>
    </row>
    <row r="567" ht="15.75" customHeight="1">
      <c r="E567" s="1"/>
      <c r="H567" s="1"/>
      <c r="K567" s="1"/>
      <c r="N567" s="1"/>
      <c r="Q567" s="1"/>
      <c r="T567" s="1"/>
      <c r="W567" s="1"/>
      <c r="Y567" s="1"/>
      <c r="AB567" s="3"/>
    </row>
    <row r="568" ht="15.75" customHeight="1">
      <c r="E568" s="1"/>
      <c r="H568" s="1"/>
      <c r="K568" s="1"/>
      <c r="N568" s="1"/>
      <c r="Q568" s="1"/>
      <c r="T568" s="1"/>
      <c r="W568" s="1"/>
      <c r="Y568" s="1"/>
      <c r="AB568" s="3"/>
    </row>
    <row r="569" ht="15.75" customHeight="1">
      <c r="E569" s="1"/>
      <c r="H569" s="1"/>
      <c r="K569" s="1"/>
      <c r="N569" s="1"/>
      <c r="Q569" s="1"/>
      <c r="T569" s="1"/>
      <c r="W569" s="1"/>
      <c r="Y569" s="1"/>
      <c r="AB569" s="3"/>
    </row>
    <row r="570" ht="15.75" customHeight="1">
      <c r="E570" s="1"/>
      <c r="H570" s="1"/>
      <c r="K570" s="1"/>
      <c r="N570" s="1"/>
      <c r="Q570" s="1"/>
      <c r="T570" s="1"/>
      <c r="W570" s="1"/>
      <c r="Y570" s="1"/>
      <c r="AB570" s="3"/>
    </row>
    <row r="571" ht="15.75" customHeight="1">
      <c r="E571" s="1"/>
      <c r="H571" s="1"/>
      <c r="K571" s="1"/>
      <c r="N571" s="1"/>
      <c r="Q571" s="1"/>
      <c r="T571" s="1"/>
      <c r="W571" s="1"/>
      <c r="Y571" s="1"/>
      <c r="AB571" s="3"/>
    </row>
    <row r="572" ht="15.75" customHeight="1">
      <c r="E572" s="1"/>
      <c r="H572" s="1"/>
      <c r="K572" s="1"/>
      <c r="N572" s="1"/>
      <c r="Q572" s="1"/>
      <c r="T572" s="1"/>
      <c r="W572" s="1"/>
      <c r="Y572" s="1"/>
      <c r="AB572" s="3"/>
    </row>
    <row r="573" ht="15.75" customHeight="1">
      <c r="E573" s="1"/>
      <c r="H573" s="1"/>
      <c r="K573" s="1"/>
      <c r="N573" s="1"/>
      <c r="Q573" s="1"/>
      <c r="T573" s="1"/>
      <c r="W573" s="1"/>
      <c r="Y573" s="1"/>
      <c r="AB573" s="3"/>
    </row>
    <row r="574" ht="15.75" customHeight="1">
      <c r="E574" s="1"/>
      <c r="H574" s="1"/>
      <c r="K574" s="1"/>
      <c r="N574" s="1"/>
      <c r="Q574" s="1"/>
      <c r="T574" s="1"/>
      <c r="W574" s="1"/>
      <c r="Y574" s="1"/>
      <c r="AB574" s="3"/>
    </row>
    <row r="575" ht="15.75" customHeight="1">
      <c r="E575" s="1"/>
      <c r="H575" s="1"/>
      <c r="K575" s="1"/>
      <c r="N575" s="1"/>
      <c r="Q575" s="1"/>
      <c r="T575" s="1"/>
      <c r="W575" s="1"/>
      <c r="Y575" s="1"/>
      <c r="AB575" s="3"/>
    </row>
    <row r="576" ht="15.75" customHeight="1">
      <c r="E576" s="1"/>
      <c r="H576" s="1"/>
      <c r="K576" s="1"/>
      <c r="N576" s="1"/>
      <c r="Q576" s="1"/>
      <c r="T576" s="1"/>
      <c r="W576" s="1"/>
      <c r="Y576" s="1"/>
      <c r="AB576" s="3"/>
    </row>
    <row r="577" ht="15.75" customHeight="1">
      <c r="E577" s="1"/>
      <c r="H577" s="1"/>
      <c r="K577" s="1"/>
      <c r="N577" s="1"/>
      <c r="Q577" s="1"/>
      <c r="T577" s="1"/>
      <c r="W577" s="1"/>
      <c r="Y577" s="1"/>
      <c r="AB577" s="3"/>
    </row>
    <row r="578" ht="15.75" customHeight="1">
      <c r="E578" s="1"/>
      <c r="H578" s="1"/>
      <c r="K578" s="1"/>
      <c r="N578" s="1"/>
      <c r="Q578" s="1"/>
      <c r="T578" s="1"/>
      <c r="W578" s="1"/>
      <c r="Y578" s="1"/>
      <c r="AB578" s="3"/>
    </row>
    <row r="579" ht="15.75" customHeight="1">
      <c r="E579" s="1"/>
      <c r="H579" s="1"/>
      <c r="K579" s="1"/>
      <c r="N579" s="1"/>
      <c r="Q579" s="1"/>
      <c r="T579" s="1"/>
      <c r="W579" s="1"/>
      <c r="Y579" s="1"/>
      <c r="AB579" s="3"/>
    </row>
    <row r="580" ht="15.75" customHeight="1">
      <c r="E580" s="1"/>
      <c r="H580" s="1"/>
      <c r="K580" s="1"/>
      <c r="N580" s="1"/>
      <c r="Q580" s="1"/>
      <c r="T580" s="1"/>
      <c r="W580" s="1"/>
      <c r="Y580" s="1"/>
      <c r="AB580" s="3"/>
    </row>
    <row r="581" ht="15.75" customHeight="1">
      <c r="E581" s="1"/>
      <c r="H581" s="1"/>
      <c r="K581" s="1"/>
      <c r="N581" s="1"/>
      <c r="Q581" s="1"/>
      <c r="T581" s="1"/>
      <c r="W581" s="1"/>
      <c r="Y581" s="1"/>
      <c r="AB581" s="3"/>
    </row>
    <row r="582" ht="15.75" customHeight="1">
      <c r="E582" s="1"/>
      <c r="H582" s="1"/>
      <c r="K582" s="1"/>
      <c r="N582" s="1"/>
      <c r="Q582" s="1"/>
      <c r="T582" s="1"/>
      <c r="W582" s="1"/>
      <c r="Y582" s="1"/>
      <c r="AB582" s="3"/>
    </row>
    <row r="583" ht="15.75" customHeight="1">
      <c r="E583" s="1"/>
      <c r="H583" s="1"/>
      <c r="K583" s="1"/>
      <c r="N583" s="1"/>
      <c r="Q583" s="1"/>
      <c r="T583" s="1"/>
      <c r="W583" s="1"/>
      <c r="Y583" s="1"/>
      <c r="AB583" s="3"/>
    </row>
    <row r="584" ht="15.75" customHeight="1">
      <c r="E584" s="1"/>
      <c r="H584" s="1"/>
      <c r="K584" s="1"/>
      <c r="N584" s="1"/>
      <c r="Q584" s="1"/>
      <c r="T584" s="1"/>
      <c r="W584" s="1"/>
      <c r="Y584" s="1"/>
      <c r="AB584" s="3"/>
    </row>
    <row r="585" ht="15.75" customHeight="1">
      <c r="E585" s="1"/>
      <c r="H585" s="1"/>
      <c r="K585" s="1"/>
      <c r="N585" s="1"/>
      <c r="Q585" s="1"/>
      <c r="T585" s="1"/>
      <c r="W585" s="1"/>
      <c r="Y585" s="1"/>
      <c r="AB585" s="3"/>
    </row>
    <row r="586" ht="15.75" customHeight="1">
      <c r="E586" s="1"/>
      <c r="H586" s="1"/>
      <c r="K586" s="1"/>
      <c r="N586" s="1"/>
      <c r="Q586" s="1"/>
      <c r="T586" s="1"/>
      <c r="W586" s="1"/>
      <c r="Y586" s="1"/>
      <c r="AB586" s="3"/>
    </row>
    <row r="587" ht="15.75" customHeight="1">
      <c r="E587" s="1"/>
      <c r="H587" s="1"/>
      <c r="K587" s="1"/>
      <c r="N587" s="1"/>
      <c r="Q587" s="1"/>
      <c r="T587" s="1"/>
      <c r="W587" s="1"/>
      <c r="Y587" s="1"/>
      <c r="AB587" s="3"/>
    </row>
    <row r="588" ht="15.75" customHeight="1">
      <c r="E588" s="1"/>
      <c r="H588" s="1"/>
      <c r="K588" s="1"/>
      <c r="N588" s="1"/>
      <c r="Q588" s="1"/>
      <c r="T588" s="1"/>
      <c r="W588" s="1"/>
      <c r="Y588" s="1"/>
      <c r="AB588" s="3"/>
    </row>
    <row r="589" ht="15.75" customHeight="1">
      <c r="E589" s="1"/>
      <c r="H589" s="1"/>
      <c r="K589" s="1"/>
      <c r="N589" s="1"/>
      <c r="Q589" s="1"/>
      <c r="T589" s="1"/>
      <c r="W589" s="1"/>
      <c r="Y589" s="1"/>
      <c r="AB589" s="3"/>
    </row>
    <row r="590" ht="15.75" customHeight="1">
      <c r="E590" s="1"/>
      <c r="H590" s="1"/>
      <c r="K590" s="1"/>
      <c r="N590" s="1"/>
      <c r="Q590" s="1"/>
      <c r="T590" s="1"/>
      <c r="W590" s="1"/>
      <c r="Y590" s="1"/>
      <c r="AB590" s="3"/>
    </row>
    <row r="591" ht="15.75" customHeight="1">
      <c r="E591" s="1"/>
      <c r="H591" s="1"/>
      <c r="K591" s="1"/>
      <c r="N591" s="1"/>
      <c r="Q591" s="1"/>
      <c r="T591" s="1"/>
      <c r="W591" s="1"/>
      <c r="Y591" s="1"/>
      <c r="AB591" s="3"/>
    </row>
    <row r="592" ht="15.75" customHeight="1">
      <c r="E592" s="1"/>
      <c r="H592" s="1"/>
      <c r="K592" s="1"/>
      <c r="N592" s="1"/>
      <c r="Q592" s="1"/>
      <c r="T592" s="1"/>
      <c r="W592" s="1"/>
      <c r="Y592" s="1"/>
      <c r="AB592" s="3"/>
    </row>
    <row r="593" ht="15.75" customHeight="1">
      <c r="E593" s="1"/>
      <c r="H593" s="1"/>
      <c r="K593" s="1"/>
      <c r="N593" s="1"/>
      <c r="Q593" s="1"/>
      <c r="T593" s="1"/>
      <c r="W593" s="1"/>
      <c r="Y593" s="1"/>
      <c r="AB593" s="3"/>
    </row>
    <row r="594" ht="15.75" customHeight="1">
      <c r="E594" s="1"/>
      <c r="H594" s="1"/>
      <c r="K594" s="1"/>
      <c r="N594" s="1"/>
      <c r="Q594" s="1"/>
      <c r="T594" s="1"/>
      <c r="W594" s="1"/>
      <c r="Y594" s="1"/>
      <c r="AB594" s="3"/>
    </row>
    <row r="595" ht="15.75" customHeight="1">
      <c r="E595" s="1"/>
      <c r="H595" s="1"/>
      <c r="K595" s="1"/>
      <c r="N595" s="1"/>
      <c r="Q595" s="1"/>
      <c r="T595" s="1"/>
      <c r="W595" s="1"/>
      <c r="Y595" s="1"/>
      <c r="AB595" s="3"/>
    </row>
    <row r="596" ht="15.75" customHeight="1">
      <c r="E596" s="1"/>
      <c r="H596" s="1"/>
      <c r="K596" s="1"/>
      <c r="N596" s="1"/>
      <c r="Q596" s="1"/>
      <c r="T596" s="1"/>
      <c r="W596" s="1"/>
      <c r="Y596" s="1"/>
      <c r="AB596" s="3"/>
    </row>
    <row r="597" ht="15.75" customHeight="1">
      <c r="E597" s="1"/>
      <c r="H597" s="1"/>
      <c r="K597" s="1"/>
      <c r="N597" s="1"/>
      <c r="Q597" s="1"/>
      <c r="T597" s="1"/>
      <c r="W597" s="1"/>
      <c r="Y597" s="1"/>
      <c r="AB597" s="3"/>
    </row>
    <row r="598" ht="15.75" customHeight="1">
      <c r="E598" s="1"/>
      <c r="H598" s="1"/>
      <c r="K598" s="1"/>
      <c r="N598" s="1"/>
      <c r="Q598" s="1"/>
      <c r="T598" s="1"/>
      <c r="W598" s="1"/>
      <c r="Y598" s="1"/>
      <c r="AB598" s="3"/>
    </row>
    <row r="599" ht="15.75" customHeight="1">
      <c r="E599" s="1"/>
      <c r="H599" s="1"/>
      <c r="K599" s="1"/>
      <c r="N599" s="1"/>
      <c r="Q599" s="1"/>
      <c r="T599" s="1"/>
      <c r="W599" s="1"/>
      <c r="Y599" s="1"/>
      <c r="AB599" s="3"/>
    </row>
    <row r="600" ht="15.75" customHeight="1">
      <c r="E600" s="1"/>
      <c r="H600" s="1"/>
      <c r="K600" s="1"/>
      <c r="N600" s="1"/>
      <c r="Q600" s="1"/>
      <c r="T600" s="1"/>
      <c r="W600" s="1"/>
      <c r="Y600" s="1"/>
      <c r="AB600" s="3"/>
    </row>
    <row r="601" ht="15.75" customHeight="1">
      <c r="E601" s="1"/>
      <c r="H601" s="1"/>
      <c r="K601" s="1"/>
      <c r="N601" s="1"/>
      <c r="Q601" s="1"/>
      <c r="T601" s="1"/>
      <c r="W601" s="1"/>
      <c r="Y601" s="1"/>
      <c r="AB601" s="3"/>
    </row>
    <row r="602" ht="15.75" customHeight="1">
      <c r="E602" s="1"/>
      <c r="H602" s="1"/>
      <c r="K602" s="1"/>
      <c r="N602" s="1"/>
      <c r="Q602" s="1"/>
      <c r="T602" s="1"/>
      <c r="W602" s="1"/>
      <c r="Y602" s="1"/>
      <c r="AB602" s="3"/>
    </row>
    <row r="603" ht="15.75" customHeight="1">
      <c r="E603" s="1"/>
      <c r="H603" s="1"/>
      <c r="K603" s="1"/>
      <c r="N603" s="1"/>
      <c r="Q603" s="1"/>
      <c r="T603" s="1"/>
      <c r="W603" s="1"/>
      <c r="Y603" s="1"/>
      <c r="AB603" s="3"/>
    </row>
    <row r="604" ht="15.75" customHeight="1">
      <c r="E604" s="1"/>
      <c r="H604" s="1"/>
      <c r="K604" s="1"/>
      <c r="N604" s="1"/>
      <c r="Q604" s="1"/>
      <c r="T604" s="1"/>
      <c r="W604" s="1"/>
      <c r="Y604" s="1"/>
      <c r="AB604" s="3"/>
    </row>
    <row r="605" ht="15.75" customHeight="1">
      <c r="E605" s="1"/>
      <c r="H605" s="1"/>
      <c r="K605" s="1"/>
      <c r="N605" s="1"/>
      <c r="Q605" s="1"/>
      <c r="T605" s="1"/>
      <c r="W605" s="1"/>
      <c r="Y605" s="1"/>
      <c r="AB605" s="3"/>
    </row>
    <row r="606" ht="15.75" customHeight="1">
      <c r="E606" s="1"/>
      <c r="H606" s="1"/>
      <c r="K606" s="1"/>
      <c r="N606" s="1"/>
      <c r="Q606" s="1"/>
      <c r="T606" s="1"/>
      <c r="W606" s="1"/>
      <c r="Y606" s="1"/>
      <c r="AB606" s="3"/>
    </row>
    <row r="607" ht="15.75" customHeight="1">
      <c r="E607" s="1"/>
      <c r="H607" s="1"/>
      <c r="K607" s="1"/>
      <c r="N607" s="1"/>
      <c r="Q607" s="1"/>
      <c r="T607" s="1"/>
      <c r="W607" s="1"/>
      <c r="Y607" s="1"/>
      <c r="AB607" s="3"/>
    </row>
    <row r="608" ht="15.75" customHeight="1">
      <c r="E608" s="1"/>
      <c r="H608" s="1"/>
      <c r="K608" s="1"/>
      <c r="N608" s="1"/>
      <c r="Q608" s="1"/>
      <c r="T608" s="1"/>
      <c r="W608" s="1"/>
      <c r="Y608" s="1"/>
      <c r="AB608" s="3"/>
    </row>
    <row r="609" ht="15.75" customHeight="1">
      <c r="E609" s="1"/>
      <c r="H609" s="1"/>
      <c r="K609" s="1"/>
      <c r="N609" s="1"/>
      <c r="Q609" s="1"/>
      <c r="T609" s="1"/>
      <c r="W609" s="1"/>
      <c r="Y609" s="1"/>
      <c r="AB609" s="3"/>
    </row>
    <row r="610" ht="15.75" customHeight="1">
      <c r="E610" s="1"/>
      <c r="H610" s="1"/>
      <c r="K610" s="1"/>
      <c r="N610" s="1"/>
      <c r="Q610" s="1"/>
      <c r="T610" s="1"/>
      <c r="W610" s="1"/>
      <c r="Y610" s="1"/>
      <c r="AB610" s="3"/>
    </row>
    <row r="611" ht="15.75" customHeight="1">
      <c r="E611" s="1"/>
      <c r="H611" s="1"/>
      <c r="K611" s="1"/>
      <c r="N611" s="1"/>
      <c r="Q611" s="1"/>
      <c r="T611" s="1"/>
      <c r="W611" s="1"/>
      <c r="Y611" s="1"/>
      <c r="AB611" s="3"/>
    </row>
    <row r="612" ht="15.75" customHeight="1">
      <c r="E612" s="1"/>
      <c r="H612" s="1"/>
      <c r="K612" s="1"/>
      <c r="N612" s="1"/>
      <c r="Q612" s="1"/>
      <c r="T612" s="1"/>
      <c r="W612" s="1"/>
      <c r="Y612" s="1"/>
      <c r="AB612" s="3"/>
    </row>
    <row r="613" ht="15.75" customHeight="1">
      <c r="E613" s="1"/>
      <c r="H613" s="1"/>
      <c r="K613" s="1"/>
      <c r="N613" s="1"/>
      <c r="Q613" s="1"/>
      <c r="T613" s="1"/>
      <c r="W613" s="1"/>
      <c r="Y613" s="1"/>
      <c r="AB613" s="3"/>
    </row>
    <row r="614" ht="15.75" customHeight="1">
      <c r="E614" s="1"/>
      <c r="H614" s="1"/>
      <c r="K614" s="1"/>
      <c r="N614" s="1"/>
      <c r="Q614" s="1"/>
      <c r="T614" s="1"/>
      <c r="W614" s="1"/>
      <c r="Y614" s="1"/>
      <c r="AB614" s="3"/>
    </row>
    <row r="615" ht="15.75" customHeight="1">
      <c r="E615" s="1"/>
      <c r="H615" s="1"/>
      <c r="K615" s="1"/>
      <c r="N615" s="1"/>
      <c r="Q615" s="1"/>
      <c r="T615" s="1"/>
      <c r="W615" s="1"/>
      <c r="Y615" s="1"/>
      <c r="AB615" s="3"/>
    </row>
    <row r="616" ht="15.75" customHeight="1">
      <c r="E616" s="1"/>
      <c r="H616" s="1"/>
      <c r="K616" s="1"/>
      <c r="N616" s="1"/>
      <c r="Q616" s="1"/>
      <c r="T616" s="1"/>
      <c r="W616" s="1"/>
      <c r="Y616" s="1"/>
      <c r="AB616" s="3"/>
    </row>
    <row r="617" ht="15.75" customHeight="1">
      <c r="E617" s="1"/>
      <c r="H617" s="1"/>
      <c r="K617" s="1"/>
      <c r="N617" s="1"/>
      <c r="Q617" s="1"/>
      <c r="T617" s="1"/>
      <c r="W617" s="1"/>
      <c r="Y617" s="1"/>
      <c r="AB617" s="3"/>
    </row>
    <row r="618" ht="15.75" customHeight="1">
      <c r="E618" s="1"/>
      <c r="H618" s="1"/>
      <c r="K618" s="1"/>
      <c r="N618" s="1"/>
      <c r="Q618" s="1"/>
      <c r="T618" s="1"/>
      <c r="W618" s="1"/>
      <c r="Y618" s="1"/>
      <c r="AB618" s="3"/>
    </row>
    <row r="619" ht="15.75" customHeight="1">
      <c r="E619" s="1"/>
      <c r="H619" s="1"/>
      <c r="K619" s="1"/>
      <c r="N619" s="1"/>
      <c r="Q619" s="1"/>
      <c r="T619" s="1"/>
      <c r="W619" s="1"/>
      <c r="Y619" s="1"/>
      <c r="AB619" s="3"/>
    </row>
    <row r="620" ht="15.75" customHeight="1">
      <c r="E620" s="1"/>
      <c r="H620" s="1"/>
      <c r="K620" s="1"/>
      <c r="N620" s="1"/>
      <c r="Q620" s="1"/>
      <c r="T620" s="1"/>
      <c r="W620" s="1"/>
      <c r="Y620" s="1"/>
      <c r="AB620" s="3"/>
    </row>
    <row r="621" ht="15.75" customHeight="1">
      <c r="E621" s="1"/>
      <c r="H621" s="1"/>
      <c r="K621" s="1"/>
      <c r="N621" s="1"/>
      <c r="Q621" s="1"/>
      <c r="T621" s="1"/>
      <c r="W621" s="1"/>
      <c r="Y621" s="1"/>
      <c r="AB621" s="3"/>
    </row>
    <row r="622" ht="15.75" customHeight="1">
      <c r="E622" s="1"/>
      <c r="H622" s="1"/>
      <c r="K622" s="1"/>
      <c r="N622" s="1"/>
      <c r="Q622" s="1"/>
      <c r="T622" s="1"/>
      <c r="W622" s="1"/>
      <c r="Y622" s="1"/>
      <c r="AB622" s="3"/>
    </row>
    <row r="623" ht="15.75" customHeight="1">
      <c r="E623" s="1"/>
      <c r="H623" s="1"/>
      <c r="K623" s="1"/>
      <c r="N623" s="1"/>
      <c r="Q623" s="1"/>
      <c r="T623" s="1"/>
      <c r="W623" s="1"/>
      <c r="Y623" s="1"/>
      <c r="AB623" s="3"/>
    </row>
    <row r="624" ht="15.75" customHeight="1">
      <c r="E624" s="1"/>
      <c r="H624" s="1"/>
      <c r="K624" s="1"/>
      <c r="N624" s="1"/>
      <c r="Q624" s="1"/>
      <c r="T624" s="1"/>
      <c r="W624" s="1"/>
      <c r="Y624" s="1"/>
      <c r="AB624" s="3"/>
    </row>
    <row r="625" ht="15.75" customHeight="1">
      <c r="E625" s="1"/>
      <c r="H625" s="1"/>
      <c r="K625" s="1"/>
      <c r="N625" s="1"/>
      <c r="Q625" s="1"/>
      <c r="T625" s="1"/>
      <c r="W625" s="1"/>
      <c r="Y625" s="1"/>
      <c r="AB625" s="3"/>
    </row>
    <row r="626" ht="15.75" customHeight="1">
      <c r="E626" s="1"/>
      <c r="H626" s="1"/>
      <c r="K626" s="1"/>
      <c r="N626" s="1"/>
      <c r="Q626" s="1"/>
      <c r="T626" s="1"/>
      <c r="W626" s="1"/>
      <c r="Y626" s="1"/>
      <c r="AB626" s="3"/>
    </row>
    <row r="627" ht="15.75" customHeight="1">
      <c r="E627" s="1"/>
      <c r="H627" s="1"/>
      <c r="K627" s="1"/>
      <c r="N627" s="1"/>
      <c r="Q627" s="1"/>
      <c r="T627" s="1"/>
      <c r="W627" s="1"/>
      <c r="Y627" s="1"/>
      <c r="AB627" s="3"/>
    </row>
    <row r="628" ht="15.75" customHeight="1">
      <c r="E628" s="1"/>
      <c r="H628" s="1"/>
      <c r="K628" s="1"/>
      <c r="N628" s="1"/>
      <c r="Q628" s="1"/>
      <c r="T628" s="1"/>
      <c r="W628" s="1"/>
      <c r="Y628" s="1"/>
      <c r="AB628" s="3"/>
    </row>
    <row r="629" ht="15.75" customHeight="1">
      <c r="E629" s="1"/>
      <c r="H629" s="1"/>
      <c r="K629" s="1"/>
      <c r="N629" s="1"/>
      <c r="Q629" s="1"/>
      <c r="T629" s="1"/>
      <c r="W629" s="1"/>
      <c r="Y629" s="1"/>
      <c r="AB629" s="3"/>
    </row>
    <row r="630" ht="15.75" customHeight="1">
      <c r="E630" s="1"/>
      <c r="H630" s="1"/>
      <c r="K630" s="1"/>
      <c r="N630" s="1"/>
      <c r="Q630" s="1"/>
      <c r="T630" s="1"/>
      <c r="W630" s="1"/>
      <c r="Y630" s="1"/>
      <c r="AB630" s="3"/>
    </row>
    <row r="631" ht="15.75" customHeight="1">
      <c r="E631" s="1"/>
      <c r="H631" s="1"/>
      <c r="K631" s="1"/>
      <c r="N631" s="1"/>
      <c r="Q631" s="1"/>
      <c r="T631" s="1"/>
      <c r="W631" s="1"/>
      <c r="Y631" s="1"/>
      <c r="AB631" s="3"/>
    </row>
    <row r="632" ht="15.75" customHeight="1">
      <c r="E632" s="1"/>
      <c r="H632" s="1"/>
      <c r="K632" s="1"/>
      <c r="N632" s="1"/>
      <c r="Q632" s="1"/>
      <c r="T632" s="1"/>
      <c r="W632" s="1"/>
      <c r="Y632" s="1"/>
      <c r="AB632" s="3"/>
    </row>
    <row r="633" ht="15.75" customHeight="1">
      <c r="E633" s="1"/>
      <c r="H633" s="1"/>
      <c r="K633" s="1"/>
      <c r="N633" s="1"/>
      <c r="Q633" s="1"/>
      <c r="T633" s="1"/>
      <c r="W633" s="1"/>
      <c r="Y633" s="1"/>
      <c r="AB633" s="3"/>
    </row>
    <row r="634" ht="15.75" customHeight="1">
      <c r="E634" s="1"/>
      <c r="H634" s="1"/>
      <c r="K634" s="1"/>
      <c r="N634" s="1"/>
      <c r="Q634" s="1"/>
      <c r="T634" s="1"/>
      <c r="W634" s="1"/>
      <c r="Y634" s="1"/>
      <c r="AB634" s="3"/>
    </row>
    <row r="635" ht="15.75" customHeight="1">
      <c r="E635" s="1"/>
      <c r="H635" s="1"/>
      <c r="K635" s="1"/>
      <c r="N635" s="1"/>
      <c r="Q635" s="1"/>
      <c r="T635" s="1"/>
      <c r="W635" s="1"/>
      <c r="Y635" s="1"/>
      <c r="AB635" s="3"/>
    </row>
    <row r="636" ht="15.75" customHeight="1">
      <c r="E636" s="1"/>
      <c r="H636" s="1"/>
      <c r="K636" s="1"/>
      <c r="N636" s="1"/>
      <c r="Q636" s="1"/>
      <c r="T636" s="1"/>
      <c r="W636" s="1"/>
      <c r="Y636" s="1"/>
      <c r="AB636" s="3"/>
    </row>
    <row r="637" ht="15.75" customHeight="1">
      <c r="E637" s="1"/>
      <c r="H637" s="1"/>
      <c r="K637" s="1"/>
      <c r="N637" s="1"/>
      <c r="Q637" s="1"/>
      <c r="T637" s="1"/>
      <c r="W637" s="1"/>
      <c r="Y637" s="1"/>
      <c r="AB637" s="3"/>
    </row>
    <row r="638" ht="15.75" customHeight="1">
      <c r="E638" s="1"/>
      <c r="H638" s="1"/>
      <c r="K638" s="1"/>
      <c r="N638" s="1"/>
      <c r="Q638" s="1"/>
      <c r="T638" s="1"/>
      <c r="W638" s="1"/>
      <c r="Y638" s="1"/>
      <c r="AB638" s="3"/>
    </row>
    <row r="639" ht="15.75" customHeight="1">
      <c r="E639" s="1"/>
      <c r="H639" s="1"/>
      <c r="K639" s="1"/>
      <c r="N639" s="1"/>
      <c r="Q639" s="1"/>
      <c r="T639" s="1"/>
      <c r="W639" s="1"/>
      <c r="Y639" s="1"/>
      <c r="AB639" s="3"/>
    </row>
    <row r="640" ht="15.75" customHeight="1">
      <c r="E640" s="1"/>
      <c r="H640" s="1"/>
      <c r="K640" s="1"/>
      <c r="N640" s="1"/>
      <c r="Q640" s="1"/>
      <c r="T640" s="1"/>
      <c r="W640" s="1"/>
      <c r="Y640" s="1"/>
      <c r="AB640" s="3"/>
    </row>
    <row r="641" ht="15.75" customHeight="1">
      <c r="E641" s="1"/>
      <c r="H641" s="1"/>
      <c r="K641" s="1"/>
      <c r="N641" s="1"/>
      <c r="Q641" s="1"/>
      <c r="T641" s="1"/>
      <c r="W641" s="1"/>
      <c r="Y641" s="1"/>
      <c r="AB641" s="3"/>
    </row>
    <row r="642" ht="15.75" customHeight="1">
      <c r="E642" s="1"/>
      <c r="H642" s="1"/>
      <c r="K642" s="1"/>
      <c r="N642" s="1"/>
      <c r="Q642" s="1"/>
      <c r="T642" s="1"/>
      <c r="W642" s="1"/>
      <c r="Y642" s="1"/>
      <c r="AB642" s="3"/>
    </row>
    <row r="643" ht="15.75" customHeight="1">
      <c r="E643" s="1"/>
      <c r="H643" s="1"/>
      <c r="K643" s="1"/>
      <c r="N643" s="1"/>
      <c r="Q643" s="1"/>
      <c r="T643" s="1"/>
      <c r="W643" s="1"/>
      <c r="Y643" s="1"/>
      <c r="AB643" s="3"/>
    </row>
    <row r="644" ht="15.75" customHeight="1">
      <c r="E644" s="1"/>
      <c r="H644" s="1"/>
      <c r="K644" s="1"/>
      <c r="N644" s="1"/>
      <c r="Q644" s="1"/>
      <c r="T644" s="1"/>
      <c r="W644" s="1"/>
      <c r="Y644" s="1"/>
      <c r="AB644" s="3"/>
    </row>
    <row r="645" ht="15.75" customHeight="1">
      <c r="E645" s="1"/>
      <c r="H645" s="1"/>
      <c r="K645" s="1"/>
      <c r="N645" s="1"/>
      <c r="Q645" s="1"/>
      <c r="T645" s="1"/>
      <c r="W645" s="1"/>
      <c r="Y645" s="1"/>
      <c r="AB645" s="3"/>
    </row>
    <row r="646" ht="15.75" customHeight="1">
      <c r="E646" s="1"/>
      <c r="H646" s="1"/>
      <c r="K646" s="1"/>
      <c r="N646" s="1"/>
      <c r="Q646" s="1"/>
      <c r="T646" s="1"/>
      <c r="W646" s="1"/>
      <c r="Y646" s="1"/>
      <c r="AB646" s="3"/>
    </row>
    <row r="647" ht="15.75" customHeight="1">
      <c r="E647" s="1"/>
      <c r="H647" s="1"/>
      <c r="K647" s="1"/>
      <c r="N647" s="1"/>
      <c r="Q647" s="1"/>
      <c r="T647" s="1"/>
      <c r="W647" s="1"/>
      <c r="Y647" s="1"/>
      <c r="AB647" s="3"/>
    </row>
    <row r="648" ht="15.75" customHeight="1">
      <c r="E648" s="1"/>
      <c r="H648" s="1"/>
      <c r="K648" s="1"/>
      <c r="N648" s="1"/>
      <c r="Q648" s="1"/>
      <c r="T648" s="1"/>
      <c r="W648" s="1"/>
      <c r="Y648" s="1"/>
      <c r="AB648" s="3"/>
    </row>
    <row r="649" ht="15.75" customHeight="1">
      <c r="E649" s="1"/>
      <c r="H649" s="1"/>
      <c r="K649" s="1"/>
      <c r="N649" s="1"/>
      <c r="Q649" s="1"/>
      <c r="T649" s="1"/>
      <c r="W649" s="1"/>
      <c r="Y649" s="1"/>
      <c r="AB649" s="3"/>
    </row>
    <row r="650" ht="15.75" customHeight="1">
      <c r="E650" s="1"/>
      <c r="H650" s="1"/>
      <c r="K650" s="1"/>
      <c r="N650" s="1"/>
      <c r="Q650" s="1"/>
      <c r="T650" s="1"/>
      <c r="W650" s="1"/>
      <c r="Y650" s="1"/>
      <c r="AB650" s="3"/>
    </row>
    <row r="651" ht="15.75" customHeight="1">
      <c r="E651" s="1"/>
      <c r="H651" s="1"/>
      <c r="K651" s="1"/>
      <c r="N651" s="1"/>
      <c r="Q651" s="1"/>
      <c r="T651" s="1"/>
      <c r="W651" s="1"/>
      <c r="Y651" s="1"/>
      <c r="AB651" s="3"/>
    </row>
    <row r="652" ht="15.75" customHeight="1">
      <c r="E652" s="1"/>
      <c r="H652" s="1"/>
      <c r="K652" s="1"/>
      <c r="N652" s="1"/>
      <c r="Q652" s="1"/>
      <c r="T652" s="1"/>
      <c r="W652" s="1"/>
      <c r="Y652" s="1"/>
      <c r="AB652" s="3"/>
    </row>
    <row r="653" ht="15.75" customHeight="1">
      <c r="E653" s="1"/>
      <c r="H653" s="1"/>
      <c r="K653" s="1"/>
      <c r="N653" s="1"/>
      <c r="Q653" s="1"/>
      <c r="T653" s="1"/>
      <c r="W653" s="1"/>
      <c r="Y653" s="1"/>
      <c r="AB653" s="3"/>
    </row>
    <row r="654" ht="15.75" customHeight="1">
      <c r="E654" s="1"/>
      <c r="H654" s="1"/>
      <c r="K654" s="1"/>
      <c r="N654" s="1"/>
      <c r="Q654" s="1"/>
      <c r="T654" s="1"/>
      <c r="W654" s="1"/>
      <c r="Y654" s="1"/>
      <c r="AB654" s="3"/>
    </row>
    <row r="655" ht="15.75" customHeight="1">
      <c r="E655" s="1"/>
      <c r="H655" s="1"/>
      <c r="K655" s="1"/>
      <c r="N655" s="1"/>
      <c r="Q655" s="1"/>
      <c r="T655" s="1"/>
      <c r="W655" s="1"/>
      <c r="Y655" s="1"/>
      <c r="AB655" s="3"/>
    </row>
    <row r="656" ht="15.75" customHeight="1">
      <c r="E656" s="1"/>
      <c r="H656" s="1"/>
      <c r="K656" s="1"/>
      <c r="N656" s="1"/>
      <c r="Q656" s="1"/>
      <c r="T656" s="1"/>
      <c r="W656" s="1"/>
      <c r="Y656" s="1"/>
      <c r="AB656" s="3"/>
    </row>
    <row r="657" ht="15.75" customHeight="1">
      <c r="E657" s="1"/>
      <c r="H657" s="1"/>
      <c r="K657" s="1"/>
      <c r="N657" s="1"/>
      <c r="Q657" s="1"/>
      <c r="T657" s="1"/>
      <c r="W657" s="1"/>
      <c r="Y657" s="1"/>
      <c r="AB657" s="3"/>
    </row>
    <row r="658" ht="15.75" customHeight="1">
      <c r="E658" s="1"/>
      <c r="H658" s="1"/>
      <c r="K658" s="1"/>
      <c r="N658" s="1"/>
      <c r="Q658" s="1"/>
      <c r="T658" s="1"/>
      <c r="W658" s="1"/>
      <c r="Y658" s="1"/>
      <c r="AB658" s="3"/>
    </row>
    <row r="659" ht="15.75" customHeight="1">
      <c r="E659" s="1"/>
      <c r="H659" s="1"/>
      <c r="K659" s="1"/>
      <c r="N659" s="1"/>
      <c r="Q659" s="1"/>
      <c r="T659" s="1"/>
      <c r="W659" s="1"/>
      <c r="Y659" s="1"/>
      <c r="AB659" s="3"/>
    </row>
    <row r="660" ht="15.75" customHeight="1">
      <c r="E660" s="1"/>
      <c r="H660" s="1"/>
      <c r="K660" s="1"/>
      <c r="N660" s="1"/>
      <c r="Q660" s="1"/>
      <c r="T660" s="1"/>
      <c r="W660" s="1"/>
      <c r="Y660" s="1"/>
      <c r="AB660" s="3"/>
    </row>
    <row r="661" ht="15.75" customHeight="1">
      <c r="E661" s="1"/>
      <c r="H661" s="1"/>
      <c r="K661" s="1"/>
      <c r="N661" s="1"/>
      <c r="Q661" s="1"/>
      <c r="T661" s="1"/>
      <c r="W661" s="1"/>
      <c r="Y661" s="1"/>
      <c r="AB661" s="3"/>
    </row>
    <row r="662" ht="15.75" customHeight="1">
      <c r="E662" s="1"/>
      <c r="H662" s="1"/>
      <c r="K662" s="1"/>
      <c r="N662" s="1"/>
      <c r="Q662" s="1"/>
      <c r="T662" s="1"/>
      <c r="W662" s="1"/>
      <c r="Y662" s="1"/>
      <c r="AB662" s="3"/>
    </row>
    <row r="663" ht="15.75" customHeight="1">
      <c r="E663" s="1"/>
      <c r="H663" s="1"/>
      <c r="K663" s="1"/>
      <c r="N663" s="1"/>
      <c r="Q663" s="1"/>
      <c r="T663" s="1"/>
      <c r="W663" s="1"/>
      <c r="Y663" s="1"/>
      <c r="AB663" s="3"/>
    </row>
    <row r="664" ht="15.75" customHeight="1">
      <c r="E664" s="1"/>
      <c r="H664" s="1"/>
      <c r="K664" s="1"/>
      <c r="N664" s="1"/>
      <c r="Q664" s="1"/>
      <c r="T664" s="1"/>
      <c r="W664" s="1"/>
      <c r="Y664" s="1"/>
      <c r="AB664" s="3"/>
    </row>
    <row r="665" ht="15.75" customHeight="1">
      <c r="E665" s="1"/>
      <c r="H665" s="1"/>
      <c r="K665" s="1"/>
      <c r="N665" s="1"/>
      <c r="Q665" s="1"/>
      <c r="T665" s="1"/>
      <c r="W665" s="1"/>
      <c r="Y665" s="1"/>
      <c r="AB665" s="3"/>
    </row>
    <row r="666" ht="15.75" customHeight="1">
      <c r="E666" s="1"/>
      <c r="H666" s="1"/>
      <c r="K666" s="1"/>
      <c r="N666" s="1"/>
      <c r="Q666" s="1"/>
      <c r="T666" s="1"/>
      <c r="W666" s="1"/>
      <c r="Y666" s="1"/>
      <c r="AB666" s="3"/>
    </row>
    <row r="667" ht="15.75" customHeight="1">
      <c r="E667" s="1"/>
      <c r="H667" s="1"/>
      <c r="K667" s="1"/>
      <c r="N667" s="1"/>
      <c r="Q667" s="1"/>
      <c r="T667" s="1"/>
      <c r="W667" s="1"/>
      <c r="Y667" s="1"/>
      <c r="AB667" s="3"/>
    </row>
    <row r="668" ht="15.75" customHeight="1">
      <c r="E668" s="1"/>
      <c r="H668" s="1"/>
      <c r="K668" s="1"/>
      <c r="N668" s="1"/>
      <c r="Q668" s="1"/>
      <c r="T668" s="1"/>
      <c r="W668" s="1"/>
      <c r="Y668" s="1"/>
      <c r="AB668" s="3"/>
    </row>
    <row r="669" ht="15.75" customHeight="1">
      <c r="E669" s="1"/>
      <c r="H669" s="1"/>
      <c r="K669" s="1"/>
      <c r="N669" s="1"/>
      <c r="Q669" s="1"/>
      <c r="T669" s="1"/>
      <c r="W669" s="1"/>
      <c r="Y669" s="1"/>
      <c r="AB669" s="3"/>
    </row>
    <row r="670" ht="15.75" customHeight="1">
      <c r="E670" s="1"/>
      <c r="H670" s="1"/>
      <c r="K670" s="1"/>
      <c r="N670" s="1"/>
      <c r="Q670" s="1"/>
      <c r="T670" s="1"/>
      <c r="W670" s="1"/>
      <c r="Y670" s="1"/>
      <c r="AB670" s="3"/>
    </row>
    <row r="671" ht="15.75" customHeight="1">
      <c r="E671" s="1"/>
      <c r="H671" s="1"/>
      <c r="K671" s="1"/>
      <c r="N671" s="1"/>
      <c r="Q671" s="1"/>
      <c r="T671" s="1"/>
      <c r="W671" s="1"/>
      <c r="Y671" s="1"/>
      <c r="AB671" s="3"/>
    </row>
    <row r="672" ht="15.75" customHeight="1">
      <c r="E672" s="1"/>
      <c r="H672" s="1"/>
      <c r="K672" s="1"/>
      <c r="N672" s="1"/>
      <c r="Q672" s="1"/>
      <c r="T672" s="1"/>
      <c r="W672" s="1"/>
      <c r="Y672" s="1"/>
      <c r="AB672" s="3"/>
    </row>
    <row r="673" ht="15.75" customHeight="1">
      <c r="E673" s="1"/>
      <c r="H673" s="1"/>
      <c r="K673" s="1"/>
      <c r="N673" s="1"/>
      <c r="Q673" s="1"/>
      <c r="T673" s="1"/>
      <c r="W673" s="1"/>
      <c r="Y673" s="1"/>
      <c r="AB673" s="3"/>
    </row>
    <row r="674" ht="15.75" customHeight="1">
      <c r="E674" s="1"/>
      <c r="H674" s="1"/>
      <c r="K674" s="1"/>
      <c r="N674" s="1"/>
      <c r="Q674" s="1"/>
      <c r="T674" s="1"/>
      <c r="W674" s="1"/>
      <c r="Y674" s="1"/>
      <c r="AB674" s="3"/>
    </row>
    <row r="675" ht="15.75" customHeight="1">
      <c r="E675" s="1"/>
      <c r="H675" s="1"/>
      <c r="K675" s="1"/>
      <c r="N675" s="1"/>
      <c r="Q675" s="1"/>
      <c r="T675" s="1"/>
      <c r="W675" s="1"/>
      <c r="Y675" s="1"/>
      <c r="AB675" s="3"/>
    </row>
    <row r="676" ht="15.75" customHeight="1">
      <c r="E676" s="1"/>
      <c r="H676" s="1"/>
      <c r="K676" s="1"/>
      <c r="N676" s="1"/>
      <c r="Q676" s="1"/>
      <c r="T676" s="1"/>
      <c r="W676" s="1"/>
      <c r="Y676" s="1"/>
      <c r="AB676" s="3"/>
    </row>
    <row r="677" ht="15.75" customHeight="1">
      <c r="E677" s="1"/>
      <c r="H677" s="1"/>
      <c r="K677" s="1"/>
      <c r="N677" s="1"/>
      <c r="Q677" s="1"/>
      <c r="T677" s="1"/>
      <c r="W677" s="1"/>
      <c r="Y677" s="1"/>
      <c r="AB677" s="3"/>
    </row>
    <row r="678" ht="15.75" customHeight="1">
      <c r="E678" s="1"/>
      <c r="H678" s="1"/>
      <c r="K678" s="1"/>
      <c r="N678" s="1"/>
      <c r="Q678" s="1"/>
      <c r="T678" s="1"/>
      <c r="W678" s="1"/>
      <c r="Y678" s="1"/>
      <c r="AB678" s="3"/>
    </row>
    <row r="679" ht="15.75" customHeight="1">
      <c r="E679" s="1"/>
      <c r="H679" s="1"/>
      <c r="K679" s="1"/>
      <c r="N679" s="1"/>
      <c r="Q679" s="1"/>
      <c r="T679" s="1"/>
      <c r="W679" s="1"/>
      <c r="Y679" s="1"/>
      <c r="AB679" s="3"/>
    </row>
    <row r="680" ht="15.75" customHeight="1">
      <c r="E680" s="1"/>
      <c r="H680" s="1"/>
      <c r="K680" s="1"/>
      <c r="N680" s="1"/>
      <c r="Q680" s="1"/>
      <c r="T680" s="1"/>
      <c r="W680" s="1"/>
      <c r="Y680" s="1"/>
      <c r="AB680" s="3"/>
    </row>
    <row r="681" ht="15.75" customHeight="1">
      <c r="E681" s="1"/>
      <c r="H681" s="1"/>
      <c r="K681" s="1"/>
      <c r="N681" s="1"/>
      <c r="Q681" s="1"/>
      <c r="T681" s="1"/>
      <c r="W681" s="1"/>
      <c r="Y681" s="1"/>
      <c r="AB681" s="3"/>
    </row>
    <row r="682" ht="15.75" customHeight="1">
      <c r="E682" s="1"/>
      <c r="H682" s="1"/>
      <c r="K682" s="1"/>
      <c r="N682" s="1"/>
      <c r="Q682" s="1"/>
      <c r="T682" s="1"/>
      <c r="W682" s="1"/>
      <c r="Y682" s="1"/>
      <c r="AB682" s="3"/>
    </row>
    <row r="683" ht="15.75" customHeight="1">
      <c r="E683" s="1"/>
      <c r="H683" s="1"/>
      <c r="K683" s="1"/>
      <c r="N683" s="1"/>
      <c r="Q683" s="1"/>
      <c r="T683" s="1"/>
      <c r="W683" s="1"/>
      <c r="Y683" s="1"/>
      <c r="AB683" s="3"/>
    </row>
    <row r="684" ht="15.75" customHeight="1">
      <c r="E684" s="1"/>
      <c r="H684" s="1"/>
      <c r="K684" s="1"/>
      <c r="N684" s="1"/>
      <c r="Q684" s="1"/>
      <c r="T684" s="1"/>
      <c r="W684" s="1"/>
      <c r="Y684" s="1"/>
      <c r="AB684" s="3"/>
    </row>
    <row r="685" ht="15.75" customHeight="1">
      <c r="E685" s="1"/>
      <c r="H685" s="1"/>
      <c r="K685" s="1"/>
      <c r="N685" s="1"/>
      <c r="Q685" s="1"/>
      <c r="T685" s="1"/>
      <c r="W685" s="1"/>
      <c r="Y685" s="1"/>
      <c r="AB685" s="3"/>
    </row>
    <row r="686" ht="15.75" customHeight="1">
      <c r="E686" s="1"/>
      <c r="H686" s="1"/>
      <c r="K686" s="1"/>
      <c r="N686" s="1"/>
      <c r="Q686" s="1"/>
      <c r="T686" s="1"/>
      <c r="W686" s="1"/>
      <c r="Y686" s="1"/>
      <c r="AB686" s="3"/>
    </row>
    <row r="687" ht="15.75" customHeight="1">
      <c r="E687" s="1"/>
      <c r="H687" s="1"/>
      <c r="K687" s="1"/>
      <c r="N687" s="1"/>
      <c r="Q687" s="1"/>
      <c r="T687" s="1"/>
      <c r="W687" s="1"/>
      <c r="Y687" s="1"/>
      <c r="AB687" s="3"/>
    </row>
    <row r="688" ht="15.75" customHeight="1">
      <c r="E688" s="1"/>
      <c r="H688" s="1"/>
      <c r="K688" s="1"/>
      <c r="N688" s="1"/>
      <c r="Q688" s="1"/>
      <c r="T688" s="1"/>
      <c r="W688" s="1"/>
      <c r="Y688" s="1"/>
      <c r="AB688" s="3"/>
    </row>
    <row r="689" ht="15.75" customHeight="1">
      <c r="E689" s="1"/>
      <c r="H689" s="1"/>
      <c r="K689" s="1"/>
      <c r="N689" s="1"/>
      <c r="Q689" s="1"/>
      <c r="T689" s="1"/>
      <c r="W689" s="1"/>
      <c r="Y689" s="1"/>
      <c r="AB689" s="3"/>
    </row>
    <row r="690" ht="15.75" customHeight="1">
      <c r="E690" s="1"/>
      <c r="H690" s="1"/>
      <c r="K690" s="1"/>
      <c r="N690" s="1"/>
      <c r="Q690" s="1"/>
      <c r="T690" s="1"/>
      <c r="W690" s="1"/>
      <c r="Y690" s="1"/>
      <c r="AB690" s="3"/>
    </row>
    <row r="691" ht="15.75" customHeight="1">
      <c r="E691" s="1"/>
      <c r="H691" s="1"/>
      <c r="K691" s="1"/>
      <c r="N691" s="1"/>
      <c r="Q691" s="1"/>
      <c r="T691" s="1"/>
      <c r="W691" s="1"/>
      <c r="Y691" s="1"/>
      <c r="AB691" s="3"/>
    </row>
    <row r="692" ht="15.75" customHeight="1">
      <c r="E692" s="1"/>
      <c r="H692" s="1"/>
      <c r="K692" s="1"/>
      <c r="N692" s="1"/>
      <c r="Q692" s="1"/>
      <c r="T692" s="1"/>
      <c r="W692" s="1"/>
      <c r="Y692" s="1"/>
      <c r="AB692" s="3"/>
    </row>
    <row r="693" ht="15.75" customHeight="1">
      <c r="E693" s="1"/>
      <c r="H693" s="1"/>
      <c r="K693" s="1"/>
      <c r="N693" s="1"/>
      <c r="Q693" s="1"/>
      <c r="T693" s="1"/>
      <c r="W693" s="1"/>
      <c r="Y693" s="1"/>
      <c r="AB693" s="3"/>
    </row>
    <row r="694" ht="15.75" customHeight="1">
      <c r="E694" s="1"/>
      <c r="H694" s="1"/>
      <c r="K694" s="1"/>
      <c r="N694" s="1"/>
      <c r="Q694" s="1"/>
      <c r="T694" s="1"/>
      <c r="W694" s="1"/>
      <c r="Y694" s="1"/>
      <c r="AB694" s="3"/>
    </row>
    <row r="695" ht="15.75" customHeight="1">
      <c r="E695" s="1"/>
      <c r="H695" s="1"/>
      <c r="K695" s="1"/>
      <c r="N695" s="1"/>
      <c r="Q695" s="1"/>
      <c r="T695" s="1"/>
      <c r="W695" s="1"/>
      <c r="Y695" s="1"/>
      <c r="AB695" s="3"/>
    </row>
    <row r="696" ht="15.75" customHeight="1">
      <c r="E696" s="1"/>
      <c r="H696" s="1"/>
      <c r="K696" s="1"/>
      <c r="N696" s="1"/>
      <c r="Q696" s="1"/>
      <c r="T696" s="1"/>
      <c r="W696" s="1"/>
      <c r="Y696" s="1"/>
      <c r="AB696" s="3"/>
    </row>
    <row r="697" ht="15.75" customHeight="1">
      <c r="E697" s="1"/>
      <c r="H697" s="1"/>
      <c r="K697" s="1"/>
      <c r="N697" s="1"/>
      <c r="Q697" s="1"/>
      <c r="T697" s="1"/>
      <c r="W697" s="1"/>
      <c r="Y697" s="1"/>
      <c r="AB697" s="3"/>
    </row>
    <row r="698" ht="15.75" customHeight="1">
      <c r="E698" s="1"/>
      <c r="H698" s="1"/>
      <c r="K698" s="1"/>
      <c r="N698" s="1"/>
      <c r="Q698" s="1"/>
      <c r="T698" s="1"/>
      <c r="W698" s="1"/>
      <c r="Y698" s="1"/>
      <c r="AB698" s="3"/>
    </row>
    <row r="699" ht="15.75" customHeight="1">
      <c r="E699" s="1"/>
      <c r="H699" s="1"/>
      <c r="K699" s="1"/>
      <c r="N699" s="1"/>
      <c r="Q699" s="1"/>
      <c r="T699" s="1"/>
      <c r="W699" s="1"/>
      <c r="Y699" s="1"/>
      <c r="AB699" s="3"/>
    </row>
    <row r="700" ht="15.75" customHeight="1">
      <c r="E700" s="1"/>
      <c r="H700" s="1"/>
      <c r="K700" s="1"/>
      <c r="N700" s="1"/>
      <c r="Q700" s="1"/>
      <c r="T700" s="1"/>
      <c r="W700" s="1"/>
      <c r="Y700" s="1"/>
      <c r="AB700" s="3"/>
    </row>
    <row r="701" ht="15.75" customHeight="1">
      <c r="E701" s="1"/>
      <c r="H701" s="1"/>
      <c r="K701" s="1"/>
      <c r="N701" s="1"/>
      <c r="Q701" s="1"/>
      <c r="T701" s="1"/>
      <c r="W701" s="1"/>
      <c r="Y701" s="1"/>
      <c r="AB701" s="3"/>
    </row>
    <row r="702" ht="15.75" customHeight="1">
      <c r="E702" s="1"/>
      <c r="H702" s="1"/>
      <c r="K702" s="1"/>
      <c r="N702" s="1"/>
      <c r="Q702" s="1"/>
      <c r="T702" s="1"/>
      <c r="W702" s="1"/>
      <c r="Y702" s="1"/>
      <c r="AB702" s="3"/>
    </row>
    <row r="703" ht="15.75" customHeight="1">
      <c r="E703" s="1"/>
      <c r="H703" s="1"/>
      <c r="K703" s="1"/>
      <c r="N703" s="1"/>
      <c r="Q703" s="1"/>
      <c r="T703" s="1"/>
      <c r="W703" s="1"/>
      <c r="Y703" s="1"/>
      <c r="AB703" s="3"/>
    </row>
    <row r="704" ht="15.75" customHeight="1">
      <c r="E704" s="1"/>
      <c r="H704" s="1"/>
      <c r="K704" s="1"/>
      <c r="N704" s="1"/>
      <c r="Q704" s="1"/>
      <c r="T704" s="1"/>
      <c r="W704" s="1"/>
      <c r="Y704" s="1"/>
      <c r="AB704" s="3"/>
    </row>
    <row r="705" ht="15.75" customHeight="1">
      <c r="E705" s="1"/>
      <c r="H705" s="1"/>
      <c r="K705" s="1"/>
      <c r="N705" s="1"/>
      <c r="Q705" s="1"/>
      <c r="T705" s="1"/>
      <c r="W705" s="1"/>
      <c r="Y705" s="1"/>
      <c r="AB705" s="3"/>
    </row>
    <row r="706" ht="15.75" customHeight="1">
      <c r="E706" s="1"/>
      <c r="H706" s="1"/>
      <c r="K706" s="1"/>
      <c r="N706" s="1"/>
      <c r="Q706" s="1"/>
      <c r="T706" s="1"/>
      <c r="W706" s="1"/>
      <c r="Y706" s="1"/>
      <c r="AB706" s="3"/>
    </row>
    <row r="707" ht="15.75" customHeight="1">
      <c r="E707" s="1"/>
      <c r="H707" s="1"/>
      <c r="K707" s="1"/>
      <c r="N707" s="1"/>
      <c r="Q707" s="1"/>
      <c r="T707" s="1"/>
      <c r="W707" s="1"/>
      <c r="Y707" s="1"/>
      <c r="AB707" s="3"/>
    </row>
    <row r="708" ht="15.75" customHeight="1">
      <c r="E708" s="1"/>
      <c r="H708" s="1"/>
      <c r="K708" s="1"/>
      <c r="N708" s="1"/>
      <c r="Q708" s="1"/>
      <c r="T708" s="1"/>
      <c r="W708" s="1"/>
      <c r="Y708" s="1"/>
      <c r="AB708" s="3"/>
    </row>
    <row r="709" ht="15.75" customHeight="1">
      <c r="E709" s="1"/>
      <c r="H709" s="1"/>
      <c r="K709" s="1"/>
      <c r="N709" s="1"/>
      <c r="Q709" s="1"/>
      <c r="T709" s="1"/>
      <c r="W709" s="1"/>
      <c r="Y709" s="1"/>
      <c r="AB709" s="3"/>
    </row>
    <row r="710" ht="15.75" customHeight="1">
      <c r="E710" s="1"/>
      <c r="H710" s="1"/>
      <c r="K710" s="1"/>
      <c r="N710" s="1"/>
      <c r="Q710" s="1"/>
      <c r="T710" s="1"/>
      <c r="W710" s="1"/>
      <c r="Y710" s="1"/>
      <c r="AB710" s="3"/>
    </row>
    <row r="711" ht="15.75" customHeight="1">
      <c r="E711" s="1"/>
      <c r="H711" s="1"/>
      <c r="K711" s="1"/>
      <c r="N711" s="1"/>
      <c r="Q711" s="1"/>
      <c r="T711" s="1"/>
      <c r="W711" s="1"/>
      <c r="Y711" s="1"/>
      <c r="AB711" s="3"/>
    </row>
    <row r="712" ht="15.75" customHeight="1">
      <c r="E712" s="1"/>
      <c r="H712" s="1"/>
      <c r="K712" s="1"/>
      <c r="N712" s="1"/>
      <c r="Q712" s="1"/>
      <c r="T712" s="1"/>
      <c r="W712" s="1"/>
      <c r="Y712" s="1"/>
      <c r="AB712" s="3"/>
    </row>
    <row r="713" ht="15.75" customHeight="1">
      <c r="E713" s="1"/>
      <c r="H713" s="1"/>
      <c r="K713" s="1"/>
      <c r="N713" s="1"/>
      <c r="Q713" s="1"/>
      <c r="T713" s="1"/>
      <c r="W713" s="1"/>
      <c r="Y713" s="1"/>
      <c r="AB713" s="3"/>
    </row>
    <row r="714" ht="15.75" customHeight="1">
      <c r="E714" s="1"/>
      <c r="H714" s="1"/>
      <c r="K714" s="1"/>
      <c r="N714" s="1"/>
      <c r="Q714" s="1"/>
      <c r="T714" s="1"/>
      <c r="W714" s="1"/>
      <c r="Y714" s="1"/>
      <c r="AB714" s="3"/>
    </row>
    <row r="715" ht="15.75" customHeight="1">
      <c r="E715" s="1"/>
      <c r="H715" s="1"/>
      <c r="K715" s="1"/>
      <c r="N715" s="1"/>
      <c r="Q715" s="1"/>
      <c r="T715" s="1"/>
      <c r="W715" s="1"/>
      <c r="Y715" s="1"/>
      <c r="AB715" s="3"/>
    </row>
    <row r="716" ht="15.75" customHeight="1">
      <c r="E716" s="1"/>
      <c r="H716" s="1"/>
      <c r="K716" s="1"/>
      <c r="N716" s="1"/>
      <c r="Q716" s="1"/>
      <c r="T716" s="1"/>
      <c r="W716" s="1"/>
      <c r="Y716" s="1"/>
      <c r="AB716" s="3"/>
    </row>
    <row r="717" ht="15.75" customHeight="1">
      <c r="E717" s="1"/>
      <c r="H717" s="1"/>
      <c r="K717" s="1"/>
      <c r="N717" s="1"/>
      <c r="Q717" s="1"/>
      <c r="T717" s="1"/>
      <c r="W717" s="1"/>
      <c r="Y717" s="1"/>
      <c r="AB717" s="3"/>
    </row>
    <row r="718" ht="15.75" customHeight="1">
      <c r="E718" s="1"/>
      <c r="H718" s="1"/>
      <c r="K718" s="1"/>
      <c r="N718" s="1"/>
      <c r="Q718" s="1"/>
      <c r="T718" s="1"/>
      <c r="W718" s="1"/>
      <c r="Y718" s="1"/>
      <c r="AB718" s="3"/>
    </row>
    <row r="719" ht="15.75" customHeight="1">
      <c r="E719" s="1"/>
      <c r="H719" s="1"/>
      <c r="K719" s="1"/>
      <c r="N719" s="1"/>
      <c r="Q719" s="1"/>
      <c r="T719" s="1"/>
      <c r="W719" s="1"/>
      <c r="Y719" s="1"/>
      <c r="AB719" s="3"/>
    </row>
    <row r="720" ht="15.75" customHeight="1">
      <c r="E720" s="1"/>
      <c r="H720" s="1"/>
      <c r="K720" s="1"/>
      <c r="N720" s="1"/>
      <c r="Q720" s="1"/>
      <c r="T720" s="1"/>
      <c r="W720" s="1"/>
      <c r="Y720" s="1"/>
      <c r="AB720" s="3"/>
    </row>
    <row r="721" ht="15.75" customHeight="1">
      <c r="E721" s="1"/>
      <c r="H721" s="1"/>
      <c r="K721" s="1"/>
      <c r="N721" s="1"/>
      <c r="Q721" s="1"/>
      <c r="T721" s="1"/>
      <c r="W721" s="1"/>
      <c r="Y721" s="1"/>
      <c r="AB721" s="3"/>
    </row>
    <row r="722" ht="15.75" customHeight="1">
      <c r="E722" s="1"/>
      <c r="H722" s="1"/>
      <c r="K722" s="1"/>
      <c r="N722" s="1"/>
      <c r="Q722" s="1"/>
      <c r="T722" s="1"/>
      <c r="W722" s="1"/>
      <c r="Y722" s="1"/>
      <c r="AB722" s="3"/>
    </row>
    <row r="723" ht="15.75" customHeight="1">
      <c r="E723" s="1"/>
      <c r="H723" s="1"/>
      <c r="K723" s="1"/>
      <c r="N723" s="1"/>
      <c r="Q723" s="1"/>
      <c r="T723" s="1"/>
      <c r="W723" s="1"/>
      <c r="Y723" s="1"/>
      <c r="AB723" s="3"/>
    </row>
    <row r="724" ht="15.75" customHeight="1">
      <c r="E724" s="1"/>
      <c r="H724" s="1"/>
      <c r="K724" s="1"/>
      <c r="N724" s="1"/>
      <c r="Q724" s="1"/>
      <c r="T724" s="1"/>
      <c r="W724" s="1"/>
      <c r="Y724" s="1"/>
      <c r="AB724" s="3"/>
    </row>
    <row r="725" ht="15.75" customHeight="1">
      <c r="E725" s="1"/>
      <c r="H725" s="1"/>
      <c r="K725" s="1"/>
      <c r="N725" s="1"/>
      <c r="Q725" s="1"/>
      <c r="T725" s="1"/>
      <c r="W725" s="1"/>
      <c r="Y725" s="1"/>
      <c r="AB725" s="3"/>
    </row>
    <row r="726" ht="15.75" customHeight="1">
      <c r="E726" s="1"/>
      <c r="H726" s="1"/>
      <c r="K726" s="1"/>
      <c r="N726" s="1"/>
      <c r="Q726" s="1"/>
      <c r="T726" s="1"/>
      <c r="W726" s="1"/>
      <c r="Y726" s="1"/>
      <c r="AB726" s="3"/>
    </row>
    <row r="727" ht="15.75" customHeight="1">
      <c r="E727" s="1"/>
      <c r="H727" s="1"/>
      <c r="K727" s="1"/>
      <c r="N727" s="1"/>
      <c r="Q727" s="1"/>
      <c r="T727" s="1"/>
      <c r="W727" s="1"/>
      <c r="Y727" s="1"/>
      <c r="AB727" s="3"/>
    </row>
    <row r="728" ht="15.75" customHeight="1">
      <c r="E728" s="1"/>
      <c r="H728" s="1"/>
      <c r="K728" s="1"/>
      <c r="N728" s="1"/>
      <c r="Q728" s="1"/>
      <c r="T728" s="1"/>
      <c r="W728" s="1"/>
      <c r="Y728" s="1"/>
      <c r="AB728" s="3"/>
    </row>
    <row r="729" ht="15.75" customHeight="1">
      <c r="E729" s="1"/>
      <c r="H729" s="1"/>
      <c r="K729" s="1"/>
      <c r="N729" s="1"/>
      <c r="Q729" s="1"/>
      <c r="T729" s="1"/>
      <c r="W729" s="1"/>
      <c r="Y729" s="1"/>
      <c r="AB729" s="3"/>
    </row>
    <row r="730" ht="15.75" customHeight="1">
      <c r="E730" s="1"/>
      <c r="H730" s="1"/>
      <c r="K730" s="1"/>
      <c r="N730" s="1"/>
      <c r="Q730" s="1"/>
      <c r="T730" s="1"/>
      <c r="W730" s="1"/>
      <c r="Y730" s="1"/>
      <c r="AB730" s="3"/>
    </row>
    <row r="731" ht="15.75" customHeight="1">
      <c r="E731" s="1"/>
      <c r="H731" s="1"/>
      <c r="K731" s="1"/>
      <c r="N731" s="1"/>
      <c r="Q731" s="1"/>
      <c r="T731" s="1"/>
      <c r="W731" s="1"/>
      <c r="Y731" s="1"/>
      <c r="AB731" s="3"/>
    </row>
    <row r="732" ht="15.75" customHeight="1">
      <c r="E732" s="1"/>
      <c r="H732" s="1"/>
      <c r="K732" s="1"/>
      <c r="N732" s="1"/>
      <c r="Q732" s="1"/>
      <c r="T732" s="1"/>
      <c r="W732" s="1"/>
      <c r="Y732" s="1"/>
      <c r="AB732" s="3"/>
    </row>
    <row r="733" ht="15.75" customHeight="1">
      <c r="E733" s="1"/>
      <c r="H733" s="1"/>
      <c r="K733" s="1"/>
      <c r="N733" s="1"/>
      <c r="Q733" s="1"/>
      <c r="T733" s="1"/>
      <c r="W733" s="1"/>
      <c r="Y733" s="1"/>
      <c r="AB733" s="3"/>
    </row>
    <row r="734" ht="15.75" customHeight="1">
      <c r="E734" s="1"/>
      <c r="H734" s="1"/>
      <c r="K734" s="1"/>
      <c r="N734" s="1"/>
      <c r="Q734" s="1"/>
      <c r="T734" s="1"/>
      <c r="W734" s="1"/>
      <c r="Y734" s="1"/>
      <c r="AB734" s="3"/>
    </row>
    <row r="735" ht="15.75" customHeight="1">
      <c r="E735" s="1"/>
      <c r="H735" s="1"/>
      <c r="K735" s="1"/>
      <c r="N735" s="1"/>
      <c r="Q735" s="1"/>
      <c r="T735" s="1"/>
      <c r="W735" s="1"/>
      <c r="Y735" s="1"/>
      <c r="AB735" s="3"/>
    </row>
    <row r="736" ht="15.75" customHeight="1">
      <c r="E736" s="1"/>
      <c r="H736" s="1"/>
      <c r="K736" s="1"/>
      <c r="N736" s="1"/>
      <c r="Q736" s="1"/>
      <c r="T736" s="1"/>
      <c r="W736" s="1"/>
      <c r="Y736" s="1"/>
      <c r="AB736" s="3"/>
    </row>
    <row r="737" ht="15.75" customHeight="1">
      <c r="E737" s="1"/>
      <c r="H737" s="1"/>
      <c r="K737" s="1"/>
      <c r="N737" s="1"/>
      <c r="Q737" s="1"/>
      <c r="T737" s="1"/>
      <c r="W737" s="1"/>
      <c r="Y737" s="1"/>
      <c r="AB737" s="3"/>
    </row>
    <row r="738" ht="15.75" customHeight="1">
      <c r="E738" s="1"/>
      <c r="H738" s="1"/>
      <c r="K738" s="1"/>
      <c r="N738" s="1"/>
      <c r="Q738" s="1"/>
      <c r="T738" s="1"/>
      <c r="W738" s="1"/>
      <c r="Y738" s="1"/>
      <c r="AB738" s="3"/>
    </row>
    <row r="739" ht="15.75" customHeight="1">
      <c r="E739" s="1"/>
      <c r="H739" s="1"/>
      <c r="K739" s="1"/>
      <c r="N739" s="1"/>
      <c r="Q739" s="1"/>
      <c r="T739" s="1"/>
      <c r="W739" s="1"/>
      <c r="Y739" s="1"/>
      <c r="AB739" s="3"/>
    </row>
    <row r="740" ht="15.75" customHeight="1">
      <c r="E740" s="1"/>
      <c r="H740" s="1"/>
      <c r="K740" s="1"/>
      <c r="N740" s="1"/>
      <c r="Q740" s="1"/>
      <c r="T740" s="1"/>
      <c r="W740" s="1"/>
      <c r="Y740" s="1"/>
      <c r="AB740" s="3"/>
    </row>
    <row r="741" ht="15.75" customHeight="1">
      <c r="E741" s="1"/>
      <c r="H741" s="1"/>
      <c r="K741" s="1"/>
      <c r="N741" s="1"/>
      <c r="Q741" s="1"/>
      <c r="T741" s="1"/>
      <c r="W741" s="1"/>
      <c r="Y741" s="1"/>
      <c r="AB741" s="3"/>
    </row>
    <row r="742" ht="15.75" customHeight="1">
      <c r="E742" s="1"/>
      <c r="H742" s="1"/>
      <c r="K742" s="1"/>
      <c r="N742" s="1"/>
      <c r="Q742" s="1"/>
      <c r="T742" s="1"/>
      <c r="W742" s="1"/>
      <c r="Y742" s="1"/>
      <c r="AB742" s="3"/>
    </row>
    <row r="743" ht="15.75" customHeight="1">
      <c r="E743" s="1"/>
      <c r="H743" s="1"/>
      <c r="K743" s="1"/>
      <c r="N743" s="1"/>
      <c r="Q743" s="1"/>
      <c r="T743" s="1"/>
      <c r="W743" s="1"/>
      <c r="Y743" s="1"/>
      <c r="AB743" s="3"/>
    </row>
    <row r="744" ht="15.75" customHeight="1">
      <c r="E744" s="1"/>
      <c r="H744" s="1"/>
      <c r="K744" s="1"/>
      <c r="N744" s="1"/>
      <c r="Q744" s="1"/>
      <c r="T744" s="1"/>
      <c r="W744" s="1"/>
      <c r="Y744" s="1"/>
      <c r="AB744" s="3"/>
    </row>
    <row r="745" ht="15.75" customHeight="1">
      <c r="E745" s="1"/>
      <c r="H745" s="1"/>
      <c r="K745" s="1"/>
      <c r="N745" s="1"/>
      <c r="Q745" s="1"/>
      <c r="T745" s="1"/>
      <c r="W745" s="1"/>
      <c r="Y745" s="1"/>
      <c r="AB745" s="3"/>
    </row>
    <row r="746" ht="15.75" customHeight="1">
      <c r="E746" s="1"/>
      <c r="H746" s="1"/>
      <c r="K746" s="1"/>
      <c r="N746" s="1"/>
      <c r="Q746" s="1"/>
      <c r="T746" s="1"/>
      <c r="W746" s="1"/>
      <c r="Y746" s="1"/>
      <c r="AB746" s="3"/>
    </row>
    <row r="747" ht="15.75" customHeight="1">
      <c r="E747" s="1"/>
      <c r="H747" s="1"/>
      <c r="K747" s="1"/>
      <c r="N747" s="1"/>
      <c r="Q747" s="1"/>
      <c r="T747" s="1"/>
      <c r="W747" s="1"/>
      <c r="Y747" s="1"/>
      <c r="AB747" s="3"/>
    </row>
    <row r="748" ht="15.75" customHeight="1">
      <c r="E748" s="1"/>
      <c r="H748" s="1"/>
      <c r="K748" s="1"/>
      <c r="N748" s="1"/>
      <c r="Q748" s="1"/>
      <c r="T748" s="1"/>
      <c r="W748" s="1"/>
      <c r="Y748" s="1"/>
      <c r="AB748" s="3"/>
    </row>
    <row r="749" ht="15.75" customHeight="1">
      <c r="E749" s="1"/>
      <c r="H749" s="1"/>
      <c r="K749" s="1"/>
      <c r="N749" s="1"/>
      <c r="Q749" s="1"/>
      <c r="T749" s="1"/>
      <c r="W749" s="1"/>
      <c r="Y749" s="1"/>
      <c r="AB749" s="3"/>
    </row>
    <row r="750" ht="15.75" customHeight="1">
      <c r="E750" s="1"/>
      <c r="H750" s="1"/>
      <c r="K750" s="1"/>
      <c r="N750" s="1"/>
      <c r="Q750" s="1"/>
      <c r="T750" s="1"/>
      <c r="W750" s="1"/>
      <c r="Y750" s="1"/>
      <c r="AB750" s="3"/>
    </row>
    <row r="751" ht="15.75" customHeight="1">
      <c r="E751" s="1"/>
      <c r="H751" s="1"/>
      <c r="K751" s="1"/>
      <c r="N751" s="1"/>
      <c r="Q751" s="1"/>
      <c r="T751" s="1"/>
      <c r="W751" s="1"/>
      <c r="Y751" s="1"/>
      <c r="AB751" s="3"/>
    </row>
    <row r="752" ht="15.75" customHeight="1">
      <c r="E752" s="1"/>
      <c r="H752" s="1"/>
      <c r="K752" s="1"/>
      <c r="N752" s="1"/>
      <c r="Q752" s="1"/>
      <c r="T752" s="1"/>
      <c r="W752" s="1"/>
      <c r="Y752" s="1"/>
      <c r="AB752" s="3"/>
    </row>
    <row r="753" ht="15.75" customHeight="1">
      <c r="E753" s="1"/>
      <c r="H753" s="1"/>
      <c r="K753" s="1"/>
      <c r="N753" s="1"/>
      <c r="Q753" s="1"/>
      <c r="T753" s="1"/>
      <c r="W753" s="1"/>
      <c r="Y753" s="1"/>
      <c r="AB753" s="3"/>
    </row>
    <row r="754" ht="15.75" customHeight="1">
      <c r="E754" s="1"/>
      <c r="H754" s="1"/>
      <c r="K754" s="1"/>
      <c r="N754" s="1"/>
      <c r="Q754" s="1"/>
      <c r="T754" s="1"/>
      <c r="W754" s="1"/>
      <c r="Y754" s="1"/>
      <c r="AB754" s="3"/>
    </row>
    <row r="755" ht="15.75" customHeight="1">
      <c r="E755" s="1"/>
      <c r="H755" s="1"/>
      <c r="K755" s="1"/>
      <c r="N755" s="1"/>
      <c r="Q755" s="1"/>
      <c r="T755" s="1"/>
      <c r="W755" s="1"/>
      <c r="Y755" s="1"/>
      <c r="AB755" s="3"/>
    </row>
    <row r="756" ht="15.75" customHeight="1">
      <c r="E756" s="1"/>
      <c r="H756" s="1"/>
      <c r="K756" s="1"/>
      <c r="N756" s="1"/>
      <c r="Q756" s="1"/>
      <c r="T756" s="1"/>
      <c r="W756" s="1"/>
      <c r="Y756" s="1"/>
      <c r="AB756" s="3"/>
    </row>
    <row r="757" ht="15.75" customHeight="1">
      <c r="E757" s="1"/>
      <c r="H757" s="1"/>
      <c r="K757" s="1"/>
      <c r="N757" s="1"/>
      <c r="Q757" s="1"/>
      <c r="T757" s="1"/>
      <c r="W757" s="1"/>
      <c r="Y757" s="1"/>
      <c r="AB757" s="3"/>
    </row>
    <row r="758" ht="15.75" customHeight="1">
      <c r="E758" s="1"/>
      <c r="H758" s="1"/>
      <c r="K758" s="1"/>
      <c r="N758" s="1"/>
      <c r="Q758" s="1"/>
      <c r="T758" s="1"/>
      <c r="W758" s="1"/>
      <c r="Y758" s="1"/>
      <c r="AB758" s="3"/>
    </row>
    <row r="759" ht="15.75" customHeight="1">
      <c r="E759" s="1"/>
      <c r="H759" s="1"/>
      <c r="K759" s="1"/>
      <c r="N759" s="1"/>
      <c r="Q759" s="1"/>
      <c r="T759" s="1"/>
      <c r="W759" s="1"/>
      <c r="Y759" s="1"/>
      <c r="AB759" s="3"/>
    </row>
    <row r="760" ht="15.75" customHeight="1">
      <c r="E760" s="1"/>
      <c r="H760" s="1"/>
      <c r="K760" s="1"/>
      <c r="N760" s="1"/>
      <c r="Q760" s="1"/>
      <c r="T760" s="1"/>
      <c r="W760" s="1"/>
      <c r="Y760" s="1"/>
      <c r="AB760" s="3"/>
    </row>
    <row r="761" ht="15.75" customHeight="1">
      <c r="E761" s="1"/>
      <c r="H761" s="1"/>
      <c r="K761" s="1"/>
      <c r="N761" s="1"/>
      <c r="Q761" s="1"/>
      <c r="T761" s="1"/>
      <c r="W761" s="1"/>
      <c r="Y761" s="1"/>
      <c r="AB761" s="3"/>
    </row>
    <row r="762" ht="15.75" customHeight="1">
      <c r="E762" s="1"/>
      <c r="H762" s="1"/>
      <c r="K762" s="1"/>
      <c r="N762" s="1"/>
      <c r="Q762" s="1"/>
      <c r="T762" s="1"/>
      <c r="W762" s="1"/>
      <c r="Y762" s="1"/>
      <c r="AB762" s="3"/>
    </row>
    <row r="763" ht="15.75" customHeight="1">
      <c r="E763" s="1"/>
      <c r="H763" s="1"/>
      <c r="K763" s="1"/>
      <c r="N763" s="1"/>
      <c r="Q763" s="1"/>
      <c r="T763" s="1"/>
      <c r="W763" s="1"/>
      <c r="Y763" s="1"/>
      <c r="AB763" s="3"/>
    </row>
    <row r="764" ht="15.75" customHeight="1">
      <c r="E764" s="1"/>
      <c r="H764" s="1"/>
      <c r="K764" s="1"/>
      <c r="N764" s="1"/>
      <c r="Q764" s="1"/>
      <c r="T764" s="1"/>
      <c r="W764" s="1"/>
      <c r="Y764" s="1"/>
      <c r="AB764" s="3"/>
    </row>
    <row r="765" ht="15.75" customHeight="1">
      <c r="E765" s="1"/>
      <c r="H765" s="1"/>
      <c r="K765" s="1"/>
      <c r="N765" s="1"/>
      <c r="Q765" s="1"/>
      <c r="T765" s="1"/>
      <c r="W765" s="1"/>
      <c r="Y765" s="1"/>
      <c r="AB765" s="3"/>
    </row>
    <row r="766" ht="15.75" customHeight="1">
      <c r="E766" s="1"/>
      <c r="H766" s="1"/>
      <c r="K766" s="1"/>
      <c r="N766" s="1"/>
      <c r="Q766" s="1"/>
      <c r="T766" s="1"/>
      <c r="W766" s="1"/>
      <c r="Y766" s="1"/>
      <c r="AB766" s="3"/>
    </row>
    <row r="767" ht="15.75" customHeight="1">
      <c r="E767" s="1"/>
      <c r="H767" s="1"/>
      <c r="K767" s="1"/>
      <c r="N767" s="1"/>
      <c r="Q767" s="1"/>
      <c r="T767" s="1"/>
      <c r="W767" s="1"/>
      <c r="Y767" s="1"/>
      <c r="AB767" s="3"/>
    </row>
    <row r="768" ht="15.75" customHeight="1">
      <c r="E768" s="1"/>
      <c r="H768" s="1"/>
      <c r="K768" s="1"/>
      <c r="N768" s="1"/>
      <c r="Q768" s="1"/>
      <c r="T768" s="1"/>
      <c r="W768" s="1"/>
      <c r="Y768" s="1"/>
      <c r="AB768" s="3"/>
    </row>
    <row r="769" ht="15.75" customHeight="1">
      <c r="E769" s="1"/>
      <c r="H769" s="1"/>
      <c r="K769" s="1"/>
      <c r="N769" s="1"/>
      <c r="Q769" s="1"/>
      <c r="T769" s="1"/>
      <c r="W769" s="1"/>
      <c r="Y769" s="1"/>
      <c r="AB769" s="3"/>
    </row>
    <row r="770" ht="15.75" customHeight="1">
      <c r="E770" s="1"/>
      <c r="H770" s="1"/>
      <c r="K770" s="1"/>
      <c r="N770" s="1"/>
      <c r="Q770" s="1"/>
      <c r="T770" s="1"/>
      <c r="W770" s="1"/>
      <c r="Y770" s="1"/>
      <c r="AB770" s="3"/>
    </row>
    <row r="771" ht="15.75" customHeight="1">
      <c r="E771" s="1"/>
      <c r="H771" s="1"/>
      <c r="K771" s="1"/>
      <c r="N771" s="1"/>
      <c r="Q771" s="1"/>
      <c r="T771" s="1"/>
      <c r="W771" s="1"/>
      <c r="Y771" s="1"/>
      <c r="AB771" s="3"/>
    </row>
    <row r="772" ht="15.75" customHeight="1">
      <c r="E772" s="1"/>
      <c r="H772" s="1"/>
      <c r="K772" s="1"/>
      <c r="N772" s="1"/>
      <c r="Q772" s="1"/>
      <c r="T772" s="1"/>
      <c r="W772" s="1"/>
      <c r="Y772" s="1"/>
      <c r="AB772" s="3"/>
    </row>
    <row r="773" ht="15.75" customHeight="1">
      <c r="E773" s="1"/>
      <c r="H773" s="1"/>
      <c r="K773" s="1"/>
      <c r="N773" s="1"/>
      <c r="Q773" s="1"/>
      <c r="T773" s="1"/>
      <c r="W773" s="1"/>
      <c r="Y773" s="1"/>
      <c r="AB773" s="3"/>
    </row>
    <row r="774" ht="15.75" customHeight="1">
      <c r="E774" s="1"/>
      <c r="H774" s="1"/>
      <c r="K774" s="1"/>
      <c r="N774" s="1"/>
      <c r="Q774" s="1"/>
      <c r="T774" s="1"/>
      <c r="W774" s="1"/>
      <c r="Y774" s="1"/>
      <c r="AB774" s="3"/>
    </row>
    <row r="775" ht="15.75" customHeight="1">
      <c r="E775" s="1"/>
      <c r="H775" s="1"/>
      <c r="K775" s="1"/>
      <c r="N775" s="1"/>
      <c r="Q775" s="1"/>
      <c r="T775" s="1"/>
      <c r="W775" s="1"/>
      <c r="Y775" s="1"/>
      <c r="AB775" s="3"/>
    </row>
    <row r="776" ht="15.75" customHeight="1">
      <c r="E776" s="1"/>
      <c r="H776" s="1"/>
      <c r="K776" s="1"/>
      <c r="N776" s="1"/>
      <c r="Q776" s="1"/>
      <c r="T776" s="1"/>
      <c r="W776" s="1"/>
      <c r="Y776" s="1"/>
      <c r="AB776" s="3"/>
    </row>
    <row r="777" ht="15.75" customHeight="1">
      <c r="E777" s="1"/>
      <c r="H777" s="1"/>
      <c r="K777" s="1"/>
      <c r="N777" s="1"/>
      <c r="Q777" s="1"/>
      <c r="T777" s="1"/>
      <c r="W777" s="1"/>
      <c r="Y777" s="1"/>
      <c r="AB777" s="3"/>
    </row>
    <row r="778" ht="15.75" customHeight="1">
      <c r="E778" s="1"/>
      <c r="H778" s="1"/>
      <c r="K778" s="1"/>
      <c r="N778" s="1"/>
      <c r="Q778" s="1"/>
      <c r="T778" s="1"/>
      <c r="W778" s="1"/>
      <c r="Y778" s="1"/>
      <c r="AB778" s="3"/>
    </row>
    <row r="779" ht="15.75" customHeight="1">
      <c r="E779" s="1"/>
      <c r="H779" s="1"/>
      <c r="K779" s="1"/>
      <c r="N779" s="1"/>
      <c r="Q779" s="1"/>
      <c r="T779" s="1"/>
      <c r="W779" s="1"/>
      <c r="Y779" s="1"/>
      <c r="AB779" s="3"/>
    </row>
    <row r="780" ht="15.75" customHeight="1">
      <c r="E780" s="1"/>
      <c r="H780" s="1"/>
      <c r="K780" s="1"/>
      <c r="N780" s="1"/>
      <c r="Q780" s="1"/>
      <c r="T780" s="1"/>
      <c r="W780" s="1"/>
      <c r="Y780" s="1"/>
      <c r="AB780" s="3"/>
    </row>
    <row r="781" ht="15.75" customHeight="1">
      <c r="E781" s="1"/>
      <c r="H781" s="1"/>
      <c r="K781" s="1"/>
      <c r="N781" s="1"/>
      <c r="Q781" s="1"/>
      <c r="T781" s="1"/>
      <c r="W781" s="1"/>
      <c r="Y781" s="1"/>
      <c r="AB781" s="3"/>
    </row>
    <row r="782" ht="15.75" customHeight="1">
      <c r="E782" s="1"/>
      <c r="H782" s="1"/>
      <c r="K782" s="1"/>
      <c r="N782" s="1"/>
      <c r="Q782" s="1"/>
      <c r="T782" s="1"/>
      <c r="W782" s="1"/>
      <c r="Y782" s="1"/>
      <c r="AB782" s="3"/>
    </row>
    <row r="783" ht="15.75" customHeight="1">
      <c r="E783" s="1"/>
      <c r="H783" s="1"/>
      <c r="K783" s="1"/>
      <c r="N783" s="1"/>
      <c r="Q783" s="1"/>
      <c r="T783" s="1"/>
      <c r="W783" s="1"/>
      <c r="Y783" s="1"/>
      <c r="AB783" s="3"/>
    </row>
    <row r="784" ht="15.75" customHeight="1">
      <c r="E784" s="1"/>
      <c r="H784" s="1"/>
      <c r="K784" s="1"/>
      <c r="N784" s="1"/>
      <c r="Q784" s="1"/>
      <c r="T784" s="1"/>
      <c r="W784" s="1"/>
      <c r="Y784" s="1"/>
      <c r="AB784" s="3"/>
    </row>
    <row r="785" ht="15.75" customHeight="1">
      <c r="E785" s="1"/>
      <c r="H785" s="1"/>
      <c r="K785" s="1"/>
      <c r="N785" s="1"/>
      <c r="Q785" s="1"/>
      <c r="T785" s="1"/>
      <c r="W785" s="1"/>
      <c r="Y785" s="1"/>
      <c r="AB785" s="3"/>
    </row>
    <row r="786" ht="15.75" customHeight="1">
      <c r="E786" s="1"/>
      <c r="H786" s="1"/>
      <c r="K786" s="1"/>
      <c r="N786" s="1"/>
      <c r="Q786" s="1"/>
      <c r="T786" s="1"/>
      <c r="W786" s="1"/>
      <c r="Y786" s="1"/>
      <c r="AB786" s="3"/>
    </row>
    <row r="787" ht="15.75" customHeight="1">
      <c r="E787" s="1"/>
      <c r="H787" s="1"/>
      <c r="K787" s="1"/>
      <c r="N787" s="1"/>
      <c r="Q787" s="1"/>
      <c r="T787" s="1"/>
      <c r="W787" s="1"/>
      <c r="Y787" s="1"/>
      <c r="AB787" s="3"/>
    </row>
    <row r="788" ht="15.75" customHeight="1">
      <c r="E788" s="1"/>
      <c r="H788" s="1"/>
      <c r="K788" s="1"/>
      <c r="N788" s="1"/>
      <c r="Q788" s="1"/>
      <c r="T788" s="1"/>
      <c r="W788" s="1"/>
      <c r="Y788" s="1"/>
      <c r="AB788" s="3"/>
    </row>
    <row r="789" ht="15.75" customHeight="1">
      <c r="E789" s="1"/>
      <c r="H789" s="1"/>
      <c r="K789" s="1"/>
      <c r="N789" s="1"/>
      <c r="Q789" s="1"/>
      <c r="T789" s="1"/>
      <c r="W789" s="1"/>
      <c r="Y789" s="1"/>
      <c r="AB789" s="3"/>
    </row>
    <row r="790" ht="15.75" customHeight="1">
      <c r="E790" s="1"/>
      <c r="H790" s="1"/>
      <c r="K790" s="1"/>
      <c r="N790" s="1"/>
      <c r="Q790" s="1"/>
      <c r="T790" s="1"/>
      <c r="W790" s="1"/>
      <c r="Y790" s="1"/>
      <c r="AB790" s="3"/>
    </row>
    <row r="791" ht="15.75" customHeight="1">
      <c r="E791" s="1"/>
      <c r="H791" s="1"/>
      <c r="K791" s="1"/>
      <c r="N791" s="1"/>
      <c r="Q791" s="1"/>
      <c r="T791" s="1"/>
      <c r="W791" s="1"/>
      <c r="Y791" s="1"/>
      <c r="AB791" s="3"/>
    </row>
    <row r="792" ht="15.75" customHeight="1">
      <c r="E792" s="1"/>
      <c r="H792" s="1"/>
      <c r="K792" s="1"/>
      <c r="N792" s="1"/>
      <c r="Q792" s="1"/>
      <c r="T792" s="1"/>
      <c r="W792" s="1"/>
      <c r="Y792" s="1"/>
      <c r="AB792" s="3"/>
    </row>
    <row r="793" ht="15.75" customHeight="1">
      <c r="E793" s="1"/>
      <c r="H793" s="1"/>
      <c r="K793" s="1"/>
      <c r="N793" s="1"/>
      <c r="Q793" s="1"/>
      <c r="T793" s="1"/>
      <c r="W793" s="1"/>
      <c r="Y793" s="1"/>
      <c r="AB793" s="3"/>
    </row>
    <row r="794" ht="15.75" customHeight="1">
      <c r="E794" s="1"/>
      <c r="H794" s="1"/>
      <c r="K794" s="1"/>
      <c r="N794" s="1"/>
      <c r="Q794" s="1"/>
      <c r="T794" s="1"/>
      <c r="W794" s="1"/>
      <c r="Y794" s="1"/>
      <c r="AB794" s="3"/>
    </row>
    <row r="795" ht="15.75" customHeight="1">
      <c r="E795" s="1"/>
      <c r="H795" s="1"/>
      <c r="K795" s="1"/>
      <c r="N795" s="1"/>
      <c r="Q795" s="1"/>
      <c r="T795" s="1"/>
      <c r="W795" s="1"/>
      <c r="Y795" s="1"/>
      <c r="AB795" s="3"/>
    </row>
    <row r="796" ht="15.75" customHeight="1">
      <c r="E796" s="1"/>
      <c r="H796" s="1"/>
      <c r="K796" s="1"/>
      <c r="N796" s="1"/>
      <c r="Q796" s="1"/>
      <c r="T796" s="1"/>
      <c r="W796" s="1"/>
      <c r="Y796" s="1"/>
      <c r="AB796" s="3"/>
    </row>
    <row r="797" ht="15.75" customHeight="1">
      <c r="E797" s="1"/>
      <c r="H797" s="1"/>
      <c r="K797" s="1"/>
      <c r="N797" s="1"/>
      <c r="Q797" s="1"/>
      <c r="T797" s="1"/>
      <c r="W797" s="1"/>
      <c r="Y797" s="1"/>
      <c r="AB797" s="3"/>
    </row>
    <row r="798" ht="15.75" customHeight="1">
      <c r="E798" s="1"/>
      <c r="H798" s="1"/>
      <c r="K798" s="1"/>
      <c r="N798" s="1"/>
      <c r="Q798" s="1"/>
      <c r="T798" s="1"/>
      <c r="W798" s="1"/>
      <c r="Y798" s="1"/>
      <c r="AB798" s="3"/>
    </row>
    <row r="799" ht="15.75" customHeight="1">
      <c r="E799" s="1"/>
      <c r="H799" s="1"/>
      <c r="K799" s="1"/>
      <c r="N799" s="1"/>
      <c r="Q799" s="1"/>
      <c r="T799" s="1"/>
      <c r="W799" s="1"/>
      <c r="Y799" s="1"/>
      <c r="AB799" s="3"/>
    </row>
    <row r="800" ht="15.75" customHeight="1">
      <c r="E800" s="1"/>
      <c r="H800" s="1"/>
      <c r="K800" s="1"/>
      <c r="N800" s="1"/>
      <c r="Q800" s="1"/>
      <c r="T800" s="1"/>
      <c r="W800" s="1"/>
      <c r="Y800" s="1"/>
      <c r="AB800" s="3"/>
    </row>
    <row r="801" ht="15.75" customHeight="1">
      <c r="E801" s="1"/>
      <c r="H801" s="1"/>
      <c r="K801" s="1"/>
      <c r="N801" s="1"/>
      <c r="Q801" s="1"/>
      <c r="T801" s="1"/>
      <c r="W801" s="1"/>
      <c r="Y801" s="1"/>
      <c r="AB801" s="3"/>
    </row>
    <row r="802" ht="15.75" customHeight="1">
      <c r="E802" s="1"/>
      <c r="H802" s="1"/>
      <c r="K802" s="1"/>
      <c r="N802" s="1"/>
      <c r="Q802" s="1"/>
      <c r="T802" s="1"/>
      <c r="W802" s="1"/>
      <c r="Y802" s="1"/>
      <c r="AB802" s="3"/>
    </row>
    <row r="803" ht="15.75" customHeight="1">
      <c r="E803" s="1"/>
      <c r="H803" s="1"/>
      <c r="K803" s="1"/>
      <c r="N803" s="1"/>
      <c r="Q803" s="1"/>
      <c r="T803" s="1"/>
      <c r="W803" s="1"/>
      <c r="Y803" s="1"/>
      <c r="AB803" s="3"/>
    </row>
    <row r="804" ht="15.75" customHeight="1">
      <c r="E804" s="1"/>
      <c r="H804" s="1"/>
      <c r="K804" s="1"/>
      <c r="N804" s="1"/>
      <c r="Q804" s="1"/>
      <c r="T804" s="1"/>
      <c r="W804" s="1"/>
      <c r="Y804" s="1"/>
      <c r="AB804" s="3"/>
    </row>
    <row r="805" ht="15.75" customHeight="1">
      <c r="E805" s="1"/>
      <c r="H805" s="1"/>
      <c r="K805" s="1"/>
      <c r="N805" s="1"/>
      <c r="Q805" s="1"/>
      <c r="T805" s="1"/>
      <c r="W805" s="1"/>
      <c r="Y805" s="1"/>
      <c r="AB805" s="3"/>
    </row>
    <row r="806" ht="15.75" customHeight="1">
      <c r="E806" s="1"/>
      <c r="H806" s="1"/>
      <c r="K806" s="1"/>
      <c r="N806" s="1"/>
      <c r="Q806" s="1"/>
      <c r="T806" s="1"/>
      <c r="W806" s="1"/>
      <c r="Y806" s="1"/>
      <c r="AB806" s="3"/>
    </row>
    <row r="807" ht="15.75" customHeight="1">
      <c r="E807" s="1"/>
      <c r="H807" s="1"/>
      <c r="K807" s="1"/>
      <c r="N807" s="1"/>
      <c r="Q807" s="1"/>
      <c r="T807" s="1"/>
      <c r="W807" s="1"/>
      <c r="Y807" s="1"/>
      <c r="AB807" s="3"/>
    </row>
    <row r="808" ht="15.75" customHeight="1">
      <c r="E808" s="1"/>
      <c r="H808" s="1"/>
      <c r="K808" s="1"/>
      <c r="N808" s="1"/>
      <c r="Q808" s="1"/>
      <c r="T808" s="1"/>
      <c r="W808" s="1"/>
      <c r="Y808" s="1"/>
      <c r="AB808" s="3"/>
    </row>
    <row r="809" ht="15.75" customHeight="1">
      <c r="E809" s="1"/>
      <c r="H809" s="1"/>
      <c r="K809" s="1"/>
      <c r="N809" s="1"/>
      <c r="Q809" s="1"/>
      <c r="T809" s="1"/>
      <c r="W809" s="1"/>
      <c r="Y809" s="1"/>
      <c r="AB809" s="3"/>
    </row>
    <row r="810" ht="15.75" customHeight="1">
      <c r="E810" s="1"/>
      <c r="H810" s="1"/>
      <c r="K810" s="1"/>
      <c r="N810" s="1"/>
      <c r="Q810" s="1"/>
      <c r="T810" s="1"/>
      <c r="W810" s="1"/>
      <c r="Y810" s="1"/>
      <c r="AB810" s="3"/>
    </row>
    <row r="811" ht="15.75" customHeight="1">
      <c r="E811" s="1"/>
      <c r="H811" s="1"/>
      <c r="K811" s="1"/>
      <c r="N811" s="1"/>
      <c r="Q811" s="1"/>
      <c r="T811" s="1"/>
      <c r="W811" s="1"/>
      <c r="Y811" s="1"/>
      <c r="AB811" s="3"/>
    </row>
    <row r="812" ht="15.75" customHeight="1">
      <c r="E812" s="1"/>
      <c r="H812" s="1"/>
      <c r="K812" s="1"/>
      <c r="N812" s="1"/>
      <c r="Q812" s="1"/>
      <c r="T812" s="1"/>
      <c r="W812" s="1"/>
      <c r="Y812" s="1"/>
      <c r="AB812" s="3"/>
    </row>
    <row r="813" ht="15.75" customHeight="1">
      <c r="E813" s="1"/>
      <c r="H813" s="1"/>
      <c r="K813" s="1"/>
      <c r="N813" s="1"/>
      <c r="Q813" s="1"/>
      <c r="T813" s="1"/>
      <c r="W813" s="1"/>
      <c r="Y813" s="1"/>
      <c r="AB813" s="3"/>
    </row>
    <row r="814" ht="15.75" customHeight="1">
      <c r="E814" s="1"/>
      <c r="H814" s="1"/>
      <c r="K814" s="1"/>
      <c r="N814" s="1"/>
      <c r="Q814" s="1"/>
      <c r="T814" s="1"/>
      <c r="W814" s="1"/>
      <c r="Y814" s="1"/>
      <c r="AB814" s="3"/>
    </row>
    <row r="815" ht="15.75" customHeight="1">
      <c r="E815" s="1"/>
      <c r="H815" s="1"/>
      <c r="K815" s="1"/>
      <c r="N815" s="1"/>
      <c r="Q815" s="1"/>
      <c r="T815" s="1"/>
      <c r="W815" s="1"/>
      <c r="Y815" s="1"/>
      <c r="AB815" s="3"/>
    </row>
    <row r="816" ht="15.75" customHeight="1">
      <c r="E816" s="1"/>
      <c r="H816" s="1"/>
      <c r="K816" s="1"/>
      <c r="N816" s="1"/>
      <c r="Q816" s="1"/>
      <c r="T816" s="1"/>
      <c r="W816" s="1"/>
      <c r="Y816" s="1"/>
      <c r="AB816" s="3"/>
    </row>
    <row r="817" ht="15.75" customHeight="1">
      <c r="E817" s="1"/>
      <c r="H817" s="1"/>
      <c r="K817" s="1"/>
      <c r="N817" s="1"/>
      <c r="Q817" s="1"/>
      <c r="T817" s="1"/>
      <c r="W817" s="1"/>
      <c r="Y817" s="1"/>
      <c r="AB817" s="3"/>
    </row>
    <row r="818" ht="15.75" customHeight="1">
      <c r="E818" s="1"/>
      <c r="H818" s="1"/>
      <c r="K818" s="1"/>
      <c r="N818" s="1"/>
      <c r="Q818" s="1"/>
      <c r="T818" s="1"/>
      <c r="W818" s="1"/>
      <c r="Y818" s="1"/>
      <c r="AB818" s="3"/>
    </row>
    <row r="819" ht="15.75" customHeight="1">
      <c r="E819" s="1"/>
      <c r="H819" s="1"/>
      <c r="K819" s="1"/>
      <c r="N819" s="1"/>
      <c r="Q819" s="1"/>
      <c r="T819" s="1"/>
      <c r="W819" s="1"/>
      <c r="Y819" s="1"/>
      <c r="AB819" s="3"/>
    </row>
    <row r="820" ht="15.75" customHeight="1">
      <c r="E820" s="1"/>
      <c r="H820" s="1"/>
      <c r="K820" s="1"/>
      <c r="N820" s="1"/>
      <c r="Q820" s="1"/>
      <c r="T820" s="1"/>
      <c r="W820" s="1"/>
      <c r="Y820" s="1"/>
      <c r="AB820" s="3"/>
    </row>
    <row r="821" ht="15.75" customHeight="1">
      <c r="E821" s="1"/>
      <c r="H821" s="1"/>
      <c r="K821" s="1"/>
      <c r="N821" s="1"/>
      <c r="Q821" s="1"/>
      <c r="T821" s="1"/>
      <c r="W821" s="1"/>
      <c r="Y821" s="1"/>
      <c r="AB821" s="3"/>
    </row>
    <row r="822" ht="15.75" customHeight="1">
      <c r="E822" s="1"/>
      <c r="H822" s="1"/>
      <c r="K822" s="1"/>
      <c r="N822" s="1"/>
      <c r="Q822" s="1"/>
      <c r="T822" s="1"/>
      <c r="W822" s="1"/>
      <c r="Y822" s="1"/>
      <c r="AB822" s="3"/>
    </row>
    <row r="823" ht="15.75" customHeight="1">
      <c r="E823" s="1"/>
      <c r="H823" s="1"/>
      <c r="K823" s="1"/>
      <c r="N823" s="1"/>
      <c r="Q823" s="1"/>
      <c r="T823" s="1"/>
      <c r="W823" s="1"/>
      <c r="Y823" s="1"/>
      <c r="AB823" s="3"/>
    </row>
    <row r="824" ht="15.75" customHeight="1">
      <c r="E824" s="1"/>
      <c r="H824" s="1"/>
      <c r="K824" s="1"/>
      <c r="N824" s="1"/>
      <c r="Q824" s="1"/>
      <c r="T824" s="1"/>
      <c r="W824" s="1"/>
      <c r="Y824" s="1"/>
      <c r="AB824" s="3"/>
    </row>
    <row r="825" ht="15.75" customHeight="1">
      <c r="E825" s="1"/>
      <c r="H825" s="1"/>
      <c r="K825" s="1"/>
      <c r="N825" s="1"/>
      <c r="Q825" s="1"/>
      <c r="T825" s="1"/>
      <c r="W825" s="1"/>
      <c r="Y825" s="1"/>
      <c r="AB825" s="3"/>
    </row>
    <row r="826" ht="15.75" customHeight="1">
      <c r="E826" s="1"/>
      <c r="H826" s="1"/>
      <c r="K826" s="1"/>
      <c r="N826" s="1"/>
      <c r="Q826" s="1"/>
      <c r="T826" s="1"/>
      <c r="W826" s="1"/>
      <c r="Y826" s="1"/>
      <c r="AB826" s="3"/>
    </row>
    <row r="827" ht="15.75" customHeight="1">
      <c r="E827" s="1"/>
      <c r="H827" s="1"/>
      <c r="K827" s="1"/>
      <c r="N827" s="1"/>
      <c r="Q827" s="1"/>
      <c r="T827" s="1"/>
      <c r="W827" s="1"/>
      <c r="Y827" s="1"/>
      <c r="AB827" s="3"/>
    </row>
    <row r="828" ht="15.75" customHeight="1">
      <c r="E828" s="1"/>
      <c r="H828" s="1"/>
      <c r="K828" s="1"/>
      <c r="N828" s="1"/>
      <c r="Q828" s="1"/>
      <c r="T828" s="1"/>
      <c r="W828" s="1"/>
      <c r="Y828" s="1"/>
      <c r="AB828" s="3"/>
    </row>
    <row r="829" ht="15.75" customHeight="1">
      <c r="E829" s="1"/>
      <c r="H829" s="1"/>
      <c r="K829" s="1"/>
      <c r="N829" s="1"/>
      <c r="Q829" s="1"/>
      <c r="T829" s="1"/>
      <c r="W829" s="1"/>
      <c r="Y829" s="1"/>
      <c r="AB829" s="3"/>
    </row>
    <row r="830" ht="15.75" customHeight="1">
      <c r="E830" s="1"/>
      <c r="H830" s="1"/>
      <c r="K830" s="1"/>
      <c r="N830" s="1"/>
      <c r="Q830" s="1"/>
      <c r="T830" s="1"/>
      <c r="W830" s="1"/>
      <c r="Y830" s="1"/>
      <c r="AB830" s="3"/>
    </row>
    <row r="831" ht="15.75" customHeight="1">
      <c r="E831" s="1"/>
      <c r="H831" s="1"/>
      <c r="K831" s="1"/>
      <c r="N831" s="1"/>
      <c r="Q831" s="1"/>
      <c r="T831" s="1"/>
      <c r="W831" s="1"/>
      <c r="Y831" s="1"/>
      <c r="AB831" s="3"/>
    </row>
    <row r="832" ht="15.75" customHeight="1">
      <c r="E832" s="1"/>
      <c r="H832" s="1"/>
      <c r="K832" s="1"/>
      <c r="N832" s="1"/>
      <c r="Q832" s="1"/>
      <c r="T832" s="1"/>
      <c r="W832" s="1"/>
      <c r="Y832" s="1"/>
      <c r="AB832" s="3"/>
    </row>
    <row r="833" ht="15.75" customHeight="1">
      <c r="E833" s="1"/>
      <c r="H833" s="1"/>
      <c r="K833" s="1"/>
      <c r="N833" s="1"/>
      <c r="Q833" s="1"/>
      <c r="T833" s="1"/>
      <c r="W833" s="1"/>
      <c r="Y833" s="1"/>
      <c r="AB833" s="3"/>
    </row>
    <row r="834" ht="15.75" customHeight="1">
      <c r="E834" s="1"/>
      <c r="H834" s="1"/>
      <c r="K834" s="1"/>
      <c r="N834" s="1"/>
      <c r="Q834" s="1"/>
      <c r="T834" s="1"/>
      <c r="W834" s="1"/>
      <c r="Y834" s="1"/>
      <c r="AB834" s="3"/>
    </row>
    <row r="835" ht="15.75" customHeight="1">
      <c r="E835" s="1"/>
      <c r="H835" s="1"/>
      <c r="K835" s="1"/>
      <c r="N835" s="1"/>
      <c r="Q835" s="1"/>
      <c r="T835" s="1"/>
      <c r="W835" s="1"/>
      <c r="Y835" s="1"/>
      <c r="AB835" s="3"/>
    </row>
    <row r="836" ht="15.75" customHeight="1">
      <c r="E836" s="1"/>
      <c r="H836" s="1"/>
      <c r="K836" s="1"/>
      <c r="N836" s="1"/>
      <c r="Q836" s="1"/>
      <c r="T836" s="1"/>
      <c r="W836" s="1"/>
      <c r="Y836" s="1"/>
      <c r="AB836" s="3"/>
    </row>
    <row r="837" ht="15.75" customHeight="1">
      <c r="E837" s="1"/>
      <c r="H837" s="1"/>
      <c r="K837" s="1"/>
      <c r="N837" s="1"/>
      <c r="Q837" s="1"/>
      <c r="T837" s="1"/>
      <c r="W837" s="1"/>
      <c r="Y837" s="1"/>
      <c r="AB837" s="3"/>
    </row>
    <row r="838" ht="15.75" customHeight="1">
      <c r="E838" s="1"/>
      <c r="H838" s="1"/>
      <c r="K838" s="1"/>
      <c r="N838" s="1"/>
      <c r="Q838" s="1"/>
      <c r="T838" s="1"/>
      <c r="W838" s="1"/>
      <c r="Y838" s="1"/>
      <c r="AB838" s="3"/>
    </row>
    <row r="839" ht="15.75" customHeight="1">
      <c r="E839" s="1"/>
      <c r="H839" s="1"/>
      <c r="K839" s="1"/>
      <c r="N839" s="1"/>
      <c r="Q839" s="1"/>
      <c r="T839" s="1"/>
      <c r="W839" s="1"/>
      <c r="Y839" s="1"/>
      <c r="AB839" s="3"/>
    </row>
    <row r="840" ht="15.75" customHeight="1">
      <c r="E840" s="1"/>
      <c r="H840" s="1"/>
      <c r="K840" s="1"/>
      <c r="N840" s="1"/>
      <c r="Q840" s="1"/>
      <c r="T840" s="1"/>
      <c r="W840" s="1"/>
      <c r="Y840" s="1"/>
      <c r="AB840" s="3"/>
    </row>
    <row r="841" ht="15.75" customHeight="1">
      <c r="E841" s="1"/>
      <c r="H841" s="1"/>
      <c r="K841" s="1"/>
      <c r="N841" s="1"/>
      <c r="Q841" s="1"/>
      <c r="T841" s="1"/>
      <c r="W841" s="1"/>
      <c r="Y841" s="1"/>
      <c r="AB841" s="3"/>
    </row>
    <row r="842" ht="15.75" customHeight="1">
      <c r="E842" s="1"/>
      <c r="H842" s="1"/>
      <c r="K842" s="1"/>
      <c r="N842" s="1"/>
      <c r="Q842" s="1"/>
      <c r="T842" s="1"/>
      <c r="W842" s="1"/>
      <c r="Y842" s="1"/>
      <c r="AB842" s="3"/>
    </row>
    <row r="843" ht="15.75" customHeight="1">
      <c r="E843" s="1"/>
      <c r="H843" s="1"/>
      <c r="K843" s="1"/>
      <c r="N843" s="1"/>
      <c r="Q843" s="1"/>
      <c r="T843" s="1"/>
      <c r="W843" s="1"/>
      <c r="Y843" s="1"/>
      <c r="AB843" s="3"/>
    </row>
    <row r="844" ht="15.75" customHeight="1">
      <c r="E844" s="1"/>
      <c r="H844" s="1"/>
      <c r="K844" s="1"/>
      <c r="N844" s="1"/>
      <c r="Q844" s="1"/>
      <c r="T844" s="1"/>
      <c r="W844" s="1"/>
      <c r="Y844" s="1"/>
      <c r="AB844" s="3"/>
    </row>
    <row r="845" ht="15.75" customHeight="1">
      <c r="E845" s="1"/>
      <c r="H845" s="1"/>
      <c r="K845" s="1"/>
      <c r="N845" s="1"/>
      <c r="Q845" s="1"/>
      <c r="T845" s="1"/>
      <c r="W845" s="1"/>
      <c r="Y845" s="1"/>
      <c r="AB845" s="3"/>
    </row>
    <row r="846" ht="15.75" customHeight="1">
      <c r="E846" s="1"/>
      <c r="H846" s="1"/>
      <c r="K846" s="1"/>
      <c r="N846" s="1"/>
      <c r="Q846" s="1"/>
      <c r="T846" s="1"/>
      <c r="W846" s="1"/>
      <c r="Y846" s="1"/>
      <c r="AB846" s="3"/>
    </row>
    <row r="847" ht="15.75" customHeight="1">
      <c r="E847" s="1"/>
      <c r="H847" s="1"/>
      <c r="K847" s="1"/>
      <c r="N847" s="1"/>
      <c r="Q847" s="1"/>
      <c r="T847" s="1"/>
      <c r="W847" s="1"/>
      <c r="Y847" s="1"/>
      <c r="AB847" s="3"/>
    </row>
    <row r="848" ht="15.75" customHeight="1">
      <c r="E848" s="1"/>
      <c r="H848" s="1"/>
      <c r="K848" s="1"/>
      <c r="N848" s="1"/>
      <c r="Q848" s="1"/>
      <c r="T848" s="1"/>
      <c r="W848" s="1"/>
      <c r="Y848" s="1"/>
      <c r="AB848" s="3"/>
    </row>
    <row r="849" ht="15.75" customHeight="1">
      <c r="E849" s="1"/>
      <c r="H849" s="1"/>
      <c r="K849" s="1"/>
      <c r="N849" s="1"/>
      <c r="Q849" s="1"/>
      <c r="T849" s="1"/>
      <c r="W849" s="1"/>
      <c r="Y849" s="1"/>
      <c r="AB849" s="3"/>
    </row>
    <row r="850" ht="15.75" customHeight="1">
      <c r="E850" s="1"/>
      <c r="H850" s="1"/>
      <c r="K850" s="1"/>
      <c r="N850" s="1"/>
      <c r="Q850" s="1"/>
      <c r="T850" s="1"/>
      <c r="W850" s="1"/>
      <c r="Y850" s="1"/>
      <c r="AB850" s="3"/>
    </row>
    <row r="851" ht="15.75" customHeight="1">
      <c r="E851" s="1"/>
      <c r="H851" s="1"/>
      <c r="K851" s="1"/>
      <c r="N851" s="1"/>
      <c r="Q851" s="1"/>
      <c r="T851" s="1"/>
      <c r="W851" s="1"/>
      <c r="Y851" s="1"/>
      <c r="AB851" s="3"/>
    </row>
    <row r="852" ht="15.75" customHeight="1">
      <c r="E852" s="1"/>
      <c r="H852" s="1"/>
      <c r="K852" s="1"/>
      <c r="N852" s="1"/>
      <c r="Q852" s="1"/>
      <c r="T852" s="1"/>
      <c r="W852" s="1"/>
      <c r="Y852" s="1"/>
      <c r="AB852" s="3"/>
    </row>
    <row r="853" ht="15.75" customHeight="1">
      <c r="E853" s="1"/>
      <c r="H853" s="1"/>
      <c r="K853" s="1"/>
      <c r="N853" s="1"/>
      <c r="Q853" s="1"/>
      <c r="T853" s="1"/>
      <c r="W853" s="1"/>
      <c r="Y853" s="1"/>
      <c r="AB853" s="3"/>
    </row>
    <row r="854" ht="15.75" customHeight="1">
      <c r="E854" s="1"/>
      <c r="H854" s="1"/>
      <c r="K854" s="1"/>
      <c r="N854" s="1"/>
      <c r="Q854" s="1"/>
      <c r="T854" s="1"/>
      <c r="W854" s="1"/>
      <c r="Y854" s="1"/>
      <c r="AB854" s="3"/>
    </row>
    <row r="855" ht="15.75" customHeight="1">
      <c r="E855" s="1"/>
      <c r="H855" s="1"/>
      <c r="K855" s="1"/>
      <c r="N855" s="1"/>
      <c r="Q855" s="1"/>
      <c r="T855" s="1"/>
      <c r="W855" s="1"/>
      <c r="Y855" s="1"/>
      <c r="AB855" s="3"/>
    </row>
    <row r="856" ht="15.75" customHeight="1">
      <c r="E856" s="1"/>
      <c r="H856" s="1"/>
      <c r="K856" s="1"/>
      <c r="N856" s="1"/>
      <c r="Q856" s="1"/>
      <c r="T856" s="1"/>
      <c r="W856" s="1"/>
      <c r="Y856" s="1"/>
      <c r="AB856" s="3"/>
    </row>
    <row r="857" ht="15.75" customHeight="1">
      <c r="E857" s="1"/>
      <c r="H857" s="1"/>
      <c r="K857" s="1"/>
      <c r="N857" s="1"/>
      <c r="Q857" s="1"/>
      <c r="T857" s="1"/>
      <c r="W857" s="1"/>
      <c r="Y857" s="1"/>
      <c r="AB857" s="3"/>
    </row>
    <row r="858" ht="15.75" customHeight="1">
      <c r="E858" s="1"/>
      <c r="H858" s="1"/>
      <c r="K858" s="1"/>
      <c r="N858" s="1"/>
      <c r="Q858" s="1"/>
      <c r="T858" s="1"/>
      <c r="W858" s="1"/>
      <c r="Y858" s="1"/>
      <c r="AB858" s="3"/>
    </row>
    <row r="859" ht="15.75" customHeight="1">
      <c r="E859" s="1"/>
      <c r="H859" s="1"/>
      <c r="K859" s="1"/>
      <c r="N859" s="1"/>
      <c r="Q859" s="1"/>
      <c r="T859" s="1"/>
      <c r="W859" s="1"/>
      <c r="Y859" s="1"/>
      <c r="AB859" s="3"/>
    </row>
    <row r="860" ht="15.75" customHeight="1">
      <c r="E860" s="1"/>
      <c r="H860" s="1"/>
      <c r="K860" s="1"/>
      <c r="N860" s="1"/>
      <c r="Q860" s="1"/>
      <c r="T860" s="1"/>
      <c r="W860" s="1"/>
      <c r="Y860" s="1"/>
      <c r="AB860" s="3"/>
    </row>
    <row r="861" ht="15.75" customHeight="1">
      <c r="E861" s="1"/>
      <c r="H861" s="1"/>
      <c r="K861" s="1"/>
      <c r="N861" s="1"/>
      <c r="Q861" s="1"/>
      <c r="T861" s="1"/>
      <c r="W861" s="1"/>
      <c r="Y861" s="1"/>
      <c r="AB861" s="3"/>
    </row>
    <row r="862" ht="15.75" customHeight="1">
      <c r="E862" s="1"/>
      <c r="H862" s="1"/>
      <c r="K862" s="1"/>
      <c r="N862" s="1"/>
      <c r="Q862" s="1"/>
      <c r="T862" s="1"/>
      <c r="W862" s="1"/>
      <c r="Y862" s="1"/>
      <c r="AB862" s="3"/>
    </row>
    <row r="863" ht="15.75" customHeight="1">
      <c r="E863" s="1"/>
      <c r="H863" s="1"/>
      <c r="K863" s="1"/>
      <c r="N863" s="1"/>
      <c r="Q863" s="1"/>
      <c r="T863" s="1"/>
      <c r="W863" s="1"/>
      <c r="Y863" s="1"/>
      <c r="AB863" s="3"/>
    </row>
    <row r="864" ht="15.75" customHeight="1">
      <c r="E864" s="1"/>
      <c r="H864" s="1"/>
      <c r="K864" s="1"/>
      <c r="N864" s="1"/>
      <c r="Q864" s="1"/>
      <c r="T864" s="1"/>
      <c r="W864" s="1"/>
      <c r="Y864" s="1"/>
      <c r="AB864" s="3"/>
    </row>
    <row r="865" ht="15.75" customHeight="1">
      <c r="E865" s="1"/>
      <c r="H865" s="1"/>
      <c r="K865" s="1"/>
      <c r="N865" s="1"/>
      <c r="Q865" s="1"/>
      <c r="T865" s="1"/>
      <c r="W865" s="1"/>
      <c r="Y865" s="1"/>
      <c r="AB865" s="3"/>
    </row>
    <row r="866" ht="15.75" customHeight="1">
      <c r="E866" s="1"/>
      <c r="H866" s="1"/>
      <c r="K866" s="1"/>
      <c r="N866" s="1"/>
      <c r="Q866" s="1"/>
      <c r="T866" s="1"/>
      <c r="W866" s="1"/>
      <c r="Y866" s="1"/>
      <c r="AB866" s="3"/>
    </row>
    <row r="867" ht="15.75" customHeight="1">
      <c r="E867" s="1"/>
      <c r="H867" s="1"/>
      <c r="K867" s="1"/>
      <c r="N867" s="1"/>
      <c r="Q867" s="1"/>
      <c r="T867" s="1"/>
      <c r="W867" s="1"/>
      <c r="Y867" s="1"/>
      <c r="AB867" s="3"/>
    </row>
    <row r="868" ht="15.75" customHeight="1">
      <c r="E868" s="1"/>
      <c r="H868" s="1"/>
      <c r="K868" s="1"/>
      <c r="N868" s="1"/>
      <c r="Q868" s="1"/>
      <c r="T868" s="1"/>
      <c r="W868" s="1"/>
      <c r="Y868" s="1"/>
      <c r="AB868" s="3"/>
    </row>
    <row r="869" ht="15.75" customHeight="1">
      <c r="E869" s="1"/>
      <c r="H869" s="1"/>
      <c r="K869" s="1"/>
      <c r="N869" s="1"/>
      <c r="Q869" s="1"/>
      <c r="T869" s="1"/>
      <c r="W869" s="1"/>
      <c r="Y869" s="1"/>
      <c r="AB869" s="3"/>
    </row>
    <row r="870" ht="15.75" customHeight="1">
      <c r="E870" s="1"/>
      <c r="H870" s="1"/>
      <c r="K870" s="1"/>
      <c r="N870" s="1"/>
      <c r="Q870" s="1"/>
      <c r="T870" s="1"/>
      <c r="W870" s="1"/>
      <c r="Y870" s="1"/>
      <c r="AB870" s="3"/>
    </row>
    <row r="871" ht="15.75" customHeight="1">
      <c r="E871" s="1"/>
      <c r="H871" s="1"/>
      <c r="K871" s="1"/>
      <c r="N871" s="1"/>
      <c r="Q871" s="1"/>
      <c r="T871" s="1"/>
      <c r="W871" s="1"/>
      <c r="Y871" s="1"/>
      <c r="AB871" s="3"/>
    </row>
    <row r="872" ht="15.75" customHeight="1">
      <c r="E872" s="1"/>
      <c r="H872" s="1"/>
      <c r="K872" s="1"/>
      <c r="N872" s="1"/>
      <c r="Q872" s="1"/>
      <c r="T872" s="1"/>
      <c r="W872" s="1"/>
      <c r="Y872" s="1"/>
      <c r="AB872" s="3"/>
    </row>
    <row r="873" ht="15.75" customHeight="1">
      <c r="E873" s="1"/>
      <c r="H873" s="1"/>
      <c r="K873" s="1"/>
      <c r="N873" s="1"/>
      <c r="Q873" s="1"/>
      <c r="T873" s="1"/>
      <c r="W873" s="1"/>
      <c r="Y873" s="1"/>
      <c r="AB873" s="3"/>
    </row>
    <row r="874" ht="15.75" customHeight="1">
      <c r="E874" s="1"/>
      <c r="H874" s="1"/>
      <c r="K874" s="1"/>
      <c r="N874" s="1"/>
      <c r="Q874" s="1"/>
      <c r="T874" s="1"/>
      <c r="W874" s="1"/>
      <c r="Y874" s="1"/>
      <c r="AB874" s="3"/>
    </row>
    <row r="875" ht="15.75" customHeight="1">
      <c r="E875" s="1"/>
      <c r="H875" s="1"/>
      <c r="K875" s="1"/>
      <c r="N875" s="1"/>
      <c r="Q875" s="1"/>
      <c r="T875" s="1"/>
      <c r="W875" s="1"/>
      <c r="Y875" s="1"/>
      <c r="AB875" s="3"/>
    </row>
    <row r="876" ht="15.75" customHeight="1">
      <c r="E876" s="1"/>
      <c r="H876" s="1"/>
      <c r="K876" s="1"/>
      <c r="N876" s="1"/>
      <c r="Q876" s="1"/>
      <c r="T876" s="1"/>
      <c r="W876" s="1"/>
      <c r="Y876" s="1"/>
      <c r="AB876" s="3"/>
    </row>
    <row r="877" ht="15.75" customHeight="1">
      <c r="E877" s="1"/>
      <c r="H877" s="1"/>
      <c r="K877" s="1"/>
      <c r="N877" s="1"/>
      <c r="Q877" s="1"/>
      <c r="T877" s="1"/>
      <c r="W877" s="1"/>
      <c r="Y877" s="1"/>
      <c r="AB877" s="3"/>
    </row>
    <row r="878" ht="15.75" customHeight="1">
      <c r="E878" s="1"/>
      <c r="H878" s="1"/>
      <c r="K878" s="1"/>
      <c r="N878" s="1"/>
      <c r="Q878" s="1"/>
      <c r="T878" s="1"/>
      <c r="W878" s="1"/>
      <c r="Y878" s="1"/>
      <c r="AB878" s="3"/>
    </row>
    <row r="879" ht="15.75" customHeight="1">
      <c r="E879" s="1"/>
      <c r="H879" s="1"/>
      <c r="K879" s="1"/>
      <c r="N879" s="1"/>
      <c r="Q879" s="1"/>
      <c r="T879" s="1"/>
      <c r="W879" s="1"/>
      <c r="Y879" s="1"/>
      <c r="AB879" s="3"/>
    </row>
    <row r="880" ht="15.75" customHeight="1">
      <c r="E880" s="1"/>
      <c r="H880" s="1"/>
      <c r="K880" s="1"/>
      <c r="N880" s="1"/>
      <c r="Q880" s="1"/>
      <c r="T880" s="1"/>
      <c r="W880" s="1"/>
      <c r="Y880" s="1"/>
      <c r="AB880" s="3"/>
    </row>
    <row r="881" ht="15.75" customHeight="1">
      <c r="E881" s="1"/>
      <c r="H881" s="1"/>
      <c r="K881" s="1"/>
      <c r="N881" s="1"/>
      <c r="Q881" s="1"/>
      <c r="T881" s="1"/>
      <c r="W881" s="1"/>
      <c r="Y881" s="1"/>
      <c r="AB881" s="3"/>
    </row>
    <row r="882" ht="15.75" customHeight="1">
      <c r="E882" s="1"/>
      <c r="H882" s="1"/>
      <c r="K882" s="1"/>
      <c r="N882" s="1"/>
      <c r="Q882" s="1"/>
      <c r="T882" s="1"/>
      <c r="W882" s="1"/>
      <c r="Y882" s="1"/>
      <c r="AB882" s="3"/>
    </row>
    <row r="883" ht="15.75" customHeight="1">
      <c r="E883" s="1"/>
      <c r="H883" s="1"/>
      <c r="K883" s="1"/>
      <c r="N883" s="1"/>
      <c r="Q883" s="1"/>
      <c r="T883" s="1"/>
      <c r="W883" s="1"/>
      <c r="Y883" s="1"/>
      <c r="AB883" s="3"/>
    </row>
    <row r="884" ht="15.75" customHeight="1">
      <c r="E884" s="1"/>
      <c r="H884" s="1"/>
      <c r="K884" s="1"/>
      <c r="N884" s="1"/>
      <c r="Q884" s="1"/>
      <c r="T884" s="1"/>
      <c r="W884" s="1"/>
      <c r="Y884" s="1"/>
      <c r="AB884" s="3"/>
    </row>
    <row r="885" ht="15.75" customHeight="1">
      <c r="E885" s="1"/>
      <c r="H885" s="1"/>
      <c r="K885" s="1"/>
      <c r="N885" s="1"/>
      <c r="Q885" s="1"/>
      <c r="T885" s="1"/>
      <c r="W885" s="1"/>
      <c r="Y885" s="1"/>
      <c r="AB885" s="3"/>
    </row>
    <row r="886" ht="15.75" customHeight="1">
      <c r="E886" s="1"/>
      <c r="H886" s="1"/>
      <c r="K886" s="1"/>
      <c r="N886" s="1"/>
      <c r="Q886" s="1"/>
      <c r="T886" s="1"/>
      <c r="W886" s="1"/>
      <c r="Y886" s="1"/>
      <c r="AB886" s="3"/>
    </row>
    <row r="887" ht="15.75" customHeight="1">
      <c r="E887" s="1"/>
      <c r="H887" s="1"/>
      <c r="K887" s="1"/>
      <c r="N887" s="1"/>
      <c r="Q887" s="1"/>
      <c r="T887" s="1"/>
      <c r="W887" s="1"/>
      <c r="Y887" s="1"/>
      <c r="AB887" s="3"/>
    </row>
    <row r="888" ht="15.75" customHeight="1">
      <c r="E888" s="1"/>
      <c r="H888" s="1"/>
      <c r="K888" s="1"/>
      <c r="N888" s="1"/>
      <c r="Q888" s="1"/>
      <c r="T888" s="1"/>
      <c r="W888" s="1"/>
      <c r="Y888" s="1"/>
      <c r="AB888" s="3"/>
    </row>
    <row r="889" ht="15.75" customHeight="1">
      <c r="E889" s="1"/>
      <c r="H889" s="1"/>
      <c r="K889" s="1"/>
      <c r="N889" s="1"/>
      <c r="Q889" s="1"/>
      <c r="T889" s="1"/>
      <c r="W889" s="1"/>
      <c r="Y889" s="1"/>
      <c r="AB889" s="3"/>
    </row>
    <row r="890" ht="15.75" customHeight="1">
      <c r="E890" s="1"/>
      <c r="H890" s="1"/>
      <c r="K890" s="1"/>
      <c r="N890" s="1"/>
      <c r="Q890" s="1"/>
      <c r="T890" s="1"/>
      <c r="W890" s="1"/>
      <c r="Y890" s="1"/>
      <c r="AB890" s="3"/>
    </row>
    <row r="891" ht="15.75" customHeight="1">
      <c r="E891" s="1"/>
      <c r="H891" s="1"/>
      <c r="K891" s="1"/>
      <c r="N891" s="1"/>
      <c r="Q891" s="1"/>
      <c r="T891" s="1"/>
      <c r="W891" s="1"/>
      <c r="Y891" s="1"/>
      <c r="AB891" s="3"/>
    </row>
    <row r="892" ht="15.75" customHeight="1">
      <c r="E892" s="1"/>
      <c r="H892" s="1"/>
      <c r="K892" s="1"/>
      <c r="N892" s="1"/>
      <c r="Q892" s="1"/>
      <c r="T892" s="1"/>
      <c r="W892" s="1"/>
      <c r="Y892" s="1"/>
      <c r="AB892" s="3"/>
    </row>
    <row r="893" ht="15.75" customHeight="1">
      <c r="E893" s="1"/>
      <c r="H893" s="1"/>
      <c r="K893" s="1"/>
      <c r="N893" s="1"/>
      <c r="Q893" s="1"/>
      <c r="T893" s="1"/>
      <c r="W893" s="1"/>
      <c r="Y893" s="1"/>
      <c r="AB893" s="3"/>
    </row>
    <row r="894" ht="15.75" customHeight="1">
      <c r="E894" s="1"/>
      <c r="H894" s="1"/>
      <c r="K894" s="1"/>
      <c r="N894" s="1"/>
      <c r="Q894" s="1"/>
      <c r="T894" s="1"/>
      <c r="W894" s="1"/>
      <c r="Y894" s="1"/>
      <c r="AB894" s="3"/>
    </row>
    <row r="895" ht="15.75" customHeight="1">
      <c r="E895" s="1"/>
      <c r="H895" s="1"/>
      <c r="K895" s="1"/>
      <c r="N895" s="1"/>
      <c r="Q895" s="1"/>
      <c r="T895" s="1"/>
      <c r="W895" s="1"/>
      <c r="Y895" s="1"/>
      <c r="AB895" s="3"/>
    </row>
    <row r="896" ht="15.75" customHeight="1">
      <c r="E896" s="1"/>
      <c r="H896" s="1"/>
      <c r="K896" s="1"/>
      <c r="N896" s="1"/>
      <c r="Q896" s="1"/>
      <c r="T896" s="1"/>
      <c r="W896" s="1"/>
      <c r="Y896" s="1"/>
      <c r="AB896" s="3"/>
    </row>
    <row r="897" ht="15.75" customHeight="1">
      <c r="E897" s="1"/>
      <c r="H897" s="1"/>
      <c r="K897" s="1"/>
      <c r="N897" s="1"/>
      <c r="Q897" s="1"/>
      <c r="T897" s="1"/>
      <c r="W897" s="1"/>
      <c r="Y897" s="1"/>
      <c r="AB897" s="3"/>
    </row>
    <row r="898" ht="15.75" customHeight="1">
      <c r="E898" s="1"/>
      <c r="H898" s="1"/>
      <c r="K898" s="1"/>
      <c r="N898" s="1"/>
      <c r="Q898" s="1"/>
      <c r="T898" s="1"/>
      <c r="W898" s="1"/>
      <c r="Y898" s="1"/>
      <c r="AB898" s="3"/>
    </row>
    <row r="899" ht="15.75" customHeight="1">
      <c r="E899" s="1"/>
      <c r="H899" s="1"/>
      <c r="K899" s="1"/>
      <c r="N899" s="1"/>
      <c r="Q899" s="1"/>
      <c r="T899" s="1"/>
      <c r="W899" s="1"/>
      <c r="Y899" s="1"/>
      <c r="AB899" s="3"/>
    </row>
    <row r="900" ht="15.75" customHeight="1">
      <c r="E900" s="1"/>
      <c r="H900" s="1"/>
      <c r="K900" s="1"/>
      <c r="N900" s="1"/>
      <c r="Q900" s="1"/>
      <c r="T900" s="1"/>
      <c r="W900" s="1"/>
      <c r="Y900" s="1"/>
      <c r="AB900" s="3"/>
    </row>
    <row r="901" ht="15.75" customHeight="1">
      <c r="E901" s="1"/>
      <c r="H901" s="1"/>
      <c r="K901" s="1"/>
      <c r="N901" s="1"/>
      <c r="Q901" s="1"/>
      <c r="T901" s="1"/>
      <c r="W901" s="1"/>
      <c r="Y901" s="1"/>
      <c r="AB901" s="3"/>
    </row>
    <row r="902" ht="15.75" customHeight="1">
      <c r="E902" s="1"/>
      <c r="H902" s="1"/>
      <c r="K902" s="1"/>
      <c r="N902" s="1"/>
      <c r="Q902" s="1"/>
      <c r="T902" s="1"/>
      <c r="W902" s="1"/>
      <c r="Y902" s="1"/>
      <c r="AB902" s="3"/>
    </row>
    <row r="903" ht="15.75" customHeight="1">
      <c r="E903" s="1"/>
      <c r="H903" s="1"/>
      <c r="K903" s="1"/>
      <c r="N903" s="1"/>
      <c r="Q903" s="1"/>
      <c r="T903" s="1"/>
      <c r="W903" s="1"/>
      <c r="Y903" s="1"/>
      <c r="AB903" s="3"/>
    </row>
    <row r="904" ht="15.75" customHeight="1">
      <c r="E904" s="1"/>
      <c r="H904" s="1"/>
      <c r="K904" s="1"/>
      <c r="N904" s="1"/>
      <c r="Q904" s="1"/>
      <c r="T904" s="1"/>
      <c r="W904" s="1"/>
      <c r="Y904" s="1"/>
      <c r="AB904" s="3"/>
    </row>
    <row r="905" ht="15.75" customHeight="1">
      <c r="E905" s="1"/>
      <c r="H905" s="1"/>
      <c r="K905" s="1"/>
      <c r="N905" s="1"/>
      <c r="Q905" s="1"/>
      <c r="T905" s="1"/>
      <c r="W905" s="1"/>
      <c r="Y905" s="1"/>
      <c r="AB905" s="3"/>
    </row>
    <row r="906" ht="15.75" customHeight="1">
      <c r="E906" s="1"/>
      <c r="H906" s="1"/>
      <c r="K906" s="1"/>
      <c r="N906" s="1"/>
      <c r="Q906" s="1"/>
      <c r="T906" s="1"/>
      <c r="W906" s="1"/>
      <c r="Y906" s="1"/>
      <c r="AB906" s="3"/>
    </row>
    <row r="907" ht="15.75" customHeight="1">
      <c r="E907" s="1"/>
      <c r="H907" s="1"/>
      <c r="K907" s="1"/>
      <c r="N907" s="1"/>
      <c r="Q907" s="1"/>
      <c r="T907" s="1"/>
      <c r="W907" s="1"/>
      <c r="Y907" s="1"/>
      <c r="AB907" s="3"/>
    </row>
    <row r="908" ht="15.75" customHeight="1">
      <c r="E908" s="1"/>
      <c r="H908" s="1"/>
      <c r="K908" s="1"/>
      <c r="N908" s="1"/>
      <c r="Q908" s="1"/>
      <c r="T908" s="1"/>
      <c r="W908" s="1"/>
      <c r="Y908" s="1"/>
      <c r="AB908" s="3"/>
    </row>
    <row r="909" ht="15.75" customHeight="1">
      <c r="E909" s="1"/>
      <c r="H909" s="1"/>
      <c r="K909" s="1"/>
      <c r="N909" s="1"/>
      <c r="Q909" s="1"/>
      <c r="T909" s="1"/>
      <c r="W909" s="1"/>
      <c r="Y909" s="1"/>
      <c r="AB909" s="3"/>
    </row>
    <row r="910" ht="15.75" customHeight="1">
      <c r="E910" s="1"/>
      <c r="H910" s="1"/>
      <c r="K910" s="1"/>
      <c r="N910" s="1"/>
      <c r="Q910" s="1"/>
      <c r="T910" s="1"/>
      <c r="W910" s="1"/>
      <c r="Y910" s="1"/>
      <c r="AB910" s="3"/>
    </row>
    <row r="911" ht="15.75" customHeight="1">
      <c r="E911" s="1"/>
      <c r="H911" s="1"/>
      <c r="K911" s="1"/>
      <c r="N911" s="1"/>
      <c r="Q911" s="1"/>
      <c r="T911" s="1"/>
      <c r="W911" s="1"/>
      <c r="Y911" s="1"/>
      <c r="AB911" s="3"/>
    </row>
    <row r="912" ht="15.75" customHeight="1">
      <c r="E912" s="1"/>
      <c r="H912" s="1"/>
      <c r="K912" s="1"/>
      <c r="N912" s="1"/>
      <c r="Q912" s="1"/>
      <c r="T912" s="1"/>
      <c r="W912" s="1"/>
      <c r="Y912" s="1"/>
      <c r="AB912" s="3"/>
    </row>
    <row r="913" ht="15.75" customHeight="1">
      <c r="E913" s="1"/>
      <c r="H913" s="1"/>
      <c r="K913" s="1"/>
      <c r="N913" s="1"/>
      <c r="Q913" s="1"/>
      <c r="T913" s="1"/>
      <c r="W913" s="1"/>
      <c r="Y913" s="1"/>
      <c r="AB913" s="3"/>
    </row>
    <row r="914" ht="15.75" customHeight="1">
      <c r="E914" s="1"/>
      <c r="H914" s="1"/>
      <c r="K914" s="1"/>
      <c r="N914" s="1"/>
      <c r="Q914" s="1"/>
      <c r="T914" s="1"/>
      <c r="W914" s="1"/>
      <c r="Y914" s="1"/>
      <c r="AB914" s="3"/>
    </row>
    <row r="915" ht="15.75" customHeight="1">
      <c r="E915" s="1"/>
      <c r="H915" s="1"/>
      <c r="K915" s="1"/>
      <c r="N915" s="1"/>
      <c r="Q915" s="1"/>
      <c r="T915" s="1"/>
      <c r="W915" s="1"/>
      <c r="Y915" s="1"/>
      <c r="AB915" s="3"/>
    </row>
    <row r="916" ht="15.75" customHeight="1">
      <c r="E916" s="1"/>
      <c r="H916" s="1"/>
      <c r="K916" s="1"/>
      <c r="N916" s="1"/>
      <c r="Q916" s="1"/>
      <c r="T916" s="1"/>
      <c r="W916" s="1"/>
      <c r="Y916" s="1"/>
      <c r="AB916" s="3"/>
    </row>
    <row r="917" ht="15.75" customHeight="1">
      <c r="E917" s="1"/>
      <c r="H917" s="1"/>
      <c r="K917" s="1"/>
      <c r="N917" s="1"/>
      <c r="Q917" s="1"/>
      <c r="T917" s="1"/>
      <c r="W917" s="1"/>
      <c r="Y917" s="1"/>
      <c r="AB917" s="3"/>
    </row>
    <row r="918" ht="15.75" customHeight="1">
      <c r="E918" s="1"/>
      <c r="H918" s="1"/>
      <c r="K918" s="1"/>
      <c r="N918" s="1"/>
      <c r="Q918" s="1"/>
      <c r="T918" s="1"/>
      <c r="W918" s="1"/>
      <c r="Y918" s="1"/>
      <c r="AB918" s="3"/>
    </row>
    <row r="919" ht="15.75" customHeight="1">
      <c r="E919" s="1"/>
      <c r="H919" s="1"/>
      <c r="K919" s="1"/>
      <c r="N919" s="1"/>
      <c r="Q919" s="1"/>
      <c r="T919" s="1"/>
      <c r="W919" s="1"/>
      <c r="Y919" s="1"/>
      <c r="AB919" s="3"/>
    </row>
    <row r="920" ht="15.75" customHeight="1">
      <c r="E920" s="1"/>
      <c r="H920" s="1"/>
      <c r="K920" s="1"/>
      <c r="N920" s="1"/>
      <c r="Q920" s="1"/>
      <c r="T920" s="1"/>
      <c r="W920" s="1"/>
      <c r="Y920" s="1"/>
      <c r="AB920" s="3"/>
    </row>
    <row r="921" ht="15.75" customHeight="1">
      <c r="E921" s="1"/>
      <c r="H921" s="1"/>
      <c r="K921" s="1"/>
      <c r="N921" s="1"/>
      <c r="Q921" s="1"/>
      <c r="T921" s="1"/>
      <c r="W921" s="1"/>
      <c r="Y921" s="1"/>
      <c r="AB921" s="3"/>
    </row>
    <row r="922" ht="15.75" customHeight="1">
      <c r="E922" s="1"/>
      <c r="H922" s="1"/>
      <c r="K922" s="1"/>
      <c r="N922" s="1"/>
      <c r="Q922" s="1"/>
      <c r="T922" s="1"/>
      <c r="W922" s="1"/>
      <c r="Y922" s="1"/>
      <c r="AB922" s="3"/>
    </row>
    <row r="923" ht="15.75" customHeight="1">
      <c r="E923" s="1"/>
      <c r="H923" s="1"/>
      <c r="K923" s="1"/>
      <c r="N923" s="1"/>
      <c r="Q923" s="1"/>
      <c r="T923" s="1"/>
      <c r="W923" s="1"/>
      <c r="Y923" s="1"/>
      <c r="AB923" s="3"/>
    </row>
    <row r="924" ht="15.75" customHeight="1">
      <c r="E924" s="1"/>
      <c r="H924" s="1"/>
      <c r="K924" s="1"/>
      <c r="N924" s="1"/>
      <c r="Q924" s="1"/>
      <c r="T924" s="1"/>
      <c r="W924" s="1"/>
      <c r="Y924" s="1"/>
      <c r="AB924" s="3"/>
    </row>
    <row r="925" ht="15.75" customHeight="1">
      <c r="E925" s="1"/>
      <c r="H925" s="1"/>
      <c r="K925" s="1"/>
      <c r="N925" s="1"/>
      <c r="Q925" s="1"/>
      <c r="T925" s="1"/>
      <c r="W925" s="1"/>
      <c r="Y925" s="1"/>
      <c r="AB925" s="3"/>
    </row>
    <row r="926" ht="15.75" customHeight="1">
      <c r="E926" s="1"/>
      <c r="H926" s="1"/>
      <c r="K926" s="1"/>
      <c r="N926" s="1"/>
      <c r="Q926" s="1"/>
      <c r="T926" s="1"/>
      <c r="W926" s="1"/>
      <c r="Y926" s="1"/>
      <c r="AB926" s="3"/>
    </row>
    <row r="927" ht="15.75" customHeight="1">
      <c r="E927" s="1"/>
      <c r="H927" s="1"/>
      <c r="K927" s="1"/>
      <c r="N927" s="1"/>
      <c r="Q927" s="1"/>
      <c r="T927" s="1"/>
      <c r="W927" s="1"/>
      <c r="Y927" s="1"/>
      <c r="AB927" s="3"/>
    </row>
    <row r="928" ht="15.75" customHeight="1">
      <c r="E928" s="1"/>
      <c r="H928" s="1"/>
      <c r="K928" s="1"/>
      <c r="N928" s="1"/>
      <c r="Q928" s="1"/>
      <c r="T928" s="1"/>
      <c r="W928" s="1"/>
      <c r="Y928" s="1"/>
      <c r="AB928" s="3"/>
    </row>
    <row r="929" ht="15.75" customHeight="1">
      <c r="E929" s="1"/>
      <c r="H929" s="1"/>
      <c r="K929" s="1"/>
      <c r="N929" s="1"/>
      <c r="Q929" s="1"/>
      <c r="T929" s="1"/>
      <c r="W929" s="1"/>
      <c r="Y929" s="1"/>
      <c r="AB929" s="3"/>
    </row>
    <row r="930" ht="15.75" customHeight="1">
      <c r="E930" s="1"/>
      <c r="H930" s="1"/>
      <c r="K930" s="1"/>
      <c r="N930" s="1"/>
      <c r="Q930" s="1"/>
      <c r="T930" s="1"/>
      <c r="W930" s="1"/>
      <c r="Y930" s="1"/>
      <c r="AB930" s="3"/>
    </row>
    <row r="931" ht="15.75" customHeight="1">
      <c r="E931" s="1"/>
      <c r="H931" s="1"/>
      <c r="K931" s="1"/>
      <c r="N931" s="1"/>
      <c r="Q931" s="1"/>
      <c r="T931" s="1"/>
      <c r="W931" s="1"/>
      <c r="Y931" s="1"/>
      <c r="AB931" s="3"/>
    </row>
    <row r="932" ht="15.75" customHeight="1">
      <c r="E932" s="1"/>
      <c r="H932" s="1"/>
      <c r="K932" s="1"/>
      <c r="N932" s="1"/>
      <c r="Q932" s="1"/>
      <c r="T932" s="1"/>
      <c r="W932" s="1"/>
      <c r="Y932" s="1"/>
      <c r="AB932" s="3"/>
    </row>
    <row r="933" ht="15.75" customHeight="1">
      <c r="E933" s="1"/>
      <c r="H933" s="1"/>
      <c r="K933" s="1"/>
      <c r="N933" s="1"/>
      <c r="Q933" s="1"/>
      <c r="T933" s="1"/>
      <c r="W933" s="1"/>
      <c r="Y933" s="1"/>
      <c r="AB933" s="3"/>
    </row>
    <row r="934" ht="15.75" customHeight="1">
      <c r="E934" s="1"/>
      <c r="H934" s="1"/>
      <c r="K934" s="1"/>
      <c r="N934" s="1"/>
      <c r="Q934" s="1"/>
      <c r="T934" s="1"/>
      <c r="W934" s="1"/>
      <c r="Y934" s="1"/>
      <c r="AB934" s="3"/>
    </row>
    <row r="935" ht="15.75" customHeight="1">
      <c r="E935" s="1"/>
      <c r="H935" s="1"/>
      <c r="K935" s="1"/>
      <c r="N935" s="1"/>
      <c r="Q935" s="1"/>
      <c r="T935" s="1"/>
      <c r="W935" s="1"/>
      <c r="Y935" s="1"/>
      <c r="AB935" s="3"/>
    </row>
    <row r="936" ht="15.75" customHeight="1">
      <c r="E936" s="1"/>
      <c r="H936" s="1"/>
      <c r="K936" s="1"/>
      <c r="N936" s="1"/>
      <c r="Q936" s="1"/>
      <c r="T936" s="1"/>
      <c r="W936" s="1"/>
      <c r="Y936" s="1"/>
      <c r="AB936" s="3"/>
    </row>
    <row r="937" ht="15.75" customHeight="1">
      <c r="E937" s="1"/>
      <c r="H937" s="1"/>
      <c r="K937" s="1"/>
      <c r="N937" s="1"/>
      <c r="Q937" s="1"/>
      <c r="T937" s="1"/>
      <c r="W937" s="1"/>
      <c r="Y937" s="1"/>
      <c r="AB937" s="3"/>
    </row>
    <row r="938" ht="15.75" customHeight="1">
      <c r="E938" s="1"/>
      <c r="H938" s="1"/>
      <c r="K938" s="1"/>
      <c r="N938" s="1"/>
      <c r="Q938" s="1"/>
      <c r="T938" s="1"/>
      <c r="W938" s="1"/>
      <c r="Y938" s="1"/>
      <c r="AB938" s="3"/>
    </row>
    <row r="939" ht="15.75" customHeight="1">
      <c r="E939" s="1"/>
      <c r="H939" s="1"/>
      <c r="K939" s="1"/>
      <c r="N939" s="1"/>
      <c r="Q939" s="1"/>
      <c r="T939" s="1"/>
      <c r="W939" s="1"/>
      <c r="Y939" s="1"/>
      <c r="AB939" s="3"/>
    </row>
    <row r="940" ht="15.75" customHeight="1">
      <c r="E940" s="1"/>
      <c r="H940" s="1"/>
      <c r="K940" s="1"/>
      <c r="N940" s="1"/>
      <c r="Q940" s="1"/>
      <c r="T940" s="1"/>
      <c r="W940" s="1"/>
      <c r="Y940" s="1"/>
      <c r="AB940" s="3"/>
    </row>
    <row r="941" ht="15.75" customHeight="1">
      <c r="E941" s="1"/>
      <c r="H941" s="1"/>
      <c r="K941" s="1"/>
      <c r="N941" s="1"/>
      <c r="Q941" s="1"/>
      <c r="T941" s="1"/>
      <c r="W941" s="1"/>
      <c r="Y941" s="1"/>
      <c r="AB941" s="3"/>
    </row>
    <row r="942" ht="15.75" customHeight="1">
      <c r="E942" s="1"/>
      <c r="H942" s="1"/>
      <c r="K942" s="1"/>
      <c r="N942" s="1"/>
      <c r="Q942" s="1"/>
      <c r="T942" s="1"/>
      <c r="W942" s="1"/>
      <c r="Y942" s="1"/>
      <c r="AB942" s="3"/>
    </row>
    <row r="943" ht="15.75" customHeight="1">
      <c r="E943" s="1"/>
      <c r="H943" s="1"/>
      <c r="K943" s="1"/>
      <c r="N943" s="1"/>
      <c r="Q943" s="1"/>
      <c r="T943" s="1"/>
      <c r="W943" s="1"/>
      <c r="Y943" s="1"/>
      <c r="AB943" s="3"/>
    </row>
    <row r="944" ht="15.75" customHeight="1">
      <c r="E944" s="1"/>
      <c r="H944" s="1"/>
      <c r="K944" s="1"/>
      <c r="N944" s="1"/>
      <c r="Q944" s="1"/>
      <c r="T944" s="1"/>
      <c r="W944" s="1"/>
      <c r="Y944" s="1"/>
      <c r="AB944" s="3"/>
    </row>
    <row r="945" ht="15.75" customHeight="1">
      <c r="E945" s="1"/>
      <c r="H945" s="1"/>
      <c r="K945" s="1"/>
      <c r="N945" s="1"/>
      <c r="Q945" s="1"/>
      <c r="T945" s="1"/>
      <c r="W945" s="1"/>
      <c r="Y945" s="1"/>
      <c r="AB945" s="3"/>
    </row>
    <row r="946" ht="15.75" customHeight="1">
      <c r="E946" s="1"/>
      <c r="H946" s="1"/>
      <c r="K946" s="1"/>
      <c r="N946" s="1"/>
      <c r="Q946" s="1"/>
      <c r="T946" s="1"/>
      <c r="W946" s="1"/>
      <c r="Y946" s="1"/>
      <c r="AB946" s="3"/>
    </row>
    <row r="947" ht="15.75" customHeight="1">
      <c r="E947" s="1"/>
      <c r="H947" s="1"/>
      <c r="K947" s="1"/>
      <c r="N947" s="1"/>
      <c r="Q947" s="1"/>
      <c r="T947" s="1"/>
      <c r="W947" s="1"/>
      <c r="Y947" s="1"/>
      <c r="AB947" s="3"/>
    </row>
    <row r="948" ht="15.75" customHeight="1">
      <c r="E948" s="1"/>
      <c r="H948" s="1"/>
      <c r="K948" s="1"/>
      <c r="N948" s="1"/>
      <c r="Q948" s="1"/>
      <c r="T948" s="1"/>
      <c r="W948" s="1"/>
      <c r="Y948" s="1"/>
      <c r="AB948" s="3"/>
    </row>
    <row r="949" ht="15.75" customHeight="1">
      <c r="E949" s="1"/>
      <c r="H949" s="1"/>
      <c r="K949" s="1"/>
      <c r="N949" s="1"/>
      <c r="Q949" s="1"/>
      <c r="T949" s="1"/>
      <c r="W949" s="1"/>
      <c r="Y949" s="1"/>
      <c r="AB949" s="3"/>
    </row>
    <row r="950" ht="15.75" customHeight="1">
      <c r="E950" s="1"/>
      <c r="H950" s="1"/>
      <c r="K950" s="1"/>
      <c r="N950" s="1"/>
      <c r="Q950" s="1"/>
      <c r="T950" s="1"/>
      <c r="W950" s="1"/>
      <c r="Y950" s="1"/>
      <c r="AB950" s="3"/>
    </row>
    <row r="951" ht="15.75" customHeight="1">
      <c r="E951" s="1"/>
      <c r="H951" s="1"/>
      <c r="K951" s="1"/>
      <c r="N951" s="1"/>
      <c r="Q951" s="1"/>
      <c r="T951" s="1"/>
      <c r="W951" s="1"/>
      <c r="Y951" s="1"/>
      <c r="AB951" s="3"/>
    </row>
    <row r="952" ht="15.75" customHeight="1">
      <c r="E952" s="1"/>
      <c r="H952" s="1"/>
      <c r="K952" s="1"/>
      <c r="N952" s="1"/>
      <c r="Q952" s="1"/>
      <c r="T952" s="1"/>
      <c r="W952" s="1"/>
      <c r="Y952" s="1"/>
      <c r="AB952" s="3"/>
    </row>
    <row r="953" ht="15.75" customHeight="1">
      <c r="E953" s="1"/>
      <c r="H953" s="1"/>
      <c r="K953" s="1"/>
      <c r="N953" s="1"/>
      <c r="Q953" s="1"/>
      <c r="T953" s="1"/>
      <c r="W953" s="1"/>
      <c r="Y953" s="1"/>
      <c r="AB953" s="3"/>
    </row>
    <row r="954" ht="15.75" customHeight="1">
      <c r="E954" s="1"/>
      <c r="H954" s="1"/>
      <c r="K954" s="1"/>
      <c r="N954" s="1"/>
      <c r="Q954" s="1"/>
      <c r="T954" s="1"/>
      <c r="W954" s="1"/>
      <c r="Y954" s="1"/>
      <c r="AB954" s="3"/>
    </row>
    <row r="955" ht="15.75" customHeight="1">
      <c r="E955" s="1"/>
      <c r="H955" s="1"/>
      <c r="K955" s="1"/>
      <c r="N955" s="1"/>
      <c r="Q955" s="1"/>
      <c r="T955" s="1"/>
      <c r="W955" s="1"/>
      <c r="Y955" s="1"/>
      <c r="AB955" s="3"/>
    </row>
    <row r="956" ht="15.75" customHeight="1">
      <c r="E956" s="1"/>
      <c r="H956" s="1"/>
      <c r="K956" s="1"/>
      <c r="N956" s="1"/>
      <c r="Q956" s="1"/>
      <c r="T956" s="1"/>
      <c r="W956" s="1"/>
      <c r="Y956" s="1"/>
      <c r="AB956" s="3"/>
    </row>
    <row r="957" ht="15.75" customHeight="1">
      <c r="E957" s="1"/>
      <c r="H957" s="1"/>
      <c r="K957" s="1"/>
      <c r="N957" s="1"/>
      <c r="Q957" s="1"/>
      <c r="T957" s="1"/>
      <c r="W957" s="1"/>
      <c r="Y957" s="1"/>
      <c r="AB957" s="3"/>
    </row>
    <row r="958" ht="15.75" customHeight="1">
      <c r="E958" s="1"/>
      <c r="H958" s="1"/>
      <c r="K958" s="1"/>
      <c r="N958" s="1"/>
      <c r="Q958" s="1"/>
      <c r="T958" s="1"/>
      <c r="W958" s="1"/>
      <c r="Y958" s="1"/>
      <c r="AB958" s="3"/>
    </row>
    <row r="959" ht="15.75" customHeight="1">
      <c r="E959" s="1"/>
      <c r="H959" s="1"/>
      <c r="K959" s="1"/>
      <c r="N959" s="1"/>
      <c r="Q959" s="1"/>
      <c r="T959" s="1"/>
      <c r="W959" s="1"/>
      <c r="Y959" s="1"/>
      <c r="AB959" s="3"/>
    </row>
    <row r="960" ht="15.75" customHeight="1">
      <c r="E960" s="1"/>
      <c r="H960" s="1"/>
      <c r="K960" s="1"/>
      <c r="N960" s="1"/>
      <c r="Q960" s="1"/>
      <c r="T960" s="1"/>
      <c r="W960" s="1"/>
      <c r="Y960" s="1"/>
      <c r="AB960" s="3"/>
    </row>
    <row r="961" ht="15.75" customHeight="1">
      <c r="E961" s="1"/>
      <c r="H961" s="1"/>
      <c r="K961" s="1"/>
      <c r="N961" s="1"/>
      <c r="Q961" s="1"/>
      <c r="T961" s="1"/>
      <c r="W961" s="1"/>
      <c r="Y961" s="1"/>
      <c r="AB961" s="3"/>
    </row>
    <row r="962" ht="15.75" customHeight="1">
      <c r="E962" s="1"/>
      <c r="H962" s="1"/>
      <c r="K962" s="1"/>
      <c r="N962" s="1"/>
      <c r="Q962" s="1"/>
      <c r="T962" s="1"/>
      <c r="W962" s="1"/>
      <c r="Y962" s="1"/>
      <c r="AB962" s="3"/>
    </row>
    <row r="963" ht="15.75" customHeight="1">
      <c r="E963" s="1"/>
      <c r="H963" s="1"/>
      <c r="K963" s="1"/>
      <c r="N963" s="1"/>
      <c r="Q963" s="1"/>
      <c r="T963" s="1"/>
      <c r="W963" s="1"/>
      <c r="Y963" s="1"/>
      <c r="AB963" s="3"/>
    </row>
    <row r="964" ht="15.75" customHeight="1">
      <c r="E964" s="1"/>
      <c r="H964" s="1"/>
      <c r="K964" s="1"/>
      <c r="N964" s="1"/>
      <c r="Q964" s="1"/>
      <c r="T964" s="1"/>
      <c r="W964" s="1"/>
      <c r="Y964" s="1"/>
      <c r="AB964" s="3"/>
    </row>
    <row r="965" ht="15.75" customHeight="1">
      <c r="E965" s="1"/>
      <c r="H965" s="1"/>
      <c r="K965" s="1"/>
      <c r="N965" s="1"/>
      <c r="Q965" s="1"/>
      <c r="T965" s="1"/>
      <c r="W965" s="1"/>
      <c r="Y965" s="1"/>
      <c r="AB965" s="3"/>
    </row>
    <row r="966" ht="15.75" customHeight="1">
      <c r="E966" s="1"/>
      <c r="H966" s="1"/>
      <c r="K966" s="1"/>
      <c r="N966" s="1"/>
      <c r="Q966" s="1"/>
      <c r="T966" s="1"/>
      <c r="W966" s="1"/>
      <c r="Y966" s="1"/>
      <c r="AB966" s="3"/>
    </row>
    <row r="967" ht="15.75" customHeight="1">
      <c r="E967" s="1"/>
      <c r="H967" s="1"/>
      <c r="K967" s="1"/>
      <c r="N967" s="1"/>
      <c r="Q967" s="1"/>
      <c r="T967" s="1"/>
      <c r="W967" s="1"/>
      <c r="Y967" s="1"/>
      <c r="AB967" s="3"/>
    </row>
    <row r="968" ht="15.75" customHeight="1">
      <c r="E968" s="1"/>
      <c r="H968" s="1"/>
      <c r="K968" s="1"/>
      <c r="N968" s="1"/>
      <c r="Q968" s="1"/>
      <c r="T968" s="1"/>
      <c r="W968" s="1"/>
      <c r="Y968" s="1"/>
      <c r="AB968" s="3"/>
    </row>
    <row r="969" ht="15.75" customHeight="1">
      <c r="E969" s="1"/>
      <c r="H969" s="1"/>
      <c r="K969" s="1"/>
      <c r="N969" s="1"/>
      <c r="Q969" s="1"/>
      <c r="T969" s="1"/>
      <c r="W969" s="1"/>
      <c r="Y969" s="1"/>
      <c r="AB969" s="3"/>
    </row>
    <row r="970" ht="15.75" customHeight="1">
      <c r="E970" s="1"/>
      <c r="H970" s="1"/>
      <c r="K970" s="1"/>
      <c r="N970" s="1"/>
      <c r="Q970" s="1"/>
      <c r="T970" s="1"/>
      <c r="W970" s="1"/>
      <c r="Y970" s="1"/>
      <c r="AB970" s="3"/>
    </row>
    <row r="971" ht="15.75" customHeight="1">
      <c r="E971" s="1"/>
      <c r="H971" s="1"/>
      <c r="K971" s="1"/>
      <c r="N971" s="1"/>
      <c r="Q971" s="1"/>
      <c r="T971" s="1"/>
      <c r="W971" s="1"/>
      <c r="Y971" s="1"/>
      <c r="AB971" s="3"/>
    </row>
    <row r="972" ht="15.75" customHeight="1">
      <c r="E972" s="1"/>
      <c r="H972" s="1"/>
      <c r="K972" s="1"/>
      <c r="N972" s="1"/>
      <c r="Q972" s="1"/>
      <c r="T972" s="1"/>
      <c r="W972" s="1"/>
      <c r="Y972" s="1"/>
      <c r="AB972" s="3"/>
    </row>
    <row r="973" ht="15.75" customHeight="1">
      <c r="E973" s="1"/>
      <c r="H973" s="1"/>
      <c r="K973" s="1"/>
      <c r="N973" s="1"/>
      <c r="Q973" s="1"/>
      <c r="T973" s="1"/>
      <c r="W973" s="1"/>
      <c r="Y973" s="1"/>
      <c r="AB973" s="3"/>
    </row>
    <row r="974" ht="15.75" customHeight="1">
      <c r="E974" s="1"/>
      <c r="H974" s="1"/>
      <c r="K974" s="1"/>
      <c r="N974" s="1"/>
      <c r="Q974" s="1"/>
      <c r="T974" s="1"/>
      <c r="W974" s="1"/>
      <c r="Y974" s="1"/>
      <c r="AB974" s="3"/>
    </row>
    <row r="975" ht="15.75" customHeight="1">
      <c r="E975" s="1"/>
      <c r="H975" s="1"/>
      <c r="K975" s="1"/>
      <c r="N975" s="1"/>
      <c r="Q975" s="1"/>
      <c r="T975" s="1"/>
      <c r="W975" s="1"/>
      <c r="Y975" s="1"/>
      <c r="AB975" s="3"/>
    </row>
    <row r="976" ht="15.75" customHeight="1">
      <c r="E976" s="1"/>
      <c r="H976" s="1"/>
      <c r="K976" s="1"/>
      <c r="N976" s="1"/>
      <c r="Q976" s="1"/>
      <c r="T976" s="1"/>
      <c r="W976" s="1"/>
      <c r="Y976" s="1"/>
      <c r="AB976" s="3"/>
    </row>
    <row r="977" ht="15.75" customHeight="1">
      <c r="E977" s="1"/>
      <c r="H977" s="1"/>
      <c r="K977" s="1"/>
      <c r="N977" s="1"/>
      <c r="Q977" s="1"/>
      <c r="T977" s="1"/>
      <c r="W977" s="1"/>
      <c r="Y977" s="1"/>
      <c r="AB977" s="3"/>
    </row>
    <row r="978" ht="15.75" customHeight="1">
      <c r="E978" s="1"/>
      <c r="H978" s="1"/>
      <c r="K978" s="1"/>
      <c r="N978" s="1"/>
      <c r="Q978" s="1"/>
      <c r="T978" s="1"/>
      <c r="W978" s="1"/>
      <c r="Y978" s="1"/>
      <c r="AB978" s="3"/>
    </row>
    <row r="979" ht="15.75" customHeight="1">
      <c r="E979" s="1"/>
      <c r="H979" s="1"/>
      <c r="K979" s="1"/>
      <c r="N979" s="1"/>
      <c r="Q979" s="1"/>
      <c r="T979" s="1"/>
      <c r="W979" s="1"/>
      <c r="Y979" s="1"/>
      <c r="AB979" s="3"/>
    </row>
    <row r="980" ht="15.75" customHeight="1">
      <c r="E980" s="1"/>
      <c r="H980" s="1"/>
      <c r="K980" s="1"/>
      <c r="N980" s="1"/>
      <c r="Q980" s="1"/>
      <c r="T980" s="1"/>
      <c r="W980" s="1"/>
      <c r="Y980" s="1"/>
      <c r="AB980" s="3"/>
    </row>
    <row r="981" ht="15.75" customHeight="1">
      <c r="E981" s="1"/>
      <c r="H981" s="1"/>
      <c r="K981" s="1"/>
      <c r="N981" s="1"/>
      <c r="Q981" s="1"/>
      <c r="T981" s="1"/>
      <c r="W981" s="1"/>
      <c r="Y981" s="1"/>
      <c r="AB981" s="3"/>
    </row>
    <row r="982" ht="15.75" customHeight="1">
      <c r="E982" s="1"/>
      <c r="H982" s="1"/>
      <c r="K982" s="1"/>
      <c r="N982" s="1"/>
      <c r="Q982" s="1"/>
      <c r="T982" s="1"/>
      <c r="W982" s="1"/>
      <c r="Y982" s="1"/>
      <c r="AB982" s="3"/>
    </row>
    <row r="983" ht="15.75" customHeight="1">
      <c r="E983" s="1"/>
      <c r="H983" s="1"/>
      <c r="K983" s="1"/>
      <c r="N983" s="1"/>
      <c r="Q983" s="1"/>
      <c r="T983" s="1"/>
      <c r="W983" s="1"/>
      <c r="Y983" s="1"/>
      <c r="AB983" s="3"/>
    </row>
    <row r="984" ht="15.75" customHeight="1">
      <c r="E984" s="1"/>
      <c r="H984" s="1"/>
      <c r="K984" s="1"/>
      <c r="N984" s="1"/>
      <c r="Q984" s="1"/>
      <c r="T984" s="1"/>
      <c r="W984" s="1"/>
      <c r="Y984" s="1"/>
      <c r="AB984" s="3"/>
    </row>
    <row r="985" ht="15.75" customHeight="1">
      <c r="E985" s="1"/>
      <c r="H985" s="1"/>
      <c r="K985" s="1"/>
      <c r="N985" s="1"/>
      <c r="Q985" s="1"/>
      <c r="T985" s="1"/>
      <c r="W985" s="1"/>
      <c r="Y985" s="1"/>
      <c r="AB985" s="3"/>
    </row>
    <row r="986" ht="15.75" customHeight="1">
      <c r="E986" s="1"/>
      <c r="H986" s="1"/>
      <c r="K986" s="1"/>
      <c r="N986" s="1"/>
      <c r="Q986" s="1"/>
      <c r="T986" s="1"/>
      <c r="W986" s="1"/>
      <c r="Y986" s="1"/>
      <c r="AB986" s="3"/>
    </row>
    <row r="987" ht="15.75" customHeight="1">
      <c r="E987" s="1"/>
      <c r="H987" s="1"/>
      <c r="K987" s="1"/>
      <c r="N987" s="1"/>
      <c r="Q987" s="1"/>
      <c r="T987" s="1"/>
      <c r="W987" s="1"/>
      <c r="Y987" s="1"/>
      <c r="AB987" s="3"/>
    </row>
    <row r="988" ht="15.75" customHeight="1">
      <c r="E988" s="1"/>
      <c r="H988" s="1"/>
      <c r="K988" s="1"/>
      <c r="N988" s="1"/>
      <c r="Q988" s="1"/>
      <c r="T988" s="1"/>
      <c r="W988" s="1"/>
      <c r="Y988" s="1"/>
      <c r="AB988" s="3"/>
    </row>
    <row r="989" ht="15.75" customHeight="1">
      <c r="E989" s="1"/>
      <c r="H989" s="1"/>
      <c r="K989" s="1"/>
      <c r="N989" s="1"/>
      <c r="Q989" s="1"/>
      <c r="T989" s="1"/>
      <c r="W989" s="1"/>
      <c r="Y989" s="1"/>
      <c r="AB989" s="3"/>
    </row>
    <row r="990" ht="15.75" customHeight="1">
      <c r="E990" s="1"/>
      <c r="H990" s="1"/>
      <c r="K990" s="1"/>
      <c r="N990" s="1"/>
      <c r="Q990" s="1"/>
      <c r="T990" s="1"/>
      <c r="W990" s="1"/>
      <c r="Y990" s="1"/>
      <c r="AB990" s="3"/>
    </row>
    <row r="991" ht="15.75" customHeight="1">
      <c r="E991" s="1"/>
      <c r="H991" s="1"/>
      <c r="K991" s="1"/>
      <c r="N991" s="1"/>
      <c r="Q991" s="1"/>
      <c r="T991" s="1"/>
      <c r="W991" s="1"/>
      <c r="Y991" s="1"/>
      <c r="AB991" s="3"/>
    </row>
    <row r="992" ht="15.75" customHeight="1">
      <c r="E992" s="1"/>
      <c r="H992" s="1"/>
      <c r="K992" s="1"/>
      <c r="N992" s="1"/>
      <c r="Q992" s="1"/>
      <c r="T992" s="1"/>
      <c r="W992" s="1"/>
      <c r="Y992" s="1"/>
      <c r="AB992" s="3"/>
    </row>
    <row r="993" ht="15.75" customHeight="1">
      <c r="E993" s="1"/>
      <c r="H993" s="1"/>
      <c r="K993" s="1"/>
      <c r="N993" s="1"/>
      <c r="Q993" s="1"/>
      <c r="T993" s="1"/>
      <c r="W993" s="1"/>
      <c r="Y993" s="1"/>
      <c r="AB993" s="3"/>
    </row>
    <row r="994" ht="15.75" customHeight="1">
      <c r="E994" s="1"/>
      <c r="H994" s="1"/>
      <c r="K994" s="1"/>
      <c r="N994" s="1"/>
      <c r="Q994" s="1"/>
      <c r="T994" s="1"/>
      <c r="W994" s="1"/>
      <c r="Y994" s="1"/>
      <c r="AB994" s="3"/>
    </row>
    <row r="995" ht="15.75" customHeight="1">
      <c r="E995" s="1"/>
      <c r="H995" s="1"/>
      <c r="K995" s="1"/>
      <c r="N995" s="1"/>
      <c r="Q995" s="1"/>
      <c r="T995" s="1"/>
      <c r="W995" s="1"/>
      <c r="Y995" s="1"/>
      <c r="AB995" s="3"/>
    </row>
    <row r="996" ht="15.75" customHeight="1">
      <c r="E996" s="1"/>
      <c r="H996" s="1"/>
      <c r="K996" s="1"/>
      <c r="N996" s="1"/>
      <c r="Q996" s="1"/>
      <c r="T996" s="1"/>
      <c r="W996" s="1"/>
      <c r="Y996" s="1"/>
      <c r="AB996" s="3"/>
    </row>
    <row r="997" ht="15.75" customHeight="1">
      <c r="E997" s="1"/>
      <c r="H997" s="1"/>
      <c r="K997" s="1"/>
      <c r="N997" s="1"/>
      <c r="Q997" s="1"/>
      <c r="T997" s="1"/>
      <c r="W997" s="1"/>
      <c r="Y997" s="1"/>
      <c r="AB997" s="3"/>
    </row>
    <row r="998" ht="15.75" customHeight="1">
      <c r="E998" s="1"/>
      <c r="H998" s="1"/>
      <c r="K998" s="1"/>
      <c r="N998" s="1"/>
      <c r="Q998" s="1"/>
      <c r="T998" s="1"/>
      <c r="W998" s="1"/>
      <c r="Y998" s="1"/>
      <c r="AB998" s="3"/>
    </row>
    <row r="999" ht="15.75" customHeight="1">
      <c r="E999" s="1"/>
      <c r="H999" s="1"/>
      <c r="K999" s="1"/>
      <c r="N999" s="1"/>
      <c r="Q999" s="1"/>
      <c r="T999" s="1"/>
      <c r="W999" s="1"/>
      <c r="Y999" s="1"/>
      <c r="AB999" s="3"/>
    </row>
    <row r="1000" ht="15.75" customHeight="1">
      <c r="E1000" s="1"/>
      <c r="H1000" s="1"/>
      <c r="K1000" s="1"/>
      <c r="N1000" s="1"/>
      <c r="Q1000" s="1"/>
      <c r="T1000" s="1"/>
      <c r="W1000" s="1"/>
      <c r="Y1000" s="1"/>
      <c r="AB1000" s="3"/>
    </row>
    <row r="1001" ht="15.75" customHeight="1">
      <c r="E1001" s="1"/>
      <c r="H1001" s="1"/>
      <c r="K1001" s="1"/>
      <c r="N1001" s="1"/>
      <c r="Q1001" s="1"/>
      <c r="T1001" s="1"/>
      <c r="W1001" s="1"/>
      <c r="Y1001" s="1"/>
      <c r="AB1001" s="3"/>
    </row>
    <row r="1002" ht="15.75" customHeight="1">
      <c r="E1002" s="1"/>
      <c r="H1002" s="1"/>
      <c r="K1002" s="1"/>
      <c r="N1002" s="1"/>
      <c r="Q1002" s="1"/>
      <c r="T1002" s="1"/>
      <c r="W1002" s="1"/>
      <c r="Y1002" s="1"/>
      <c r="AB1002" s="3"/>
    </row>
    <row r="1003" ht="15.75" customHeight="1">
      <c r="E1003" s="1"/>
      <c r="H1003" s="1"/>
      <c r="K1003" s="1"/>
      <c r="N1003" s="1"/>
      <c r="Q1003" s="1"/>
      <c r="T1003" s="1"/>
      <c r="W1003" s="1"/>
      <c r="Y1003" s="1"/>
      <c r="AB1003" s="3"/>
    </row>
    <row r="1004" ht="15.75" customHeight="1">
      <c r="E1004" s="1"/>
      <c r="H1004" s="1"/>
      <c r="K1004" s="1"/>
      <c r="N1004" s="1"/>
      <c r="Q1004" s="1"/>
      <c r="T1004" s="1"/>
      <c r="W1004" s="1"/>
      <c r="Y1004" s="1"/>
      <c r="AB1004" s="3"/>
    </row>
    <row r="1005" ht="15.75" customHeight="1">
      <c r="E1005" s="1"/>
      <c r="H1005" s="1"/>
      <c r="K1005" s="1"/>
      <c r="N1005" s="1"/>
      <c r="Q1005" s="1"/>
      <c r="T1005" s="1"/>
      <c r="W1005" s="1"/>
      <c r="Y1005" s="1"/>
      <c r="AB1005" s="3"/>
    </row>
    <row r="1006" ht="15.75" customHeight="1">
      <c r="E1006" s="1"/>
      <c r="H1006" s="1"/>
      <c r="K1006" s="1"/>
      <c r="N1006" s="1"/>
      <c r="Q1006" s="1"/>
      <c r="T1006" s="1"/>
      <c r="W1006" s="1"/>
      <c r="Y1006" s="1"/>
      <c r="AB1006" s="3"/>
    </row>
    <row r="1007" ht="15.75" customHeight="1">
      <c r="E1007" s="1"/>
      <c r="H1007" s="1"/>
      <c r="K1007" s="1"/>
      <c r="N1007" s="1"/>
      <c r="Q1007" s="1"/>
      <c r="T1007" s="1"/>
      <c r="W1007" s="1"/>
      <c r="Y1007" s="1"/>
      <c r="AB1007" s="3"/>
    </row>
    <row r="1008" ht="15.75" customHeight="1">
      <c r="E1008" s="1"/>
      <c r="H1008" s="1"/>
      <c r="K1008" s="1"/>
      <c r="N1008" s="1"/>
      <c r="Q1008" s="1"/>
      <c r="T1008" s="1"/>
      <c r="W1008" s="1"/>
      <c r="Y1008" s="1"/>
      <c r="AB1008" s="3"/>
    </row>
    <row r="1009" ht="15.75" customHeight="1">
      <c r="E1009" s="1"/>
      <c r="H1009" s="1"/>
      <c r="K1009" s="1"/>
      <c r="N1009" s="1"/>
      <c r="Q1009" s="1"/>
      <c r="T1009" s="1"/>
      <c r="W1009" s="1"/>
      <c r="Y1009" s="1"/>
      <c r="AB1009" s="3"/>
    </row>
    <row r="1010" ht="15.75" customHeight="1">
      <c r="E1010" s="1"/>
      <c r="H1010" s="1"/>
      <c r="K1010" s="1"/>
      <c r="N1010" s="1"/>
      <c r="Q1010" s="1"/>
      <c r="T1010" s="1"/>
      <c r="W1010" s="1"/>
      <c r="Y1010" s="1"/>
      <c r="AB1010" s="3"/>
    </row>
    <row r="1011" ht="15.75" customHeight="1">
      <c r="E1011" s="1"/>
      <c r="H1011" s="1"/>
      <c r="K1011" s="1"/>
      <c r="N1011" s="1"/>
      <c r="Q1011" s="1"/>
      <c r="T1011" s="1"/>
      <c r="W1011" s="1"/>
      <c r="Y1011" s="1"/>
      <c r="AB1011" s="3"/>
    </row>
    <row r="1012" ht="15.75" customHeight="1">
      <c r="E1012" s="1"/>
      <c r="H1012" s="1"/>
      <c r="K1012" s="1"/>
      <c r="N1012" s="1"/>
      <c r="Q1012" s="1"/>
      <c r="T1012" s="1"/>
      <c r="W1012" s="1"/>
      <c r="Y1012" s="1"/>
      <c r="AB1012" s="3"/>
    </row>
    <row r="1013" ht="15.75" customHeight="1">
      <c r="E1013" s="1"/>
      <c r="H1013" s="1"/>
      <c r="K1013" s="1"/>
      <c r="N1013" s="1"/>
      <c r="Q1013" s="1"/>
      <c r="T1013" s="1"/>
      <c r="W1013" s="1"/>
      <c r="Y1013" s="1"/>
      <c r="AB1013" s="3"/>
    </row>
    <row r="1014" ht="15.75" customHeight="1">
      <c r="E1014" s="1"/>
      <c r="H1014" s="1"/>
      <c r="K1014" s="1"/>
      <c r="N1014" s="1"/>
      <c r="Q1014" s="1"/>
      <c r="T1014" s="1"/>
      <c r="W1014" s="1"/>
      <c r="Y1014" s="1"/>
      <c r="AB1014" s="3"/>
    </row>
    <row r="1015" ht="15.75" customHeight="1">
      <c r="E1015" s="1"/>
      <c r="H1015" s="1"/>
      <c r="K1015" s="1"/>
      <c r="N1015" s="1"/>
      <c r="Q1015" s="1"/>
      <c r="T1015" s="1"/>
      <c r="W1015" s="1"/>
      <c r="Y1015" s="1"/>
      <c r="AB1015" s="3"/>
    </row>
    <row r="1016" ht="15.75" customHeight="1">
      <c r="E1016" s="1"/>
      <c r="H1016" s="1"/>
      <c r="K1016" s="1"/>
      <c r="N1016" s="1"/>
      <c r="Q1016" s="1"/>
      <c r="T1016" s="1"/>
      <c r="W1016" s="1"/>
      <c r="Y1016" s="1"/>
      <c r="AB1016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7.0"/>
    <col customWidth="1" min="25" max="25" width="7.14"/>
    <col customWidth="1" min="26" max="26" width="13.86"/>
    <col customWidth="1" min="27" max="27" width="12.43"/>
    <col customWidth="1" min="28" max="28" width="17.29"/>
    <col customWidth="1" min="29" max="29" width="15.86"/>
    <col customWidth="1" min="30" max="30" width="63.29"/>
    <col customWidth="1" min="31" max="31" width="8.71"/>
  </cols>
  <sheetData>
    <row r="1">
      <c r="E1" s="1"/>
      <c r="H1" s="1"/>
      <c r="K1" s="1"/>
      <c r="N1" s="1"/>
      <c r="Q1" s="1"/>
      <c r="T1" s="1"/>
      <c r="W1" s="1"/>
      <c r="Y1" s="1"/>
      <c r="AB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7"/>
      <c r="Z2" s="4"/>
      <c r="AA2" s="4"/>
      <c r="AB2" s="4"/>
      <c r="AC2" s="4"/>
      <c r="AD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12" t="s">
        <v>14</v>
      </c>
      <c r="Z3" s="4" t="s">
        <v>6</v>
      </c>
      <c r="AA3" s="4" t="s">
        <v>7</v>
      </c>
      <c r="AB3" s="38" t="s">
        <v>15</v>
      </c>
      <c r="AC3" s="4" t="s">
        <v>16</v>
      </c>
      <c r="AD3" s="4" t="s">
        <v>17</v>
      </c>
    </row>
    <row r="4">
      <c r="A4" s="61" t="s">
        <v>20</v>
      </c>
      <c r="B4" s="61" t="s">
        <v>21</v>
      </c>
      <c r="C4" s="71"/>
      <c r="D4" s="71"/>
      <c r="E4" s="57"/>
      <c r="F4" s="17">
        <f t="shared" ref="F4:F52" si="1">PRODUCT(E4)*214.22</f>
        <v>0</v>
      </c>
      <c r="G4" s="47"/>
      <c r="H4" s="57"/>
      <c r="I4" s="17">
        <f t="shared" ref="I4:I39" si="2">PRODUCT(H4)*316.77</f>
        <v>0</v>
      </c>
      <c r="J4" s="17"/>
      <c r="K4" s="57"/>
      <c r="L4" s="17">
        <f t="shared" ref="L4:L52" si="3">PRODUCT(K4)*188.57</f>
        <v>0</v>
      </c>
      <c r="M4" s="47"/>
      <c r="N4" s="57"/>
      <c r="O4" s="17">
        <f t="shared" ref="O4:O16" si="4">PRODUCT(N4)*58.85</f>
        <v>0</v>
      </c>
      <c r="P4" s="17"/>
      <c r="Q4" s="16"/>
      <c r="R4" s="17">
        <f t="shared" ref="R4:R52" si="5">PRODUCT(Q4)*30.16</f>
        <v>0</v>
      </c>
      <c r="S4" s="17"/>
      <c r="T4" s="57"/>
      <c r="U4" s="17">
        <f t="shared" ref="U4:U52" si="6">PRODUCT(T4)*5.07</f>
        <v>0</v>
      </c>
      <c r="V4" s="47"/>
      <c r="W4" s="57"/>
      <c r="X4" s="17">
        <f t="shared" ref="X4:X52" si="7">PRODUCT(W4)*18.22</f>
        <v>0</v>
      </c>
      <c r="Y4" s="63"/>
      <c r="Z4" s="17">
        <f t="shared" ref="Z4:Z52" si="8">PRODUCT(Y4)*33.37</f>
        <v>0</v>
      </c>
      <c r="AA4" s="17"/>
      <c r="AB4" s="48">
        <v>0.0</v>
      </c>
      <c r="AC4" s="50"/>
      <c r="AD4" s="23"/>
    </row>
    <row r="5">
      <c r="A5" s="61" t="s">
        <v>248</v>
      </c>
      <c r="B5" s="61" t="s">
        <v>249</v>
      </c>
      <c r="C5" s="62">
        <v>45434.0</v>
      </c>
      <c r="D5" s="62">
        <v>45434.0</v>
      </c>
      <c r="E5" s="57">
        <v>1.0</v>
      </c>
      <c r="F5" s="17">
        <f t="shared" si="1"/>
        <v>214.22</v>
      </c>
      <c r="G5" s="47">
        <v>214.22</v>
      </c>
      <c r="H5" s="57"/>
      <c r="I5" s="17">
        <f t="shared" si="2"/>
        <v>0</v>
      </c>
      <c r="J5" s="47"/>
      <c r="K5" s="57"/>
      <c r="L5" s="17">
        <f t="shared" si="3"/>
        <v>0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16"/>
      <c r="U5" s="17">
        <f t="shared" si="6"/>
        <v>0</v>
      </c>
      <c r="V5" s="17"/>
      <c r="W5" s="57"/>
      <c r="X5" s="17">
        <f t="shared" si="7"/>
        <v>0</v>
      </c>
      <c r="Y5" s="20"/>
      <c r="Z5" s="17">
        <f t="shared" si="8"/>
        <v>0</v>
      </c>
      <c r="AA5" s="17"/>
      <c r="AB5" s="48">
        <v>0.0</v>
      </c>
      <c r="AC5" s="50">
        <v>45438.0</v>
      </c>
      <c r="AD5" s="24"/>
    </row>
    <row r="6">
      <c r="A6" s="61" t="s">
        <v>241</v>
      </c>
      <c r="B6" s="61" t="s">
        <v>25</v>
      </c>
      <c r="C6" s="71">
        <v>45421.0</v>
      </c>
      <c r="D6" s="62">
        <v>45428.0</v>
      </c>
      <c r="E6" s="57"/>
      <c r="F6" s="17">
        <f t="shared" si="1"/>
        <v>0</v>
      </c>
      <c r="G6" s="47"/>
      <c r="H6" s="57">
        <v>5.0</v>
      </c>
      <c r="I6" s="17">
        <f t="shared" si="2"/>
        <v>1583.85</v>
      </c>
      <c r="J6" s="47">
        <v>1583.85</v>
      </c>
      <c r="K6" s="16"/>
      <c r="L6" s="17">
        <f t="shared" si="3"/>
        <v>0</v>
      </c>
      <c r="M6" s="17"/>
      <c r="N6" s="57"/>
      <c r="O6" s="17">
        <f t="shared" si="4"/>
        <v>0</v>
      </c>
      <c r="P6" s="17"/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>
        <v>18.0</v>
      </c>
      <c r="X6" s="17">
        <f t="shared" si="7"/>
        <v>327.96</v>
      </c>
      <c r="Y6" s="63"/>
      <c r="Z6" s="17">
        <f t="shared" si="8"/>
        <v>0</v>
      </c>
      <c r="AA6" s="17"/>
      <c r="AB6" s="48">
        <v>0.0</v>
      </c>
      <c r="AC6" s="50">
        <v>45438.0</v>
      </c>
      <c r="AD6" s="24"/>
    </row>
    <row r="7">
      <c r="A7" s="58" t="s">
        <v>242</v>
      </c>
      <c r="B7" s="58" t="s">
        <v>243</v>
      </c>
      <c r="C7" s="62"/>
      <c r="D7" s="62"/>
      <c r="E7" s="57"/>
      <c r="F7" s="17">
        <f t="shared" si="1"/>
        <v>0</v>
      </c>
      <c r="G7" s="47"/>
      <c r="H7" s="57"/>
      <c r="I7" s="17">
        <f t="shared" si="2"/>
        <v>0</v>
      </c>
      <c r="J7" s="47"/>
      <c r="K7" s="57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57"/>
      <c r="U7" s="17">
        <f t="shared" si="6"/>
        <v>0</v>
      </c>
      <c r="V7" s="47"/>
      <c r="W7" s="57"/>
      <c r="X7" s="17">
        <f t="shared" si="7"/>
        <v>0</v>
      </c>
      <c r="Y7" s="63"/>
      <c r="Z7" s="17">
        <f t="shared" si="8"/>
        <v>0</v>
      </c>
      <c r="AA7" s="17"/>
      <c r="AB7" s="48">
        <v>0.0</v>
      </c>
      <c r="AC7" s="50"/>
      <c r="AD7" s="24"/>
    </row>
    <row r="8">
      <c r="A8" s="58" t="s">
        <v>244</v>
      </c>
      <c r="B8" s="58" t="s">
        <v>245</v>
      </c>
      <c r="C8" s="71">
        <v>45418.0</v>
      </c>
      <c r="D8" s="62">
        <v>45435.0</v>
      </c>
      <c r="E8" s="57"/>
      <c r="F8" s="17">
        <f t="shared" si="1"/>
        <v>0</v>
      </c>
      <c r="G8" s="47"/>
      <c r="H8" s="57">
        <v>17.0</v>
      </c>
      <c r="I8" s="17">
        <f t="shared" si="2"/>
        <v>5385.09</v>
      </c>
      <c r="J8" s="47">
        <v>5385.09</v>
      </c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57"/>
      <c r="X8" s="17">
        <f t="shared" si="7"/>
        <v>0</v>
      </c>
      <c r="Y8" s="20"/>
      <c r="Z8" s="17">
        <f t="shared" si="8"/>
        <v>0</v>
      </c>
      <c r="AA8" s="17"/>
      <c r="AB8" s="48">
        <v>0.0</v>
      </c>
      <c r="AC8" s="49">
        <v>45438.0</v>
      </c>
      <c r="AD8" s="23"/>
    </row>
    <row r="9">
      <c r="A9" s="58" t="s">
        <v>230</v>
      </c>
      <c r="B9" s="58" t="s">
        <v>149</v>
      </c>
      <c r="C9" s="71">
        <v>45422.0</v>
      </c>
      <c r="D9" s="71">
        <v>45424.0</v>
      </c>
      <c r="E9" s="57"/>
      <c r="F9" s="17">
        <f t="shared" si="1"/>
        <v>0</v>
      </c>
      <c r="G9" s="47"/>
      <c r="H9" s="57">
        <v>3.0</v>
      </c>
      <c r="I9" s="17">
        <f t="shared" si="2"/>
        <v>950.31</v>
      </c>
      <c r="J9" s="47">
        <v>950.31</v>
      </c>
      <c r="K9" s="57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>
        <v>10.0</v>
      </c>
      <c r="X9" s="17">
        <f t="shared" si="7"/>
        <v>182.2</v>
      </c>
      <c r="Y9" s="20"/>
      <c r="Z9" s="17">
        <f t="shared" si="8"/>
        <v>0</v>
      </c>
      <c r="AA9" s="17"/>
      <c r="AB9" s="48">
        <v>0.0</v>
      </c>
      <c r="AC9" s="76">
        <v>45438.0</v>
      </c>
      <c r="AD9" s="23"/>
    </row>
    <row r="10">
      <c r="A10" s="58" t="s">
        <v>183</v>
      </c>
      <c r="B10" s="58" t="s">
        <v>184</v>
      </c>
      <c r="C10" s="71">
        <v>45432.0</v>
      </c>
      <c r="D10" s="71">
        <v>45434.0</v>
      </c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>
        <v>3.0</v>
      </c>
      <c r="L10" s="17">
        <f t="shared" si="3"/>
        <v>565.71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>
        <v>16.0</v>
      </c>
      <c r="U10" s="17">
        <f t="shared" si="6"/>
        <v>81.12</v>
      </c>
      <c r="V10" s="17"/>
      <c r="W10" s="57">
        <v>17.0</v>
      </c>
      <c r="X10" s="17">
        <f t="shared" si="7"/>
        <v>309.74</v>
      </c>
      <c r="Y10" s="20"/>
      <c r="Z10" s="17">
        <f t="shared" si="8"/>
        <v>0</v>
      </c>
      <c r="AA10" s="50"/>
      <c r="AB10" s="48">
        <v>0.0</v>
      </c>
      <c r="AC10" s="50"/>
      <c r="AD10" s="23"/>
    </row>
    <row r="11">
      <c r="A11" s="58" t="s">
        <v>55</v>
      </c>
      <c r="B11" s="58" t="s">
        <v>233</v>
      </c>
      <c r="C11" s="71">
        <v>45432.0</v>
      </c>
      <c r="D11" s="62">
        <v>45434.0</v>
      </c>
      <c r="E11" s="16"/>
      <c r="F11" s="17">
        <f t="shared" si="1"/>
        <v>0</v>
      </c>
      <c r="G11" s="17"/>
      <c r="H11" s="57"/>
      <c r="I11" s="17">
        <f t="shared" si="2"/>
        <v>0</v>
      </c>
      <c r="J11" s="47"/>
      <c r="K11" s="57">
        <v>3.0</v>
      </c>
      <c r="L11" s="17">
        <f t="shared" si="3"/>
        <v>565.71</v>
      </c>
      <c r="M11" s="47">
        <v>565.71</v>
      </c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57"/>
      <c r="U11" s="17">
        <f t="shared" si="6"/>
        <v>0</v>
      </c>
      <c r="V11" s="17"/>
      <c r="W11" s="57"/>
      <c r="X11" s="17">
        <f t="shared" si="7"/>
        <v>0</v>
      </c>
      <c r="Y11" s="63"/>
      <c r="Z11" s="17">
        <f t="shared" si="8"/>
        <v>0</v>
      </c>
      <c r="AA11" s="17"/>
      <c r="AB11" s="48">
        <v>0.0</v>
      </c>
      <c r="AC11" s="49">
        <v>45438.0</v>
      </c>
      <c r="AD11" s="89"/>
    </row>
    <row r="12">
      <c r="A12" s="58" t="s">
        <v>225</v>
      </c>
      <c r="B12" s="58" t="s">
        <v>226</v>
      </c>
      <c r="C12" s="62">
        <v>45432.0</v>
      </c>
      <c r="D12" s="62">
        <v>45434.0</v>
      </c>
      <c r="E12" s="16"/>
      <c r="F12" s="17">
        <f t="shared" si="1"/>
        <v>0</v>
      </c>
      <c r="G12" s="17"/>
      <c r="H12" s="57"/>
      <c r="I12" s="17">
        <f t="shared" si="2"/>
        <v>0</v>
      </c>
      <c r="J12" s="17"/>
      <c r="K12" s="57">
        <v>2.0</v>
      </c>
      <c r="L12" s="17">
        <f t="shared" si="3"/>
        <v>377.14</v>
      </c>
      <c r="M12" s="47">
        <v>377.14</v>
      </c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20"/>
      <c r="Z12" s="17">
        <f t="shared" si="8"/>
        <v>0</v>
      </c>
      <c r="AA12" s="17"/>
      <c r="AB12" s="48">
        <v>0.0</v>
      </c>
      <c r="AC12" s="50"/>
      <c r="AD12" s="23"/>
    </row>
    <row r="13">
      <c r="A13" s="58" t="s">
        <v>239</v>
      </c>
      <c r="B13" s="58" t="s">
        <v>25</v>
      </c>
      <c r="C13" s="62">
        <v>45405.0</v>
      </c>
      <c r="D13" s="62">
        <v>45405.0</v>
      </c>
      <c r="E13" s="16"/>
      <c r="F13" s="17">
        <f t="shared" si="1"/>
        <v>0</v>
      </c>
      <c r="G13" s="47"/>
      <c r="H13" s="57"/>
      <c r="I13" s="17">
        <f t="shared" si="2"/>
        <v>0</v>
      </c>
      <c r="J13" s="17"/>
      <c r="K13" s="57"/>
      <c r="L13" s="17">
        <f t="shared" si="3"/>
        <v>0</v>
      </c>
      <c r="M13" s="47"/>
      <c r="N13" s="16"/>
      <c r="O13" s="17">
        <f t="shared" si="4"/>
        <v>0</v>
      </c>
      <c r="P13" s="17"/>
      <c r="Q13" s="57"/>
      <c r="R13" s="17">
        <f t="shared" si="5"/>
        <v>0</v>
      </c>
      <c r="S13" s="17"/>
      <c r="T13" s="57"/>
      <c r="U13" s="17">
        <f t="shared" si="6"/>
        <v>0</v>
      </c>
      <c r="V13" s="47"/>
      <c r="W13" s="57">
        <v>3.0</v>
      </c>
      <c r="X13" s="17">
        <f t="shared" si="7"/>
        <v>54.66</v>
      </c>
      <c r="Y13" s="63"/>
      <c r="Z13" s="17">
        <f t="shared" si="8"/>
        <v>0</v>
      </c>
      <c r="AA13" s="17"/>
      <c r="AB13" s="48">
        <v>0.0</v>
      </c>
      <c r="AC13" s="50">
        <v>45438.0</v>
      </c>
      <c r="AD13" s="23"/>
    </row>
    <row r="14">
      <c r="A14" s="58" t="s">
        <v>161</v>
      </c>
      <c r="B14" s="58" t="s">
        <v>47</v>
      </c>
      <c r="C14" s="62">
        <v>45435.0</v>
      </c>
      <c r="D14" s="62">
        <v>45435.0</v>
      </c>
      <c r="E14" s="57">
        <v>1.0</v>
      </c>
      <c r="F14" s="17">
        <f t="shared" si="1"/>
        <v>214.22</v>
      </c>
      <c r="G14" s="47">
        <v>214.22</v>
      </c>
      <c r="H14" s="57"/>
      <c r="I14" s="17">
        <f t="shared" si="2"/>
        <v>0</v>
      </c>
      <c r="J14" s="47"/>
      <c r="K14" s="57"/>
      <c r="L14" s="17">
        <f t="shared" si="3"/>
        <v>0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63"/>
      <c r="Z14" s="17">
        <f t="shared" si="8"/>
        <v>0</v>
      </c>
      <c r="AA14" s="17"/>
      <c r="AB14" s="48">
        <v>0.0</v>
      </c>
      <c r="AC14" s="50">
        <v>45438.0</v>
      </c>
      <c r="AD14" s="23"/>
    </row>
    <row r="15">
      <c r="A15" s="58" t="s">
        <v>207</v>
      </c>
      <c r="B15" s="58" t="s">
        <v>208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17"/>
      <c r="K15" s="57"/>
      <c r="L15" s="17">
        <f t="shared" si="3"/>
        <v>0</v>
      </c>
      <c r="M15" s="4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57"/>
      <c r="U15" s="17">
        <f t="shared" si="6"/>
        <v>0</v>
      </c>
      <c r="V15" s="17"/>
      <c r="W15" s="16"/>
      <c r="X15" s="17">
        <f t="shared" si="7"/>
        <v>0</v>
      </c>
      <c r="Y15" s="63"/>
      <c r="Z15" s="17">
        <f t="shared" si="8"/>
        <v>0</v>
      </c>
      <c r="AA15" s="17"/>
      <c r="AB15" s="48">
        <v>0.0</v>
      </c>
      <c r="AC15" s="50"/>
      <c r="AD15" s="23"/>
    </row>
    <row r="16">
      <c r="A16" s="58" t="s">
        <v>109</v>
      </c>
      <c r="B16" s="58" t="s">
        <v>110</v>
      </c>
      <c r="C16" s="62"/>
      <c r="D16" s="62"/>
      <c r="E16" s="16"/>
      <c r="F16" s="17">
        <f t="shared" si="1"/>
        <v>0</v>
      </c>
      <c r="G16" s="17"/>
      <c r="H16" s="57"/>
      <c r="I16" s="17">
        <f t="shared" si="2"/>
        <v>0</v>
      </c>
      <c r="J16" s="17"/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57"/>
      <c r="R16" s="17">
        <f t="shared" si="5"/>
        <v>0</v>
      </c>
      <c r="S16" s="17"/>
      <c r="T16" s="57"/>
      <c r="U16" s="17">
        <f t="shared" si="6"/>
        <v>0</v>
      </c>
      <c r="V16" s="47"/>
      <c r="W16" s="57"/>
      <c r="X16" s="17">
        <f t="shared" si="7"/>
        <v>0</v>
      </c>
      <c r="Y16" s="20"/>
      <c r="Z16" s="17">
        <f t="shared" si="8"/>
        <v>0</v>
      </c>
      <c r="AA16" s="17"/>
      <c r="AB16" s="48">
        <v>0.0</v>
      </c>
      <c r="AC16" s="49"/>
      <c r="AD16" s="23"/>
    </row>
    <row r="17">
      <c r="A17" s="58" t="s">
        <v>53</v>
      </c>
      <c r="B17" s="58" t="s">
        <v>187</v>
      </c>
      <c r="C17" s="62"/>
      <c r="D17" s="62"/>
      <c r="E17" s="57"/>
      <c r="F17" s="17">
        <f t="shared" si="1"/>
        <v>0</v>
      </c>
      <c r="G17" s="17"/>
      <c r="H17" s="57"/>
      <c r="I17" s="17">
        <f t="shared" si="2"/>
        <v>0</v>
      </c>
      <c r="J17" s="17"/>
      <c r="K17" s="57"/>
      <c r="L17" s="17">
        <f t="shared" si="3"/>
        <v>0</v>
      </c>
      <c r="M17" s="47"/>
      <c r="N17" s="16"/>
      <c r="O17" s="17">
        <f t="shared" ref="O17:O20" si="9">PRODUCT(N17)*188.57</f>
        <v>0</v>
      </c>
      <c r="P17" s="17"/>
      <c r="Q17" s="16"/>
      <c r="R17" s="17">
        <f t="shared" si="5"/>
        <v>0</v>
      </c>
      <c r="S17" s="17"/>
      <c r="T17" s="57"/>
      <c r="U17" s="17">
        <f t="shared" si="6"/>
        <v>0</v>
      </c>
      <c r="V17" s="47"/>
      <c r="W17" s="57"/>
      <c r="X17" s="17">
        <f t="shared" si="7"/>
        <v>0</v>
      </c>
      <c r="Y17" s="20"/>
      <c r="Z17" s="17">
        <f t="shared" si="8"/>
        <v>0</v>
      </c>
      <c r="AA17" s="17"/>
      <c r="AB17" s="48">
        <v>0.0</v>
      </c>
      <c r="AC17" s="50"/>
      <c r="AD17" s="23"/>
    </row>
    <row r="18">
      <c r="A18" s="58" t="s">
        <v>119</v>
      </c>
      <c r="B18" s="58" t="s">
        <v>128</v>
      </c>
      <c r="C18" s="71">
        <v>45432.0</v>
      </c>
      <c r="D18" s="62">
        <v>45434.0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3.0</v>
      </c>
      <c r="L18" s="17">
        <f t="shared" si="3"/>
        <v>565.71</v>
      </c>
      <c r="M18" s="47">
        <v>565.71</v>
      </c>
      <c r="N18" s="16"/>
      <c r="O18" s="17">
        <f t="shared" si="9"/>
        <v>0</v>
      </c>
      <c r="P18" s="17"/>
      <c r="Q18" s="16"/>
      <c r="R18" s="17">
        <f t="shared" si="5"/>
        <v>0</v>
      </c>
      <c r="S18" s="17"/>
      <c r="T18" s="57">
        <v>12.0</v>
      </c>
      <c r="U18" s="17">
        <f t="shared" si="6"/>
        <v>60.84</v>
      </c>
      <c r="V18" s="47">
        <v>60.84</v>
      </c>
      <c r="W18" s="57">
        <v>17.0</v>
      </c>
      <c r="X18" s="17">
        <f t="shared" si="7"/>
        <v>309.74</v>
      </c>
      <c r="Y18" s="63"/>
      <c r="Z18" s="17">
        <f t="shared" si="8"/>
        <v>0</v>
      </c>
      <c r="AA18" s="17"/>
      <c r="AB18" s="48">
        <v>0.0</v>
      </c>
      <c r="AC18" s="50">
        <v>45438.0</v>
      </c>
      <c r="AD18" s="23"/>
    </row>
    <row r="19">
      <c r="A19" s="58" t="s">
        <v>141</v>
      </c>
      <c r="B19" s="58" t="s">
        <v>188</v>
      </c>
      <c r="C19" s="62"/>
      <c r="D19" s="62"/>
      <c r="E19" s="16"/>
      <c r="F19" s="17">
        <f t="shared" si="1"/>
        <v>0</v>
      </c>
      <c r="G19" s="17"/>
      <c r="H19" s="57"/>
      <c r="I19" s="17">
        <f t="shared" si="2"/>
        <v>0</v>
      </c>
      <c r="J19" s="17"/>
      <c r="K19" s="57"/>
      <c r="L19" s="17">
        <f t="shared" si="3"/>
        <v>0</v>
      </c>
      <c r="M19" s="47"/>
      <c r="N19" s="16"/>
      <c r="O19" s="17">
        <f t="shared" si="9"/>
        <v>0</v>
      </c>
      <c r="P19" s="17"/>
      <c r="Q19" s="16"/>
      <c r="R19" s="17">
        <f t="shared" si="5"/>
        <v>0</v>
      </c>
      <c r="S19" s="17"/>
      <c r="T19" s="57"/>
      <c r="U19" s="17">
        <f t="shared" si="6"/>
        <v>0</v>
      </c>
      <c r="V19" s="17"/>
      <c r="W19" s="16"/>
      <c r="X19" s="17">
        <f t="shared" si="7"/>
        <v>0</v>
      </c>
      <c r="Y19" s="20"/>
      <c r="Z19" s="17">
        <f t="shared" si="8"/>
        <v>0</v>
      </c>
      <c r="AA19" s="17"/>
      <c r="AB19" s="48">
        <v>0.0</v>
      </c>
      <c r="AC19" s="50"/>
      <c r="AD19" s="23"/>
    </row>
    <row r="20">
      <c r="A20" s="58" t="s">
        <v>174</v>
      </c>
      <c r="B20" s="58" t="s">
        <v>189</v>
      </c>
      <c r="C20" s="62"/>
      <c r="D20" s="62"/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9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57"/>
      <c r="X20" s="17">
        <f t="shared" si="7"/>
        <v>0</v>
      </c>
      <c r="Y20" s="63"/>
      <c r="Z20" s="17">
        <f t="shared" si="8"/>
        <v>0</v>
      </c>
      <c r="AA20" s="17"/>
      <c r="AB20" s="48">
        <v>0.0</v>
      </c>
      <c r="AC20" s="49"/>
      <c r="AD20" s="23"/>
    </row>
    <row r="21">
      <c r="A21" s="95" t="s">
        <v>47</v>
      </c>
      <c r="B21" s="96" t="s">
        <v>48</v>
      </c>
      <c r="C21" s="62">
        <v>45433.0</v>
      </c>
      <c r="D21" s="62">
        <v>45434.0</v>
      </c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57">
        <v>2.0</v>
      </c>
      <c r="L21" s="17">
        <f t="shared" si="3"/>
        <v>377.14</v>
      </c>
      <c r="M21" s="47">
        <v>377.14</v>
      </c>
      <c r="N21" s="16"/>
      <c r="O21" s="17">
        <f>PRODUCT(N18)*188.57</f>
        <v>0</v>
      </c>
      <c r="P21" s="17"/>
      <c r="Q21" s="16"/>
      <c r="R21" s="17">
        <f t="shared" si="5"/>
        <v>0</v>
      </c>
      <c r="S21" s="17"/>
      <c r="T21" s="57">
        <v>16.0</v>
      </c>
      <c r="U21" s="17">
        <f t="shared" si="6"/>
        <v>81.12</v>
      </c>
      <c r="V21" s="47">
        <v>81.12</v>
      </c>
      <c r="W21" s="57">
        <v>24.0</v>
      </c>
      <c r="X21" s="17">
        <f t="shared" si="7"/>
        <v>437.28</v>
      </c>
      <c r="Y21" s="20"/>
      <c r="Z21" s="17">
        <f t="shared" si="8"/>
        <v>0</v>
      </c>
      <c r="AA21" s="17"/>
      <c r="AB21" s="48">
        <v>0.0</v>
      </c>
      <c r="AC21" s="50">
        <v>45438.0</v>
      </c>
      <c r="AD21" s="23"/>
    </row>
    <row r="22">
      <c r="A22" s="58" t="s">
        <v>85</v>
      </c>
      <c r="B22" s="58" t="s">
        <v>86</v>
      </c>
      <c r="C22" s="71">
        <v>45428.0</v>
      </c>
      <c r="D22" s="71">
        <v>45434.0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47"/>
      <c r="K22" s="57"/>
      <c r="L22" s="17">
        <f t="shared" si="3"/>
        <v>0</v>
      </c>
      <c r="M22" s="47"/>
      <c r="N22" s="57">
        <v>4.0</v>
      </c>
      <c r="O22" s="17">
        <f t="shared" ref="O22:O52" si="10">PRODUCT(N22)*58.85</f>
        <v>235.4</v>
      </c>
      <c r="P22" s="47">
        <v>235.4</v>
      </c>
      <c r="Q22" s="57"/>
      <c r="R22" s="17">
        <f t="shared" si="5"/>
        <v>0</v>
      </c>
      <c r="S22" s="17"/>
      <c r="T22" s="57">
        <v>16.0</v>
      </c>
      <c r="U22" s="17">
        <f t="shared" si="6"/>
        <v>81.12</v>
      </c>
      <c r="V22" s="47">
        <v>60.84</v>
      </c>
      <c r="W22" s="57"/>
      <c r="X22" s="17">
        <f t="shared" si="7"/>
        <v>0</v>
      </c>
      <c r="Y22" s="63"/>
      <c r="Z22" s="17">
        <f t="shared" si="8"/>
        <v>0</v>
      </c>
      <c r="AA22" s="17"/>
      <c r="AB22" s="48">
        <v>0.0</v>
      </c>
      <c r="AC22" s="49">
        <v>45438.0</v>
      </c>
      <c r="AD22" s="23"/>
    </row>
    <row r="23">
      <c r="A23" s="61" t="s">
        <v>67</v>
      </c>
      <c r="B23" s="58" t="s">
        <v>68</v>
      </c>
      <c r="C23" s="71">
        <v>45432.0</v>
      </c>
      <c r="D23" s="62">
        <v>45434.0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>
        <v>3.0</v>
      </c>
      <c r="L23" s="17">
        <f t="shared" si="3"/>
        <v>565.71</v>
      </c>
      <c r="M23" s="47">
        <v>565.71</v>
      </c>
      <c r="N23" s="16"/>
      <c r="O23" s="17">
        <f t="shared" si="10"/>
        <v>0</v>
      </c>
      <c r="P23" s="17"/>
      <c r="Q23" s="16"/>
      <c r="R23" s="17">
        <f t="shared" si="5"/>
        <v>0</v>
      </c>
      <c r="S23" s="17"/>
      <c r="T23" s="57">
        <v>12.0</v>
      </c>
      <c r="U23" s="17">
        <f t="shared" si="6"/>
        <v>60.84</v>
      </c>
      <c r="V23" s="17"/>
      <c r="W23" s="57">
        <v>2.0</v>
      </c>
      <c r="X23" s="17">
        <f t="shared" si="7"/>
        <v>36.44</v>
      </c>
      <c r="Y23" s="63"/>
      <c r="Z23" s="17">
        <f t="shared" si="8"/>
        <v>0</v>
      </c>
      <c r="AA23" s="17"/>
      <c r="AB23" s="21">
        <f>SUM(F23+I23+L23+O23+R23)</f>
        <v>565.71</v>
      </c>
      <c r="AC23" s="50"/>
      <c r="AD23" s="23"/>
    </row>
    <row r="24">
      <c r="A24" s="58" t="s">
        <v>71</v>
      </c>
      <c r="B24" s="58" t="s">
        <v>96</v>
      </c>
      <c r="C24" s="62">
        <v>45432.0</v>
      </c>
      <c r="D24" s="62">
        <v>45435.0</v>
      </c>
      <c r="E24" s="16"/>
      <c r="F24" s="17">
        <f t="shared" si="1"/>
        <v>0</v>
      </c>
      <c r="G24" s="17"/>
      <c r="H24" s="57"/>
      <c r="I24" s="17">
        <f t="shared" si="2"/>
        <v>0</v>
      </c>
      <c r="J24" s="17"/>
      <c r="K24" s="57">
        <v>4.0</v>
      </c>
      <c r="L24" s="17">
        <f t="shared" si="3"/>
        <v>754.28</v>
      </c>
      <c r="M24" s="47">
        <v>754.28</v>
      </c>
      <c r="N24" s="16"/>
      <c r="O24" s="17">
        <f t="shared" si="10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57">
        <v>1.0</v>
      </c>
      <c r="X24" s="17">
        <f t="shared" si="7"/>
        <v>18.22</v>
      </c>
      <c r="Y24" s="20"/>
      <c r="Z24" s="17">
        <f t="shared" si="8"/>
        <v>0</v>
      </c>
      <c r="AA24" s="50"/>
      <c r="AB24" s="48">
        <v>0.0</v>
      </c>
      <c r="AC24" s="50">
        <v>45438.0</v>
      </c>
      <c r="AD24" s="23"/>
    </row>
    <row r="25">
      <c r="A25" s="58" t="s">
        <v>99</v>
      </c>
      <c r="B25" s="58" t="s">
        <v>100</v>
      </c>
      <c r="C25" s="62">
        <v>45428.0</v>
      </c>
      <c r="D25" s="62">
        <v>45430.0</v>
      </c>
      <c r="E25" s="16"/>
      <c r="F25" s="17">
        <f t="shared" si="1"/>
        <v>0</v>
      </c>
      <c r="G25" s="47"/>
      <c r="H25" s="57"/>
      <c r="I25" s="17">
        <f t="shared" si="2"/>
        <v>0</v>
      </c>
      <c r="J25" s="17"/>
      <c r="K25" s="57">
        <v>2.0</v>
      </c>
      <c r="L25" s="17">
        <f t="shared" si="3"/>
        <v>377.14</v>
      </c>
      <c r="M25" s="47">
        <v>377.14</v>
      </c>
      <c r="N25" s="16"/>
      <c r="O25" s="17">
        <f t="shared" si="10"/>
        <v>0</v>
      </c>
      <c r="P25" s="17"/>
      <c r="Q25" s="16"/>
      <c r="R25" s="17">
        <f t="shared" si="5"/>
        <v>0</v>
      </c>
      <c r="S25" s="17"/>
      <c r="T25" s="57">
        <v>8.0</v>
      </c>
      <c r="U25" s="17">
        <f t="shared" si="6"/>
        <v>40.56</v>
      </c>
      <c r="V25" s="47">
        <v>40.56</v>
      </c>
      <c r="W25" s="57">
        <v>13.0</v>
      </c>
      <c r="X25" s="17">
        <f t="shared" si="7"/>
        <v>236.86</v>
      </c>
      <c r="Y25" s="63"/>
      <c r="Z25" s="17">
        <f t="shared" si="8"/>
        <v>0</v>
      </c>
      <c r="AA25" s="17"/>
      <c r="AB25" s="48">
        <v>0.0</v>
      </c>
      <c r="AC25" s="50">
        <v>45438.0</v>
      </c>
      <c r="AD25" s="23"/>
    </row>
    <row r="26" ht="15.75" customHeight="1">
      <c r="A26" s="58" t="s">
        <v>113</v>
      </c>
      <c r="B26" s="58" t="s">
        <v>114</v>
      </c>
      <c r="C26" s="62">
        <v>45414.0</v>
      </c>
      <c r="D26" s="62">
        <v>45431.0</v>
      </c>
      <c r="E26" s="57"/>
      <c r="F26" s="17">
        <f t="shared" si="1"/>
        <v>0</v>
      </c>
      <c r="G26" s="47"/>
      <c r="H26" s="57">
        <v>3.0</v>
      </c>
      <c r="I26" s="17">
        <f t="shared" si="2"/>
        <v>950.31</v>
      </c>
      <c r="J26" s="47">
        <v>950.31</v>
      </c>
      <c r="K26" s="57"/>
      <c r="L26" s="17">
        <f t="shared" si="3"/>
        <v>0</v>
      </c>
      <c r="M26" s="17"/>
      <c r="N26" s="16"/>
      <c r="O26" s="17">
        <f t="shared" si="10"/>
        <v>0</v>
      </c>
      <c r="P26" s="17"/>
      <c r="Q26" s="57"/>
      <c r="R26" s="17">
        <f t="shared" si="5"/>
        <v>0</v>
      </c>
      <c r="S26" s="17"/>
      <c r="T26" s="57"/>
      <c r="U26" s="17">
        <f t="shared" si="6"/>
        <v>0</v>
      </c>
      <c r="V26" s="17"/>
      <c r="W26" s="57"/>
      <c r="X26" s="17">
        <f t="shared" si="7"/>
        <v>0</v>
      </c>
      <c r="Y26" s="20"/>
      <c r="Z26" s="17">
        <f t="shared" si="8"/>
        <v>0</v>
      </c>
      <c r="AA26" s="17"/>
      <c r="AB26" s="48">
        <v>0.0</v>
      </c>
      <c r="AC26" s="50">
        <v>45438.0</v>
      </c>
      <c r="AD26" s="23"/>
    </row>
    <row r="27" ht="15.75" customHeight="1">
      <c r="A27" s="58" t="s">
        <v>65</v>
      </c>
      <c r="B27" s="58" t="s">
        <v>160</v>
      </c>
      <c r="C27" s="62">
        <v>45432.0</v>
      </c>
      <c r="D27" s="62">
        <v>45434.0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47"/>
      <c r="K27" s="57">
        <v>3.0</v>
      </c>
      <c r="L27" s="17">
        <f t="shared" si="3"/>
        <v>565.71</v>
      </c>
      <c r="M27" s="47">
        <v>565.71</v>
      </c>
      <c r="N27" s="57"/>
      <c r="O27" s="17">
        <f t="shared" si="10"/>
        <v>0</v>
      </c>
      <c r="P27" s="17"/>
      <c r="Q27" s="16"/>
      <c r="R27" s="17">
        <f t="shared" si="5"/>
        <v>0</v>
      </c>
      <c r="S27" s="17"/>
      <c r="T27" s="57">
        <v>9.0</v>
      </c>
      <c r="U27" s="17">
        <f t="shared" si="6"/>
        <v>45.63</v>
      </c>
      <c r="V27" s="47">
        <v>45.63</v>
      </c>
      <c r="W27" s="57">
        <v>18.0</v>
      </c>
      <c r="X27" s="17">
        <f t="shared" si="7"/>
        <v>327.96</v>
      </c>
      <c r="Y27" s="63"/>
      <c r="Z27" s="17">
        <f t="shared" si="8"/>
        <v>0</v>
      </c>
      <c r="AA27" s="47"/>
      <c r="AB27" s="48">
        <v>0.0</v>
      </c>
      <c r="AC27" s="50">
        <v>45438.0</v>
      </c>
      <c r="AD27" s="23"/>
    </row>
    <row r="28" ht="15.75" customHeight="1">
      <c r="A28" s="61" t="s">
        <v>57</v>
      </c>
      <c r="B28" s="58" t="s">
        <v>58</v>
      </c>
      <c r="C28" s="62"/>
      <c r="D28" s="62"/>
      <c r="E28" s="16"/>
      <c r="F28" s="17">
        <f t="shared" si="1"/>
        <v>0</v>
      </c>
      <c r="G28" s="17"/>
      <c r="H28" s="57"/>
      <c r="I28" s="17">
        <f t="shared" si="2"/>
        <v>0</v>
      </c>
      <c r="J28" s="47"/>
      <c r="K28" s="57"/>
      <c r="L28" s="17">
        <f t="shared" si="3"/>
        <v>0</v>
      </c>
      <c r="M28" s="17"/>
      <c r="N28" s="57"/>
      <c r="O28" s="17">
        <f t="shared" si="10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20"/>
      <c r="Z28" s="17">
        <f t="shared" si="8"/>
        <v>0</v>
      </c>
      <c r="AA28" s="17"/>
      <c r="AB28" s="21">
        <f t="shared" ref="AB28:AB29" si="11">SUM(F28+I28+L28+O28+R28)</f>
        <v>0</v>
      </c>
      <c r="AC28" s="22"/>
      <c r="AD28" s="23"/>
    </row>
    <row r="29" ht="15.75" customHeight="1">
      <c r="A29" s="58" t="s">
        <v>121</v>
      </c>
      <c r="B29" s="58" t="s">
        <v>100</v>
      </c>
      <c r="C29" s="62"/>
      <c r="D29" s="62"/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57"/>
      <c r="L29" s="17">
        <f t="shared" si="3"/>
        <v>0</v>
      </c>
      <c r="M29" s="47"/>
      <c r="N29" s="60"/>
      <c r="O29" s="17">
        <f t="shared" si="10"/>
        <v>0</v>
      </c>
      <c r="P29" s="17"/>
      <c r="Q29" s="28"/>
      <c r="R29" s="17">
        <f t="shared" si="5"/>
        <v>0</v>
      </c>
      <c r="S29" s="17"/>
      <c r="T29" s="28"/>
      <c r="U29" s="17">
        <f t="shared" si="6"/>
        <v>0</v>
      </c>
      <c r="V29" s="17"/>
      <c r="W29" s="60"/>
      <c r="X29" s="17">
        <f t="shared" si="7"/>
        <v>0</v>
      </c>
      <c r="Y29" s="63"/>
      <c r="Z29" s="17">
        <f t="shared" si="8"/>
        <v>0</v>
      </c>
      <c r="AA29" s="17"/>
      <c r="AB29" s="21">
        <f t="shared" si="11"/>
        <v>0</v>
      </c>
      <c r="AC29" s="22"/>
      <c r="AD29" s="23"/>
    </row>
    <row r="30" ht="15.75" customHeight="1">
      <c r="A30" s="58" t="s">
        <v>115</v>
      </c>
      <c r="B30" s="58" t="s">
        <v>116</v>
      </c>
      <c r="C30" s="62">
        <v>45432.0</v>
      </c>
      <c r="D30" s="62">
        <v>45435.0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4.0</v>
      </c>
      <c r="L30" s="17">
        <f t="shared" si="3"/>
        <v>754.28</v>
      </c>
      <c r="M30" s="47">
        <v>754.28</v>
      </c>
      <c r="N30" s="28"/>
      <c r="O30" s="17">
        <f t="shared" si="10"/>
        <v>0</v>
      </c>
      <c r="P30" s="17"/>
      <c r="Q30" s="28"/>
      <c r="R30" s="17">
        <f t="shared" si="5"/>
        <v>0</v>
      </c>
      <c r="S30" s="17"/>
      <c r="T30" s="60">
        <v>12.0</v>
      </c>
      <c r="U30" s="17">
        <f t="shared" si="6"/>
        <v>60.84</v>
      </c>
      <c r="V30" s="47">
        <v>60.84</v>
      </c>
      <c r="W30" s="60">
        <v>1.0</v>
      </c>
      <c r="X30" s="17">
        <f t="shared" si="7"/>
        <v>18.22</v>
      </c>
      <c r="Y30" s="63"/>
      <c r="Z30" s="17">
        <f t="shared" si="8"/>
        <v>0</v>
      </c>
      <c r="AA30" s="50"/>
      <c r="AB30" s="48">
        <v>0.0</v>
      </c>
      <c r="AC30" s="50">
        <v>45438.0</v>
      </c>
      <c r="AD30" s="23"/>
    </row>
    <row r="31" ht="15.75" customHeight="1">
      <c r="A31" s="90" t="s">
        <v>234</v>
      </c>
      <c r="B31" s="58" t="s">
        <v>235</v>
      </c>
      <c r="C31" s="62">
        <v>45433.0</v>
      </c>
      <c r="D31" s="62">
        <v>45433.0</v>
      </c>
      <c r="E31" s="60">
        <v>1.0</v>
      </c>
      <c r="F31" s="17">
        <f t="shared" si="1"/>
        <v>214.22</v>
      </c>
      <c r="G31" s="47">
        <v>0.0</v>
      </c>
      <c r="H31" s="28"/>
      <c r="I31" s="17">
        <f t="shared" si="2"/>
        <v>0</v>
      </c>
      <c r="J31" s="17"/>
      <c r="K31" s="57">
        <v>1.0</v>
      </c>
      <c r="L31" s="17">
        <f t="shared" si="3"/>
        <v>188.57</v>
      </c>
      <c r="M31" s="47">
        <v>188.57</v>
      </c>
      <c r="N31" s="28"/>
      <c r="O31" s="17">
        <f t="shared" si="10"/>
        <v>0</v>
      </c>
      <c r="P31" s="17"/>
      <c r="Q31" s="28"/>
      <c r="R31" s="17">
        <f t="shared" si="5"/>
        <v>0</v>
      </c>
      <c r="S31" s="17"/>
      <c r="T31" s="60"/>
      <c r="U31" s="17">
        <f t="shared" si="6"/>
        <v>0</v>
      </c>
      <c r="V31" s="17"/>
      <c r="W31" s="60"/>
      <c r="X31" s="17">
        <f t="shared" si="7"/>
        <v>0</v>
      </c>
      <c r="Y31" s="20"/>
      <c r="Z31" s="17">
        <f t="shared" si="8"/>
        <v>0</v>
      </c>
      <c r="AA31" s="17"/>
      <c r="AB31" s="48">
        <v>0.0</v>
      </c>
      <c r="AC31" s="49">
        <v>45438.0</v>
      </c>
      <c r="AD31" s="23"/>
    </row>
    <row r="32" ht="15.75" customHeight="1">
      <c r="A32" s="58" t="s">
        <v>236</v>
      </c>
      <c r="B32" s="58" t="s">
        <v>237</v>
      </c>
      <c r="C32" s="62">
        <v>45432.0</v>
      </c>
      <c r="D32" s="62">
        <v>45434.0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3.0</v>
      </c>
      <c r="L32" s="17">
        <f t="shared" si="3"/>
        <v>565.71</v>
      </c>
      <c r="M32" s="47">
        <v>565.71</v>
      </c>
      <c r="N32" s="28"/>
      <c r="O32" s="17">
        <f t="shared" si="10"/>
        <v>0</v>
      </c>
      <c r="P32" s="17"/>
      <c r="Q32" s="60"/>
      <c r="R32" s="17">
        <f t="shared" si="5"/>
        <v>0</v>
      </c>
      <c r="S32" s="17"/>
      <c r="T32" s="28"/>
      <c r="U32" s="17">
        <f t="shared" si="6"/>
        <v>0</v>
      </c>
      <c r="V32" s="17"/>
      <c r="W32" s="60"/>
      <c r="X32" s="17">
        <f t="shared" si="7"/>
        <v>0</v>
      </c>
      <c r="Y32" s="63"/>
      <c r="Z32" s="17">
        <f t="shared" si="8"/>
        <v>0</v>
      </c>
      <c r="AA32" s="17"/>
      <c r="AB32" s="48">
        <v>0.0</v>
      </c>
      <c r="AC32" s="49">
        <v>45438.0</v>
      </c>
      <c r="AD32" s="23"/>
    </row>
    <row r="33" ht="15.75" customHeight="1">
      <c r="A33" s="58" t="s">
        <v>41</v>
      </c>
      <c r="B33" s="58" t="s">
        <v>42</v>
      </c>
      <c r="C33" s="62">
        <v>45428.0</v>
      </c>
      <c r="D33" s="105">
        <v>45434.0</v>
      </c>
      <c r="E33" s="60"/>
      <c r="F33" s="17">
        <f t="shared" si="1"/>
        <v>0</v>
      </c>
      <c r="G33" s="47"/>
      <c r="H33" s="60"/>
      <c r="I33" s="17">
        <f t="shared" si="2"/>
        <v>0</v>
      </c>
      <c r="J33" s="17"/>
      <c r="K33" s="57">
        <v>4.0</v>
      </c>
      <c r="L33" s="17">
        <f t="shared" si="3"/>
        <v>754.28</v>
      </c>
      <c r="M33" s="47">
        <v>754.28</v>
      </c>
      <c r="N33" s="28"/>
      <c r="O33" s="17">
        <f t="shared" si="10"/>
        <v>0</v>
      </c>
      <c r="P33" s="17"/>
      <c r="Q33" s="28"/>
      <c r="R33" s="17">
        <f t="shared" si="5"/>
        <v>0</v>
      </c>
      <c r="S33" s="17"/>
      <c r="T33" s="60">
        <v>12.0</v>
      </c>
      <c r="U33" s="17">
        <f t="shared" si="6"/>
        <v>60.84</v>
      </c>
      <c r="V33" s="47">
        <v>60.84</v>
      </c>
      <c r="W33" s="60"/>
      <c r="X33" s="17">
        <f t="shared" si="7"/>
        <v>0</v>
      </c>
      <c r="Y33" s="20"/>
      <c r="Z33" s="17">
        <f t="shared" si="8"/>
        <v>0</v>
      </c>
      <c r="AA33" s="17"/>
      <c r="AB33" s="48">
        <v>0.0</v>
      </c>
      <c r="AC33" s="49">
        <v>45438.0</v>
      </c>
      <c r="AD33" s="23"/>
    </row>
    <row r="34" ht="15.75" customHeight="1">
      <c r="A34" s="58" t="s">
        <v>47</v>
      </c>
      <c r="B34" s="58" t="s">
        <v>84</v>
      </c>
      <c r="C34" s="62">
        <v>45432.0</v>
      </c>
      <c r="D34" s="62">
        <v>45434.0</v>
      </c>
      <c r="E34" s="28"/>
      <c r="F34" s="17">
        <f t="shared" si="1"/>
        <v>0</v>
      </c>
      <c r="G34" s="47"/>
      <c r="H34" s="28"/>
      <c r="I34" s="17">
        <f t="shared" si="2"/>
        <v>0</v>
      </c>
      <c r="J34" s="17"/>
      <c r="K34" s="57"/>
      <c r="L34" s="17">
        <f t="shared" si="3"/>
        <v>0</v>
      </c>
      <c r="M34" s="47"/>
      <c r="N34" s="60">
        <v>3.0</v>
      </c>
      <c r="O34" s="17">
        <f t="shared" si="10"/>
        <v>176.55</v>
      </c>
      <c r="P34" s="17"/>
      <c r="Q34" s="28"/>
      <c r="R34" s="17">
        <f t="shared" si="5"/>
        <v>0</v>
      </c>
      <c r="S34" s="17"/>
      <c r="T34" s="60">
        <v>12.0</v>
      </c>
      <c r="U34" s="17">
        <f t="shared" si="6"/>
        <v>60.84</v>
      </c>
      <c r="V34" s="17"/>
      <c r="W34" s="60"/>
      <c r="X34" s="17">
        <f t="shared" si="7"/>
        <v>0</v>
      </c>
      <c r="Y34" s="20"/>
      <c r="Z34" s="17">
        <f t="shared" si="8"/>
        <v>0</v>
      </c>
      <c r="AA34" s="17"/>
      <c r="AB34" s="48">
        <v>0.0</v>
      </c>
      <c r="AC34" s="50"/>
      <c r="AD34" s="23"/>
    </row>
    <row r="35" ht="15.75" customHeight="1">
      <c r="A35" s="58" t="s">
        <v>69</v>
      </c>
      <c r="B35" s="58" t="s">
        <v>70</v>
      </c>
      <c r="C35" s="71">
        <v>45432.0</v>
      </c>
      <c r="D35" s="62">
        <v>45435.0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47"/>
      <c r="K35" s="57"/>
      <c r="L35" s="17">
        <f t="shared" si="3"/>
        <v>0</v>
      </c>
      <c r="M35" s="17"/>
      <c r="N35" s="60">
        <v>4.0</v>
      </c>
      <c r="O35" s="17">
        <f t="shared" si="10"/>
        <v>235.4</v>
      </c>
      <c r="P35" s="47">
        <v>235.4</v>
      </c>
      <c r="Q35" s="28"/>
      <c r="R35" s="17">
        <f t="shared" si="5"/>
        <v>0</v>
      </c>
      <c r="S35" s="17"/>
      <c r="T35" s="60">
        <v>24.0</v>
      </c>
      <c r="U35" s="17">
        <f t="shared" si="6"/>
        <v>121.68</v>
      </c>
      <c r="V35" s="47">
        <v>121.68</v>
      </c>
      <c r="W35" s="60">
        <v>1.0</v>
      </c>
      <c r="X35" s="17">
        <f t="shared" si="7"/>
        <v>18.22</v>
      </c>
      <c r="Y35" s="63"/>
      <c r="Z35" s="17">
        <f t="shared" si="8"/>
        <v>0</v>
      </c>
      <c r="AA35" s="17"/>
      <c r="AB35" s="48">
        <v>0.0</v>
      </c>
      <c r="AC35" s="49">
        <v>45438.0</v>
      </c>
      <c r="AD35" s="23"/>
    </row>
    <row r="36" ht="15.75" customHeight="1">
      <c r="A36" s="58" t="s">
        <v>158</v>
      </c>
      <c r="B36" s="58" t="s">
        <v>159</v>
      </c>
      <c r="C36" s="71"/>
      <c r="D36" s="62"/>
      <c r="E36" s="28"/>
      <c r="F36" s="17">
        <f t="shared" si="1"/>
        <v>0</v>
      </c>
      <c r="G36" s="17"/>
      <c r="H36" s="60"/>
      <c r="I36" s="17">
        <f t="shared" si="2"/>
        <v>0</v>
      </c>
      <c r="J36" s="47"/>
      <c r="K36" s="57"/>
      <c r="L36" s="17">
        <f t="shared" si="3"/>
        <v>0</v>
      </c>
      <c r="M36" s="47"/>
      <c r="N36" s="28"/>
      <c r="O36" s="17">
        <f t="shared" si="10"/>
        <v>0</v>
      </c>
      <c r="P36" s="17"/>
      <c r="Q36" s="28"/>
      <c r="R36" s="17">
        <f t="shared" si="5"/>
        <v>0</v>
      </c>
      <c r="S36" s="17"/>
      <c r="T36" s="60"/>
      <c r="U36" s="17">
        <f t="shared" si="6"/>
        <v>0</v>
      </c>
      <c r="V36" s="17"/>
      <c r="W36" s="60"/>
      <c r="X36" s="17">
        <f t="shared" si="7"/>
        <v>0</v>
      </c>
      <c r="Y36" s="63"/>
      <c r="Z36" s="17">
        <f t="shared" si="8"/>
        <v>0</v>
      </c>
      <c r="AA36" s="17"/>
      <c r="AB36" s="48">
        <v>0.0</v>
      </c>
      <c r="AC36" s="50"/>
      <c r="AD36" s="23"/>
    </row>
    <row r="37" ht="15.75" customHeight="1">
      <c r="A37" s="58" t="s">
        <v>95</v>
      </c>
      <c r="B37" s="58" t="s">
        <v>58</v>
      </c>
      <c r="C37" s="71">
        <v>45432.0</v>
      </c>
      <c r="D37" s="62">
        <v>45435.0</v>
      </c>
      <c r="E37" s="60"/>
      <c r="F37" s="17">
        <f t="shared" si="1"/>
        <v>0</v>
      </c>
      <c r="G37" s="17"/>
      <c r="H37" s="28"/>
      <c r="I37" s="17">
        <f t="shared" si="2"/>
        <v>0</v>
      </c>
      <c r="J37" s="17"/>
      <c r="K37" s="57"/>
      <c r="L37" s="17">
        <f t="shared" si="3"/>
        <v>0</v>
      </c>
      <c r="M37" s="47"/>
      <c r="N37" s="60">
        <v>4.0</v>
      </c>
      <c r="O37" s="17">
        <f t="shared" si="10"/>
        <v>235.4</v>
      </c>
      <c r="P37" s="47">
        <v>235.4</v>
      </c>
      <c r="Q37" s="28"/>
      <c r="R37" s="17">
        <f t="shared" si="5"/>
        <v>0</v>
      </c>
      <c r="S37" s="17"/>
      <c r="T37" s="60">
        <v>20.0</v>
      </c>
      <c r="U37" s="17">
        <f t="shared" si="6"/>
        <v>101.4</v>
      </c>
      <c r="V37" s="47">
        <v>101.4</v>
      </c>
      <c r="W37" s="60"/>
      <c r="X37" s="17">
        <f t="shared" si="7"/>
        <v>0</v>
      </c>
      <c r="Y37" s="20"/>
      <c r="Z37" s="17">
        <f t="shared" si="8"/>
        <v>0</v>
      </c>
      <c r="AA37" s="17"/>
      <c r="AB37" s="48">
        <v>0.0</v>
      </c>
      <c r="AC37" s="50">
        <v>45438.0</v>
      </c>
      <c r="AD37" s="23"/>
    </row>
    <row r="38" ht="15.75" customHeight="1">
      <c r="A38" s="58" t="s">
        <v>247</v>
      </c>
      <c r="B38" s="58" t="s">
        <v>40</v>
      </c>
      <c r="C38" s="71"/>
      <c r="D38" s="62"/>
      <c r="E38" s="28"/>
      <c r="F38" s="17">
        <f t="shared" si="1"/>
        <v>0</v>
      </c>
      <c r="G38" s="17"/>
      <c r="H38" s="60"/>
      <c r="I38" s="17">
        <f t="shared" si="2"/>
        <v>0</v>
      </c>
      <c r="J38" s="47"/>
      <c r="K38" s="57"/>
      <c r="L38" s="17">
        <f t="shared" si="3"/>
        <v>0</v>
      </c>
      <c r="M38" s="47"/>
      <c r="N38" s="28"/>
      <c r="O38" s="17">
        <f t="shared" si="10"/>
        <v>0</v>
      </c>
      <c r="P38" s="17"/>
      <c r="Q38" s="28"/>
      <c r="R38" s="17">
        <f t="shared" si="5"/>
        <v>0</v>
      </c>
      <c r="S38" s="17"/>
      <c r="T38" s="28"/>
      <c r="U38" s="17">
        <f t="shared" si="6"/>
        <v>0</v>
      </c>
      <c r="V38" s="17"/>
      <c r="W38" s="60"/>
      <c r="X38" s="17">
        <f t="shared" si="7"/>
        <v>0</v>
      </c>
      <c r="Y38" s="20"/>
      <c r="Z38" s="17">
        <f t="shared" si="8"/>
        <v>0</v>
      </c>
      <c r="AA38" s="17"/>
      <c r="AB38" s="48">
        <v>0.0</v>
      </c>
      <c r="AC38" s="50"/>
      <c r="AD38" s="23"/>
    </row>
    <row r="39" ht="15.75" customHeight="1">
      <c r="A39" s="58" t="s">
        <v>136</v>
      </c>
      <c r="B39" s="58" t="s">
        <v>162</v>
      </c>
      <c r="C39" s="71">
        <v>45432.0</v>
      </c>
      <c r="D39" s="71">
        <v>45435.0</v>
      </c>
      <c r="E39" s="60">
        <v>1.0</v>
      </c>
      <c r="F39" s="17">
        <f t="shared" si="1"/>
        <v>214.22</v>
      </c>
      <c r="G39" s="17"/>
      <c r="H39" s="28"/>
      <c r="I39" s="17">
        <f t="shared" si="2"/>
        <v>0</v>
      </c>
      <c r="J39" s="17"/>
      <c r="K39" s="57"/>
      <c r="L39" s="17">
        <f t="shared" si="3"/>
        <v>0</v>
      </c>
      <c r="M39" s="47"/>
      <c r="N39" s="60"/>
      <c r="O39" s="17">
        <f t="shared" si="10"/>
        <v>0</v>
      </c>
      <c r="P39" s="47"/>
      <c r="Q39" s="28"/>
      <c r="R39" s="17">
        <f t="shared" si="5"/>
        <v>0</v>
      </c>
      <c r="S39" s="17"/>
      <c r="T39" s="60"/>
      <c r="U39" s="17">
        <f t="shared" si="6"/>
        <v>0</v>
      </c>
      <c r="V39" s="47"/>
      <c r="W39" s="60"/>
      <c r="X39" s="17">
        <f t="shared" si="7"/>
        <v>0</v>
      </c>
      <c r="Y39" s="63"/>
      <c r="Z39" s="17">
        <f t="shared" si="8"/>
        <v>0</v>
      </c>
      <c r="AA39" s="50"/>
      <c r="AB39" s="48">
        <v>0.0</v>
      </c>
      <c r="AC39" s="50"/>
      <c r="AD39" s="23"/>
      <c r="AE39" s="31"/>
    </row>
    <row r="40" ht="15.75" customHeight="1">
      <c r="A40" s="58" t="s">
        <v>69</v>
      </c>
      <c r="B40" s="58" t="s">
        <v>129</v>
      </c>
      <c r="C40" s="71"/>
      <c r="D40" s="62"/>
      <c r="E40" s="60"/>
      <c r="F40" s="17">
        <f t="shared" si="1"/>
        <v>0</v>
      </c>
      <c r="G40" s="17"/>
      <c r="H40" s="28"/>
      <c r="I40" s="17">
        <f>PRODUCT(H39)*316.77</f>
        <v>0</v>
      </c>
      <c r="J40" s="17"/>
      <c r="K40" s="57"/>
      <c r="L40" s="17">
        <f t="shared" si="3"/>
        <v>0</v>
      </c>
      <c r="M40" s="47"/>
      <c r="N40" s="28"/>
      <c r="O40" s="17">
        <f t="shared" si="10"/>
        <v>0</v>
      </c>
      <c r="P40" s="17"/>
      <c r="Q40" s="28"/>
      <c r="R40" s="97">
        <f t="shared" si="5"/>
        <v>0</v>
      </c>
      <c r="S40" s="17"/>
      <c r="T40" s="60"/>
      <c r="U40" s="17">
        <f t="shared" si="6"/>
        <v>0</v>
      </c>
      <c r="V40" s="17"/>
      <c r="W40" s="28"/>
      <c r="X40" s="17">
        <f t="shared" si="7"/>
        <v>0</v>
      </c>
      <c r="Y40" s="20"/>
      <c r="Z40" s="17">
        <f t="shared" si="8"/>
        <v>0</v>
      </c>
      <c r="AA40" s="17"/>
      <c r="AB40" s="48">
        <v>0.0</v>
      </c>
      <c r="AC40" s="49"/>
      <c r="AD40" s="23"/>
    </row>
    <row r="41" ht="15.75" customHeight="1">
      <c r="A41" s="58"/>
      <c r="B41" s="58"/>
      <c r="C41" s="71"/>
      <c r="D41" s="62"/>
      <c r="E41" s="60"/>
      <c r="F41" s="17">
        <f t="shared" si="1"/>
        <v>0</v>
      </c>
      <c r="G41" s="17"/>
      <c r="H41" s="28"/>
      <c r="I41" s="17">
        <f t="shared" ref="I41:I52" si="12">PRODUCT(H41)*316.77</f>
        <v>0</v>
      </c>
      <c r="J41" s="17"/>
      <c r="K41" s="57"/>
      <c r="L41" s="17">
        <f t="shared" si="3"/>
        <v>0</v>
      </c>
      <c r="M41" s="17"/>
      <c r="N41" s="28"/>
      <c r="O41" s="17">
        <f t="shared" si="10"/>
        <v>0</v>
      </c>
      <c r="P41" s="17"/>
      <c r="Q41" s="28"/>
      <c r="R41" s="97">
        <f t="shared" si="5"/>
        <v>0</v>
      </c>
      <c r="S41" s="17"/>
      <c r="T41" s="28"/>
      <c r="U41" s="17">
        <f t="shared" si="6"/>
        <v>0</v>
      </c>
      <c r="V41" s="17"/>
      <c r="W41" s="28"/>
      <c r="X41" s="17">
        <f t="shared" si="7"/>
        <v>0</v>
      </c>
      <c r="Y41" s="63"/>
      <c r="Z41" s="17">
        <f t="shared" si="8"/>
        <v>0</v>
      </c>
      <c r="AA41" s="17"/>
      <c r="AB41" s="21">
        <f>SUM(F41+I42+L41+O41+R41)</f>
        <v>0</v>
      </c>
      <c r="AC41" s="22"/>
      <c r="AD41" s="23"/>
    </row>
    <row r="42" ht="15.75" customHeight="1">
      <c r="A42" s="58" t="s">
        <v>223</v>
      </c>
      <c r="B42" s="58" t="s">
        <v>224</v>
      </c>
      <c r="C42" s="71">
        <v>45432.0</v>
      </c>
      <c r="D42" s="62">
        <v>45434.0</v>
      </c>
      <c r="E42" s="60"/>
      <c r="F42" s="17">
        <f t="shared" si="1"/>
        <v>0</v>
      </c>
      <c r="G42" s="17"/>
      <c r="H42" s="28"/>
      <c r="I42" s="17">
        <f t="shared" si="12"/>
        <v>0</v>
      </c>
      <c r="J42" s="17"/>
      <c r="K42" s="57">
        <v>3.0</v>
      </c>
      <c r="L42" s="17">
        <f t="shared" si="3"/>
        <v>565.71</v>
      </c>
      <c r="M42" s="47"/>
      <c r="N42" s="28"/>
      <c r="O42" s="17">
        <f t="shared" si="10"/>
        <v>0</v>
      </c>
      <c r="P42" s="17"/>
      <c r="Q42" s="28"/>
      <c r="R42" s="97">
        <f t="shared" si="5"/>
        <v>0</v>
      </c>
      <c r="S42" s="17"/>
      <c r="T42" s="60">
        <v>16.0</v>
      </c>
      <c r="U42" s="17">
        <f t="shared" si="6"/>
        <v>81.12</v>
      </c>
      <c r="V42" s="47"/>
      <c r="W42" s="60">
        <v>1.0</v>
      </c>
      <c r="X42" s="17">
        <f t="shared" si="7"/>
        <v>18.22</v>
      </c>
      <c r="Y42" s="20"/>
      <c r="Z42" s="17">
        <f t="shared" si="8"/>
        <v>0</v>
      </c>
      <c r="AA42" s="17"/>
      <c r="AB42" s="48">
        <v>0.0</v>
      </c>
      <c r="AC42" s="49"/>
      <c r="AD42" s="23"/>
    </row>
    <row r="43" ht="15.75" customHeight="1">
      <c r="A43" s="58" t="s">
        <v>193</v>
      </c>
      <c r="B43" s="58" t="s">
        <v>194</v>
      </c>
      <c r="C43" s="71"/>
      <c r="D43" s="104"/>
      <c r="E43" s="60"/>
      <c r="F43" s="17">
        <f t="shared" si="1"/>
        <v>0</v>
      </c>
      <c r="G43" s="17"/>
      <c r="H43" s="28"/>
      <c r="I43" s="17">
        <f t="shared" si="12"/>
        <v>0</v>
      </c>
      <c r="J43" s="17"/>
      <c r="K43" s="57"/>
      <c r="L43" s="17">
        <f t="shared" si="3"/>
        <v>0</v>
      </c>
      <c r="M43" s="47"/>
      <c r="N43" s="28"/>
      <c r="O43" s="17">
        <f t="shared" si="10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47"/>
      <c r="W43" s="60"/>
      <c r="X43" s="17">
        <f t="shared" si="7"/>
        <v>0</v>
      </c>
      <c r="Y43" s="20"/>
      <c r="Z43" s="17">
        <f t="shared" si="8"/>
        <v>0</v>
      </c>
      <c r="AA43" s="17"/>
      <c r="AB43" s="48">
        <v>0.0</v>
      </c>
      <c r="AC43" s="49"/>
      <c r="AD43" s="23"/>
    </row>
    <row r="44" ht="15.75" customHeight="1">
      <c r="A44" s="58" t="s">
        <v>49</v>
      </c>
      <c r="B44" s="58" t="s">
        <v>50</v>
      </c>
      <c r="C44" s="62">
        <v>45432.0</v>
      </c>
      <c r="D44" s="62">
        <v>45435.0</v>
      </c>
      <c r="E44" s="28"/>
      <c r="F44" s="17">
        <f t="shared" si="1"/>
        <v>0</v>
      </c>
      <c r="G44" s="47"/>
      <c r="H44" s="28"/>
      <c r="I44" s="17">
        <f t="shared" si="12"/>
        <v>0</v>
      </c>
      <c r="J44" s="17"/>
      <c r="K44" s="57">
        <v>4.0</v>
      </c>
      <c r="L44" s="17">
        <f t="shared" si="3"/>
        <v>754.28</v>
      </c>
      <c r="M44" s="47">
        <v>754.28</v>
      </c>
      <c r="N44" s="28"/>
      <c r="O44" s="17">
        <f t="shared" si="10"/>
        <v>0</v>
      </c>
      <c r="P44" s="17"/>
      <c r="Q44" s="28"/>
      <c r="R44" s="97">
        <f t="shared" si="5"/>
        <v>0</v>
      </c>
      <c r="S44" s="17"/>
      <c r="T44" s="60">
        <v>24.0</v>
      </c>
      <c r="U44" s="17">
        <f t="shared" si="6"/>
        <v>121.68</v>
      </c>
      <c r="V44" s="47">
        <v>121.68</v>
      </c>
      <c r="W44" s="60"/>
      <c r="X44" s="17">
        <f t="shared" si="7"/>
        <v>0</v>
      </c>
      <c r="Y44" s="20"/>
      <c r="Z44" s="17">
        <f t="shared" si="8"/>
        <v>0</v>
      </c>
      <c r="AA44" s="17"/>
      <c r="AB44" s="48">
        <v>0.0</v>
      </c>
      <c r="AC44" s="49">
        <v>45438.0</v>
      </c>
      <c r="AD44" s="23"/>
    </row>
    <row r="45" ht="15.75" customHeight="1">
      <c r="A45" s="58" t="s">
        <v>198</v>
      </c>
      <c r="B45" s="58" t="s">
        <v>199</v>
      </c>
      <c r="C45" s="71"/>
      <c r="D45" s="71"/>
      <c r="E45" s="60"/>
      <c r="F45" s="17">
        <f t="shared" si="1"/>
        <v>0</v>
      </c>
      <c r="G45" s="17"/>
      <c r="H45" s="28"/>
      <c r="I45" s="17">
        <f t="shared" si="12"/>
        <v>0</v>
      </c>
      <c r="J45" s="47"/>
      <c r="K45" s="57"/>
      <c r="L45" s="17">
        <f t="shared" si="3"/>
        <v>0</v>
      </c>
      <c r="M45" s="47"/>
      <c r="N45" s="28"/>
      <c r="O45" s="17">
        <f t="shared" si="10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60"/>
      <c r="X45" s="17">
        <f t="shared" si="7"/>
        <v>0</v>
      </c>
      <c r="Y45" s="63"/>
      <c r="Z45" s="17">
        <f t="shared" si="8"/>
        <v>0</v>
      </c>
      <c r="AA45" s="17"/>
      <c r="AB45" s="48">
        <v>0.0</v>
      </c>
      <c r="AC45" s="49"/>
      <c r="AD45" s="23"/>
    </row>
    <row r="46" ht="15.75" customHeight="1">
      <c r="A46" s="58" t="s">
        <v>227</v>
      </c>
      <c r="B46" s="58" t="s">
        <v>228</v>
      </c>
      <c r="C46" s="62">
        <v>45412.0</v>
      </c>
      <c r="D46" s="62">
        <v>45421.0</v>
      </c>
      <c r="E46" s="60"/>
      <c r="F46" s="17">
        <f t="shared" si="1"/>
        <v>0</v>
      </c>
      <c r="G46" s="17"/>
      <c r="H46" s="60">
        <v>10.0</v>
      </c>
      <c r="I46" s="17">
        <f t="shared" si="12"/>
        <v>3167.7</v>
      </c>
      <c r="J46" s="47">
        <v>3167.7</v>
      </c>
      <c r="K46" s="57">
        <v>3.0</v>
      </c>
      <c r="L46" s="17">
        <f t="shared" si="3"/>
        <v>565.71</v>
      </c>
      <c r="M46" s="47">
        <v>565.71</v>
      </c>
      <c r="N46" s="28"/>
      <c r="O46" s="17">
        <f t="shared" si="10"/>
        <v>0</v>
      </c>
      <c r="P46" s="17"/>
      <c r="Q46" s="28"/>
      <c r="R46" s="97">
        <f t="shared" si="5"/>
        <v>0</v>
      </c>
      <c r="S46" s="17"/>
      <c r="T46" s="60">
        <v>16.0</v>
      </c>
      <c r="U46" s="17">
        <f t="shared" si="6"/>
        <v>81.12</v>
      </c>
      <c r="V46" s="47">
        <v>81.12</v>
      </c>
      <c r="W46" s="60">
        <v>19.0</v>
      </c>
      <c r="X46" s="17">
        <f t="shared" si="7"/>
        <v>346.18</v>
      </c>
      <c r="Y46" s="63"/>
      <c r="Z46" s="17">
        <f t="shared" si="8"/>
        <v>0</v>
      </c>
      <c r="AA46" s="17"/>
      <c r="AB46" s="48">
        <v>0.0</v>
      </c>
      <c r="AC46" s="49">
        <v>45438.0</v>
      </c>
      <c r="AD46" s="23"/>
    </row>
    <row r="47" ht="15.75" customHeight="1">
      <c r="A47" s="58" t="s">
        <v>203</v>
      </c>
      <c r="B47" s="58" t="s">
        <v>204</v>
      </c>
      <c r="C47" s="62"/>
      <c r="D47" s="62"/>
      <c r="E47" s="28"/>
      <c r="F47" s="17">
        <f t="shared" si="1"/>
        <v>0</v>
      </c>
      <c r="G47" s="17"/>
      <c r="H47" s="28"/>
      <c r="I47" s="17">
        <f t="shared" si="12"/>
        <v>0</v>
      </c>
      <c r="J47" s="17"/>
      <c r="K47" s="57"/>
      <c r="L47" s="17">
        <f t="shared" si="3"/>
        <v>0</v>
      </c>
      <c r="M47" s="47"/>
      <c r="N47" s="28"/>
      <c r="O47" s="17">
        <f t="shared" si="10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/>
      <c r="X47" s="17">
        <f t="shared" si="7"/>
        <v>0</v>
      </c>
      <c r="Y47" s="63"/>
      <c r="Z47" s="17">
        <f t="shared" si="8"/>
        <v>0</v>
      </c>
      <c r="AA47" s="17"/>
      <c r="AB47" s="48">
        <v>0.0</v>
      </c>
      <c r="AC47" s="49"/>
      <c r="AD47" s="23"/>
    </row>
    <row r="48" ht="15.75" customHeight="1">
      <c r="A48" s="58" t="s">
        <v>212</v>
      </c>
      <c r="B48" s="58" t="s">
        <v>213</v>
      </c>
      <c r="C48" s="62"/>
      <c r="D48" s="62"/>
      <c r="E48" s="60"/>
      <c r="F48" s="17">
        <f t="shared" si="1"/>
        <v>0</v>
      </c>
      <c r="G48" s="17"/>
      <c r="H48" s="60"/>
      <c r="I48" s="17">
        <f t="shared" si="12"/>
        <v>0</v>
      </c>
      <c r="J48" s="17"/>
      <c r="K48" s="57"/>
      <c r="L48" s="17">
        <f t="shared" si="3"/>
        <v>0</v>
      </c>
      <c r="M48" s="47"/>
      <c r="N48" s="28"/>
      <c r="O48" s="17">
        <f t="shared" si="10"/>
        <v>0</v>
      </c>
      <c r="P48" s="17"/>
      <c r="Q48" s="28"/>
      <c r="R48" s="97">
        <f t="shared" si="5"/>
        <v>0</v>
      </c>
      <c r="S48" s="17"/>
      <c r="T48" s="28"/>
      <c r="U48" s="17">
        <f t="shared" si="6"/>
        <v>0</v>
      </c>
      <c r="V48" s="17"/>
      <c r="W48" s="28"/>
      <c r="X48" s="17">
        <f t="shared" si="7"/>
        <v>0</v>
      </c>
      <c r="Y48" s="63"/>
      <c r="Z48" s="17">
        <f t="shared" si="8"/>
        <v>0</v>
      </c>
      <c r="AA48" s="17"/>
      <c r="AB48" s="48">
        <v>0.0</v>
      </c>
      <c r="AC48" s="49"/>
      <c r="AD48" s="23"/>
    </row>
    <row r="49" ht="15.75" customHeight="1">
      <c r="A49" s="58" t="s">
        <v>238</v>
      </c>
      <c r="B49" s="58" t="s">
        <v>80</v>
      </c>
      <c r="C49" s="62">
        <v>45433.0</v>
      </c>
      <c r="D49" s="62">
        <v>45434.0</v>
      </c>
      <c r="E49" s="60"/>
      <c r="F49" s="17">
        <f t="shared" si="1"/>
        <v>0</v>
      </c>
      <c r="G49" s="17"/>
      <c r="H49" s="60"/>
      <c r="I49" s="17">
        <f t="shared" si="12"/>
        <v>0</v>
      </c>
      <c r="J49" s="17"/>
      <c r="K49" s="57">
        <v>2.0</v>
      </c>
      <c r="L49" s="17">
        <f t="shared" si="3"/>
        <v>377.14</v>
      </c>
      <c r="M49" s="47">
        <v>377.14</v>
      </c>
      <c r="N49" s="28"/>
      <c r="O49" s="17">
        <f t="shared" si="10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60"/>
      <c r="X49" s="17">
        <f t="shared" si="7"/>
        <v>0</v>
      </c>
      <c r="Y49" s="63"/>
      <c r="Z49" s="17">
        <f t="shared" si="8"/>
        <v>0</v>
      </c>
      <c r="AA49" s="17"/>
      <c r="AB49" s="48">
        <v>0.0</v>
      </c>
      <c r="AC49" s="50">
        <v>45438.0</v>
      </c>
      <c r="AD49" s="23"/>
    </row>
    <row r="50" ht="15.75" customHeight="1">
      <c r="A50" s="58" t="s">
        <v>71</v>
      </c>
      <c r="B50" s="58" t="s">
        <v>190</v>
      </c>
      <c r="C50" s="62">
        <v>45405.0</v>
      </c>
      <c r="D50" s="62">
        <v>45405.0</v>
      </c>
      <c r="E50" s="60"/>
      <c r="F50" s="17">
        <f t="shared" si="1"/>
        <v>0</v>
      </c>
      <c r="G50" s="17"/>
      <c r="H50" s="60"/>
      <c r="I50" s="17">
        <f t="shared" si="12"/>
        <v>0</v>
      </c>
      <c r="J50" s="17"/>
      <c r="K50" s="57"/>
      <c r="L50" s="17">
        <f t="shared" si="3"/>
        <v>0</v>
      </c>
      <c r="M50" s="17"/>
      <c r="N50" s="28"/>
      <c r="O50" s="17">
        <f t="shared" si="10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>
        <v>5.0</v>
      </c>
      <c r="X50" s="17">
        <f t="shared" si="7"/>
        <v>91.1</v>
      </c>
      <c r="Y50" s="63"/>
      <c r="Z50" s="17">
        <f t="shared" si="8"/>
        <v>0</v>
      </c>
      <c r="AA50" s="47"/>
      <c r="AB50" s="48">
        <v>0.0</v>
      </c>
      <c r="AC50" s="50"/>
      <c r="AD50" s="23"/>
    </row>
    <row r="51" ht="15.75" customHeight="1">
      <c r="A51" s="58" t="s">
        <v>181</v>
      </c>
      <c r="B51" s="58" t="s">
        <v>182</v>
      </c>
      <c r="C51" s="62">
        <v>45422.0</v>
      </c>
      <c r="D51" s="62">
        <v>45435.0</v>
      </c>
      <c r="E51" s="60"/>
      <c r="F51" s="17">
        <f t="shared" si="1"/>
        <v>0</v>
      </c>
      <c r="G51" s="47"/>
      <c r="H51" s="60">
        <v>14.0</v>
      </c>
      <c r="I51" s="17">
        <f t="shared" si="12"/>
        <v>4434.78</v>
      </c>
      <c r="J51" s="47">
        <v>4434.78</v>
      </c>
      <c r="K51" s="57"/>
      <c r="L51" s="17">
        <f t="shared" si="3"/>
        <v>0</v>
      </c>
      <c r="M51" s="17"/>
      <c r="N51" s="28"/>
      <c r="O51" s="17">
        <f t="shared" si="10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>
        <v>10.0</v>
      </c>
      <c r="X51" s="17">
        <f t="shared" si="7"/>
        <v>182.2</v>
      </c>
      <c r="Y51" s="63"/>
      <c r="Z51" s="17">
        <f t="shared" si="8"/>
        <v>0</v>
      </c>
      <c r="AA51" s="17"/>
      <c r="AB51" s="48">
        <v>0.0</v>
      </c>
      <c r="AC51" s="50">
        <v>45438.0</v>
      </c>
      <c r="AD51" s="23"/>
    </row>
    <row r="52" ht="15.75" customHeight="1">
      <c r="A52" s="58" t="s">
        <v>163</v>
      </c>
      <c r="B52" s="58" t="s">
        <v>164</v>
      </c>
      <c r="C52" s="62">
        <v>45432.0</v>
      </c>
      <c r="D52" s="62">
        <v>45434.0</v>
      </c>
      <c r="E52" s="60"/>
      <c r="F52" s="17">
        <f t="shared" si="1"/>
        <v>0</v>
      </c>
      <c r="G52" s="17"/>
      <c r="H52" s="60"/>
      <c r="I52" s="17">
        <f t="shared" si="12"/>
        <v>0</v>
      </c>
      <c r="J52" s="17"/>
      <c r="K52" s="57">
        <v>3.0</v>
      </c>
      <c r="L52" s="17">
        <f t="shared" si="3"/>
        <v>565.71</v>
      </c>
      <c r="M52" s="47">
        <v>565.71</v>
      </c>
      <c r="N52" s="28"/>
      <c r="O52" s="17">
        <f t="shared" si="10"/>
        <v>0</v>
      </c>
      <c r="P52" s="17"/>
      <c r="Q52" s="28"/>
      <c r="R52" s="97">
        <f t="shared" si="5"/>
        <v>0</v>
      </c>
      <c r="S52" s="17"/>
      <c r="T52" s="60">
        <v>12.0</v>
      </c>
      <c r="U52" s="17">
        <f t="shared" si="6"/>
        <v>60.84</v>
      </c>
      <c r="V52" s="47">
        <v>60.84</v>
      </c>
      <c r="W52" s="60">
        <v>1.0</v>
      </c>
      <c r="X52" s="17">
        <f t="shared" si="7"/>
        <v>18.22</v>
      </c>
      <c r="Y52" s="63"/>
      <c r="Z52" s="17">
        <f t="shared" si="8"/>
        <v>0</v>
      </c>
      <c r="AA52" s="17"/>
      <c r="AB52" s="48">
        <v>0.0</v>
      </c>
      <c r="AC52" s="50">
        <v>45438.0</v>
      </c>
      <c r="AD52" s="23"/>
    </row>
    <row r="53" ht="15.75" customHeight="1">
      <c r="A53" s="40" t="s">
        <v>81</v>
      </c>
      <c r="B53" s="41"/>
      <c r="C53" s="41"/>
      <c r="D53" s="41"/>
      <c r="E53" s="42"/>
      <c r="F53" s="43">
        <f>SUM(F31:F52)</f>
        <v>428.44</v>
      </c>
      <c r="G53" s="43">
        <f>SUM(G4:G43)</f>
        <v>428.44</v>
      </c>
      <c r="H53" s="42"/>
      <c r="I53" s="43">
        <f>SUM(I4:I52)</f>
        <v>16472.04</v>
      </c>
      <c r="J53" s="43">
        <f>SUM(J4:J43)</f>
        <v>8869.56</v>
      </c>
      <c r="K53" s="42"/>
      <c r="L53" s="43">
        <f t="shared" ref="L53:M53" si="13">SUM(L4:L43)</f>
        <v>7542.8</v>
      </c>
      <c r="M53" s="43">
        <f t="shared" si="13"/>
        <v>6411.38</v>
      </c>
      <c r="N53" s="42"/>
      <c r="O53" s="43">
        <f t="shared" ref="O53:P53" si="14">SUM(O4:O43)</f>
        <v>882.75</v>
      </c>
      <c r="P53" s="43">
        <f t="shared" si="14"/>
        <v>706.2</v>
      </c>
      <c r="Q53" s="42"/>
      <c r="R53" s="43">
        <f t="shared" ref="R53:S53" si="15">SUM(R4:R43)</f>
        <v>0</v>
      </c>
      <c r="S53" s="43">
        <f t="shared" si="15"/>
        <v>0</v>
      </c>
      <c r="T53" s="42"/>
      <c r="U53" s="43">
        <f t="shared" ref="U53:V53" si="16">SUM(U4:U43)</f>
        <v>937.95</v>
      </c>
      <c r="V53" s="43">
        <f t="shared" si="16"/>
        <v>633.75</v>
      </c>
      <c r="W53" s="42"/>
      <c r="X53" s="43">
        <f>SUM(X4:X43)</f>
        <v>2295.72</v>
      </c>
      <c r="Y53" s="42"/>
      <c r="Z53" s="43">
        <f t="shared" ref="Z53:AB53" si="17">SUM(Z4:Z43)</f>
        <v>0</v>
      </c>
      <c r="AA53" s="43">
        <f t="shared" si="17"/>
        <v>0</v>
      </c>
      <c r="AB53" s="43">
        <f t="shared" si="17"/>
        <v>565.71</v>
      </c>
      <c r="AC53" s="41"/>
      <c r="AD53" s="44"/>
    </row>
    <row r="54" ht="15.75" customHeight="1">
      <c r="E54" s="1"/>
      <c r="H54" s="1"/>
      <c r="K54" s="1"/>
      <c r="N54" s="1"/>
      <c r="Q54" s="1"/>
      <c r="T54" s="1"/>
      <c r="W54" s="1"/>
      <c r="Y54" s="1"/>
      <c r="AB54" s="3"/>
    </row>
    <row r="55" ht="15.75" customHeight="1">
      <c r="E55" s="1"/>
      <c r="H55" s="1"/>
      <c r="K55" s="1"/>
      <c r="M55" s="75" t="s">
        <v>166</v>
      </c>
      <c r="N55" s="1"/>
      <c r="Q55" s="1"/>
      <c r="T55" s="1"/>
      <c r="W55" s="1"/>
      <c r="Y55" s="1"/>
      <c r="AB55" s="3"/>
    </row>
    <row r="56" ht="15.75" customHeight="1">
      <c r="E56" s="1"/>
      <c r="H56" s="1"/>
      <c r="K56" s="1"/>
      <c r="N56" s="1"/>
      <c r="Q56" s="1"/>
      <c r="T56" s="1"/>
      <c r="W56" s="1"/>
      <c r="Y56" s="1"/>
      <c r="AB56" s="3"/>
    </row>
    <row r="57" ht="15.75" customHeight="1">
      <c r="E57" s="1"/>
      <c r="H57" s="1"/>
      <c r="K57" s="1"/>
      <c r="N57" s="1"/>
      <c r="Q57" s="1"/>
      <c r="T57" s="1"/>
      <c r="W57" s="1"/>
      <c r="Y57" s="1"/>
      <c r="AB57" s="3"/>
    </row>
    <row r="58" ht="15.75" customHeight="1">
      <c r="E58" s="1"/>
      <c r="H58" s="1"/>
      <c r="K58" s="1"/>
      <c r="N58" s="1"/>
      <c r="Q58" s="1"/>
      <c r="T58" s="1"/>
      <c r="W58" s="1"/>
      <c r="Y58" s="1"/>
      <c r="AB58" s="3"/>
    </row>
    <row r="59" ht="15.75" customHeight="1">
      <c r="E59" s="1"/>
      <c r="H59" s="1"/>
      <c r="K59" s="1"/>
      <c r="N59" s="1"/>
      <c r="Q59" s="1"/>
      <c r="T59" s="1"/>
      <c r="W59" s="1"/>
      <c r="Y59" s="1"/>
      <c r="AB59" s="3"/>
    </row>
    <row r="60" ht="15.75" customHeight="1">
      <c r="E60" s="1"/>
      <c r="H60" s="1"/>
      <c r="K60" s="1"/>
      <c r="N60" s="1"/>
      <c r="Q60" s="1"/>
      <c r="T60" s="1"/>
      <c r="W60" s="1"/>
      <c r="Y60" s="1"/>
      <c r="AB60" s="3"/>
    </row>
    <row r="61" ht="15.75" customHeight="1">
      <c r="E61" s="1"/>
      <c r="H61" s="1"/>
      <c r="K61" s="1"/>
      <c r="N61" s="1"/>
      <c r="Q61" s="1"/>
      <c r="T61" s="1"/>
      <c r="W61" s="1"/>
      <c r="Y61" s="1"/>
      <c r="AB61" s="3"/>
    </row>
    <row r="62" ht="15.75" customHeight="1">
      <c r="E62" s="1"/>
      <c r="H62" s="1"/>
      <c r="K62" s="1"/>
      <c r="N62" s="1"/>
      <c r="Q62" s="1"/>
      <c r="T62" s="1"/>
      <c r="W62" s="1"/>
      <c r="Y62" s="1"/>
      <c r="AB62" s="3"/>
    </row>
    <row r="63" ht="15.75" customHeight="1">
      <c r="E63" s="1"/>
      <c r="H63" s="1"/>
      <c r="K63" s="1"/>
      <c r="N63" s="1"/>
      <c r="Q63" s="1"/>
      <c r="T63" s="1"/>
      <c r="W63" s="1"/>
      <c r="Y63" s="1"/>
      <c r="AB63" s="3"/>
    </row>
    <row r="64" ht="15.75" customHeight="1">
      <c r="E64" s="1"/>
      <c r="H64" s="1"/>
      <c r="K64" s="1"/>
      <c r="N64" s="1"/>
      <c r="Q64" s="1"/>
      <c r="T64" s="1"/>
      <c r="W64" s="1"/>
      <c r="Y64" s="1"/>
      <c r="AB64" s="3"/>
    </row>
    <row r="65" ht="15.75" customHeight="1">
      <c r="E65" s="1"/>
      <c r="H65" s="1"/>
      <c r="K65" s="1"/>
      <c r="N65" s="1"/>
      <c r="Q65" s="1"/>
      <c r="T65" s="1"/>
      <c r="W65" s="1"/>
      <c r="Y65" s="1"/>
      <c r="AB65" s="3"/>
    </row>
    <row r="66" ht="15.75" customHeight="1">
      <c r="E66" s="1"/>
      <c r="H66" s="1"/>
      <c r="K66" s="1"/>
      <c r="N66" s="1"/>
      <c r="Q66" s="1"/>
      <c r="T66" s="1"/>
      <c r="W66" s="1"/>
      <c r="Y66" s="1"/>
      <c r="AB66" s="3"/>
    </row>
    <row r="67" ht="15.75" customHeight="1">
      <c r="E67" s="1"/>
      <c r="H67" s="1"/>
      <c r="K67" s="1"/>
      <c r="N67" s="1"/>
      <c r="Q67" s="1"/>
      <c r="T67" s="1"/>
      <c r="W67" s="1"/>
      <c r="Y67" s="1"/>
      <c r="AB67" s="3"/>
    </row>
    <row r="68" ht="15.75" customHeight="1">
      <c r="E68" s="1"/>
      <c r="H68" s="1"/>
      <c r="K68" s="1"/>
      <c r="N68" s="1"/>
      <c r="Q68" s="1"/>
      <c r="T68" s="1"/>
      <c r="W68" s="1"/>
      <c r="Y68" s="1"/>
      <c r="AB68" s="3"/>
    </row>
    <row r="69" ht="15.75" customHeight="1">
      <c r="E69" s="1"/>
      <c r="H69" s="1"/>
      <c r="K69" s="1"/>
      <c r="N69" s="1"/>
      <c r="Q69" s="1"/>
      <c r="T69" s="1"/>
      <c r="W69" s="1"/>
      <c r="Y69" s="1"/>
      <c r="AB69" s="3"/>
    </row>
    <row r="70" ht="15.75" customHeight="1">
      <c r="E70" s="1"/>
      <c r="H70" s="1"/>
      <c r="K70" s="1"/>
      <c r="N70" s="1"/>
      <c r="Q70" s="1"/>
      <c r="T70" s="1"/>
      <c r="W70" s="1"/>
      <c r="Y70" s="1"/>
      <c r="AB70" s="3"/>
    </row>
    <row r="71" ht="15.75" customHeight="1">
      <c r="E71" s="1"/>
      <c r="H71" s="1"/>
      <c r="K71" s="1"/>
      <c r="N71" s="1"/>
      <c r="Q71" s="1"/>
      <c r="T71" s="1"/>
      <c r="W71" s="1"/>
      <c r="Y71" s="1"/>
      <c r="AB71" s="3"/>
    </row>
    <row r="72" ht="15.75" customHeight="1">
      <c r="E72" s="1"/>
      <c r="H72" s="1"/>
      <c r="K72" s="1"/>
      <c r="N72" s="1"/>
      <c r="Q72" s="1"/>
      <c r="T72" s="1"/>
      <c r="W72" s="1"/>
      <c r="Y72" s="1"/>
      <c r="AB72" s="3"/>
    </row>
    <row r="73" ht="15.75" customHeight="1">
      <c r="E73" s="1"/>
      <c r="H73" s="1"/>
      <c r="K73" s="1"/>
      <c r="N73" s="1"/>
      <c r="Q73" s="1"/>
      <c r="T73" s="1"/>
      <c r="W73" s="1"/>
      <c r="Y73" s="1"/>
      <c r="AB73" s="3"/>
    </row>
    <row r="74" ht="15.75" customHeight="1">
      <c r="E74" s="1"/>
      <c r="H74" s="1"/>
      <c r="K74" s="1"/>
      <c r="N74" s="1"/>
      <c r="Q74" s="1"/>
      <c r="T74" s="1"/>
      <c r="W74" s="1"/>
      <c r="Y74" s="1"/>
      <c r="AB74" s="3"/>
    </row>
    <row r="75" ht="15.75" customHeight="1">
      <c r="E75" s="1"/>
      <c r="H75" s="1"/>
      <c r="K75" s="1"/>
      <c r="N75" s="1"/>
      <c r="Q75" s="1"/>
      <c r="T75" s="1"/>
      <c r="W75" s="1"/>
      <c r="Y75" s="1"/>
      <c r="AB75" s="3"/>
    </row>
    <row r="76" ht="15.75" customHeight="1">
      <c r="E76" s="1"/>
      <c r="H76" s="1"/>
      <c r="K76" s="1"/>
      <c r="N76" s="1"/>
      <c r="Q76" s="1"/>
      <c r="T76" s="1"/>
      <c r="W76" s="1"/>
      <c r="Y76" s="1"/>
      <c r="AB76" s="3"/>
    </row>
    <row r="77" ht="15.75" customHeight="1">
      <c r="E77" s="1"/>
      <c r="H77" s="1"/>
      <c r="K77" s="1"/>
      <c r="N77" s="1"/>
      <c r="Q77" s="1"/>
      <c r="T77" s="1"/>
      <c r="W77" s="1"/>
      <c r="Y77" s="1"/>
      <c r="AB77" s="3"/>
    </row>
    <row r="78" ht="15.75" customHeight="1">
      <c r="E78" s="1"/>
      <c r="H78" s="1"/>
      <c r="K78" s="1"/>
      <c r="N78" s="1"/>
      <c r="Q78" s="1"/>
      <c r="T78" s="1"/>
      <c r="W78" s="1"/>
      <c r="Y78" s="1"/>
      <c r="AB78" s="3"/>
    </row>
    <row r="79" ht="15.75" customHeight="1">
      <c r="E79" s="1"/>
      <c r="H79" s="1"/>
      <c r="K79" s="1"/>
      <c r="N79" s="1"/>
      <c r="Q79" s="1"/>
      <c r="T79" s="1"/>
      <c r="W79" s="1"/>
      <c r="Y79" s="1"/>
      <c r="AB79" s="3"/>
    </row>
    <row r="80" ht="15.75" customHeight="1">
      <c r="E80" s="1"/>
      <c r="H80" s="1"/>
      <c r="K80" s="1"/>
      <c r="N80" s="1"/>
      <c r="Q80" s="1"/>
      <c r="T80" s="1"/>
      <c r="W80" s="1"/>
      <c r="Y80" s="1"/>
      <c r="AB80" s="3"/>
    </row>
    <row r="81" ht="15.75" customHeight="1">
      <c r="E81" s="1"/>
      <c r="H81" s="1"/>
      <c r="K81" s="1"/>
      <c r="N81" s="1"/>
      <c r="Q81" s="1"/>
      <c r="T81" s="1"/>
      <c r="W81" s="1"/>
      <c r="Y81" s="1"/>
      <c r="AB81" s="3"/>
    </row>
    <row r="82" ht="15.75" customHeight="1">
      <c r="E82" s="1"/>
      <c r="H82" s="1"/>
      <c r="K82" s="1"/>
      <c r="N82" s="1"/>
      <c r="Q82" s="1"/>
      <c r="T82" s="1"/>
      <c r="W82" s="1"/>
      <c r="Y82" s="1"/>
      <c r="AB82" s="3"/>
    </row>
    <row r="83" ht="15.75" customHeight="1">
      <c r="E83" s="1"/>
      <c r="H83" s="1"/>
      <c r="K83" s="1"/>
      <c r="N83" s="1"/>
      <c r="Q83" s="1"/>
      <c r="T83" s="1"/>
      <c r="W83" s="1"/>
      <c r="Y83" s="1"/>
      <c r="AB83" s="3"/>
    </row>
    <row r="84" ht="15.75" customHeight="1">
      <c r="E84" s="1"/>
      <c r="H84" s="1"/>
      <c r="K84" s="1"/>
      <c r="N84" s="1"/>
      <c r="Q84" s="1"/>
      <c r="T84" s="1"/>
      <c r="W84" s="1"/>
      <c r="Y84" s="1"/>
      <c r="AB84" s="3"/>
    </row>
    <row r="85" ht="15.75" customHeight="1">
      <c r="E85" s="1"/>
      <c r="H85" s="1"/>
      <c r="K85" s="1"/>
      <c r="N85" s="1"/>
      <c r="Q85" s="1"/>
      <c r="T85" s="1"/>
      <c r="W85" s="1"/>
      <c r="Y85" s="1"/>
      <c r="AB85" s="3"/>
    </row>
    <row r="86" ht="15.75" customHeight="1">
      <c r="E86" s="1"/>
      <c r="H86" s="1"/>
      <c r="K86" s="1"/>
      <c r="N86" s="1"/>
      <c r="Q86" s="1"/>
      <c r="T86" s="1"/>
      <c r="W86" s="1"/>
      <c r="Y86" s="1"/>
      <c r="AB86" s="3"/>
    </row>
    <row r="87" ht="15.75" customHeight="1">
      <c r="E87" s="1"/>
      <c r="H87" s="1"/>
      <c r="K87" s="1"/>
      <c r="N87" s="1"/>
      <c r="Q87" s="1"/>
      <c r="T87" s="1"/>
      <c r="W87" s="1"/>
      <c r="Y87" s="1"/>
      <c r="AB87" s="3"/>
    </row>
    <row r="88" ht="15.75" customHeight="1">
      <c r="E88" s="1"/>
      <c r="H88" s="1"/>
      <c r="K88" s="1"/>
      <c r="N88" s="1"/>
      <c r="Q88" s="1"/>
      <c r="T88" s="1"/>
      <c r="W88" s="1"/>
      <c r="Y88" s="1"/>
      <c r="AB88" s="3"/>
    </row>
    <row r="89" ht="15.75" customHeight="1">
      <c r="E89" s="1"/>
      <c r="H89" s="1"/>
      <c r="K89" s="1"/>
      <c r="N89" s="1"/>
      <c r="Q89" s="1"/>
      <c r="T89" s="1"/>
      <c r="W89" s="1"/>
      <c r="Y89" s="1"/>
      <c r="AB89" s="3"/>
    </row>
    <row r="90" ht="15.75" customHeight="1">
      <c r="E90" s="1"/>
      <c r="H90" s="1"/>
      <c r="K90" s="1"/>
      <c r="N90" s="1"/>
      <c r="Q90" s="1"/>
      <c r="T90" s="1"/>
      <c r="W90" s="1"/>
      <c r="Y90" s="1"/>
      <c r="AB90" s="3"/>
    </row>
    <row r="91" ht="15.75" customHeight="1">
      <c r="E91" s="1"/>
      <c r="H91" s="1"/>
      <c r="K91" s="1"/>
      <c r="N91" s="1"/>
      <c r="Q91" s="1"/>
      <c r="T91" s="1"/>
      <c r="W91" s="1"/>
      <c r="Y91" s="1"/>
      <c r="AB91" s="3"/>
    </row>
    <row r="92" ht="15.75" customHeight="1">
      <c r="E92" s="1"/>
      <c r="H92" s="1"/>
      <c r="K92" s="1"/>
      <c r="N92" s="1"/>
      <c r="Q92" s="1"/>
      <c r="T92" s="1"/>
      <c r="W92" s="1"/>
      <c r="Y92" s="1"/>
      <c r="AB92" s="3"/>
    </row>
    <row r="93" ht="15.75" customHeight="1">
      <c r="E93" s="1"/>
      <c r="H93" s="1"/>
      <c r="K93" s="1"/>
      <c r="N93" s="1"/>
      <c r="Q93" s="1"/>
      <c r="T93" s="1"/>
      <c r="W93" s="1"/>
      <c r="Y93" s="1"/>
      <c r="AB93" s="3"/>
    </row>
    <row r="94" ht="15.75" customHeight="1">
      <c r="E94" s="1"/>
      <c r="H94" s="1"/>
      <c r="K94" s="1"/>
      <c r="N94" s="1"/>
      <c r="Q94" s="1"/>
      <c r="T94" s="1"/>
      <c r="W94" s="1"/>
      <c r="Y94" s="1"/>
      <c r="AB94" s="3"/>
    </row>
    <row r="95" ht="15.75" customHeight="1">
      <c r="E95" s="1"/>
      <c r="H95" s="1"/>
      <c r="K95" s="1"/>
      <c r="N95" s="1"/>
      <c r="Q95" s="1"/>
      <c r="T95" s="1"/>
      <c r="W95" s="1"/>
      <c r="Y95" s="1"/>
      <c r="AB95" s="3"/>
    </row>
    <row r="96" ht="15.75" customHeight="1">
      <c r="E96" s="1"/>
      <c r="H96" s="1"/>
      <c r="K96" s="1"/>
      <c r="N96" s="1"/>
      <c r="Q96" s="1"/>
      <c r="T96" s="1"/>
      <c r="W96" s="1"/>
      <c r="Y96" s="1"/>
      <c r="AB96" s="3"/>
    </row>
    <row r="97" ht="15.75" customHeight="1">
      <c r="E97" s="1"/>
      <c r="H97" s="1"/>
      <c r="K97" s="1"/>
      <c r="N97" s="1"/>
      <c r="Q97" s="1"/>
      <c r="T97" s="1"/>
      <c r="W97" s="1"/>
      <c r="Y97" s="1"/>
      <c r="AB97" s="3"/>
    </row>
    <row r="98" ht="15.75" customHeight="1">
      <c r="E98" s="1"/>
      <c r="H98" s="1"/>
      <c r="K98" s="1"/>
      <c r="N98" s="1"/>
      <c r="Q98" s="1"/>
      <c r="T98" s="1"/>
      <c r="W98" s="1"/>
      <c r="Y98" s="1"/>
      <c r="AB98" s="3"/>
    </row>
    <row r="99" ht="15.75" customHeight="1">
      <c r="E99" s="1"/>
      <c r="H99" s="1"/>
      <c r="K99" s="1"/>
      <c r="N99" s="1"/>
      <c r="Q99" s="1"/>
      <c r="T99" s="1"/>
      <c r="W99" s="1"/>
      <c r="Y99" s="1"/>
      <c r="AB99" s="3"/>
    </row>
    <row r="100" ht="15.75" customHeight="1">
      <c r="E100" s="1"/>
      <c r="H100" s="1"/>
      <c r="K100" s="1"/>
      <c r="N100" s="1"/>
      <c r="Q100" s="1"/>
      <c r="T100" s="1"/>
      <c r="W100" s="1"/>
      <c r="Y100" s="1"/>
      <c r="AB100" s="3"/>
    </row>
    <row r="101" ht="15.75" customHeight="1">
      <c r="E101" s="1"/>
      <c r="H101" s="1"/>
      <c r="K101" s="1"/>
      <c r="N101" s="1"/>
      <c r="Q101" s="1"/>
      <c r="T101" s="1"/>
      <c r="W101" s="1"/>
      <c r="Y101" s="1"/>
      <c r="AB101" s="3"/>
    </row>
    <row r="102" ht="15.75" customHeight="1">
      <c r="E102" s="1"/>
      <c r="H102" s="1"/>
      <c r="K102" s="1"/>
      <c r="N102" s="1"/>
      <c r="Q102" s="1"/>
      <c r="T102" s="1"/>
      <c r="W102" s="1"/>
      <c r="Y102" s="1"/>
      <c r="AB102" s="3"/>
    </row>
    <row r="103" ht="15.75" customHeight="1">
      <c r="E103" s="1"/>
      <c r="H103" s="1"/>
      <c r="K103" s="1"/>
      <c r="N103" s="1"/>
      <c r="Q103" s="1"/>
      <c r="T103" s="1"/>
      <c r="W103" s="1"/>
      <c r="Y103" s="1"/>
      <c r="AB103" s="3"/>
    </row>
    <row r="104" ht="15.75" customHeight="1">
      <c r="E104" s="1"/>
      <c r="H104" s="1"/>
      <c r="K104" s="1"/>
      <c r="N104" s="1"/>
      <c r="Q104" s="1"/>
      <c r="T104" s="1"/>
      <c r="W104" s="1"/>
      <c r="Y104" s="1"/>
      <c r="AB104" s="3"/>
    </row>
    <row r="105" ht="15.75" customHeight="1">
      <c r="E105" s="1"/>
      <c r="H105" s="1"/>
      <c r="K105" s="1"/>
      <c r="N105" s="1"/>
      <c r="Q105" s="1"/>
      <c r="T105" s="1"/>
      <c r="W105" s="1"/>
      <c r="Y105" s="1"/>
      <c r="AB105" s="3"/>
    </row>
    <row r="106" ht="15.75" customHeight="1">
      <c r="E106" s="1"/>
      <c r="H106" s="1"/>
      <c r="K106" s="1"/>
      <c r="N106" s="1"/>
      <c r="Q106" s="1"/>
      <c r="T106" s="1"/>
      <c r="W106" s="1"/>
      <c r="Y106" s="1"/>
      <c r="AB106" s="3"/>
    </row>
    <row r="107" ht="15.75" customHeight="1">
      <c r="E107" s="1"/>
      <c r="H107" s="1"/>
      <c r="K107" s="1"/>
      <c r="N107" s="1"/>
      <c r="Q107" s="1"/>
      <c r="T107" s="1"/>
      <c r="W107" s="1"/>
      <c r="Y107" s="1"/>
      <c r="AB107" s="3"/>
    </row>
    <row r="108" ht="15.75" customHeight="1">
      <c r="E108" s="1"/>
      <c r="H108" s="1"/>
      <c r="K108" s="1"/>
      <c r="N108" s="1"/>
      <c r="Q108" s="1"/>
      <c r="T108" s="1"/>
      <c r="W108" s="1"/>
      <c r="Y108" s="1"/>
      <c r="AB108" s="3"/>
    </row>
    <row r="109" ht="15.75" customHeight="1">
      <c r="E109" s="1"/>
      <c r="H109" s="1"/>
      <c r="K109" s="1"/>
      <c r="N109" s="1"/>
      <c r="Q109" s="1"/>
      <c r="T109" s="1"/>
      <c r="W109" s="1"/>
      <c r="Y109" s="1"/>
      <c r="AB109" s="3"/>
    </row>
    <row r="110" ht="15.75" customHeight="1">
      <c r="E110" s="1"/>
      <c r="H110" s="1"/>
      <c r="K110" s="1"/>
      <c r="N110" s="1"/>
      <c r="Q110" s="1"/>
      <c r="T110" s="1"/>
      <c r="W110" s="1"/>
      <c r="Y110" s="1"/>
      <c r="AB110" s="3"/>
    </row>
    <row r="111" ht="15.75" customHeight="1">
      <c r="E111" s="1"/>
      <c r="H111" s="1"/>
      <c r="K111" s="1"/>
      <c r="N111" s="1"/>
      <c r="Q111" s="1"/>
      <c r="T111" s="1"/>
      <c r="W111" s="1"/>
      <c r="Y111" s="1"/>
      <c r="AB111" s="3"/>
    </row>
    <row r="112" ht="15.75" customHeight="1">
      <c r="E112" s="1"/>
      <c r="H112" s="1"/>
      <c r="K112" s="1"/>
      <c r="N112" s="1"/>
      <c r="Q112" s="1"/>
      <c r="T112" s="1"/>
      <c r="W112" s="1"/>
      <c r="Y112" s="1"/>
      <c r="AB112" s="3"/>
    </row>
    <row r="113" ht="15.75" customHeight="1">
      <c r="E113" s="1"/>
      <c r="H113" s="1"/>
      <c r="K113" s="1"/>
      <c r="N113" s="1"/>
      <c r="Q113" s="1"/>
      <c r="T113" s="1"/>
      <c r="W113" s="1"/>
      <c r="Y113" s="1"/>
      <c r="AB113" s="3"/>
    </row>
    <row r="114" ht="15.75" customHeight="1">
      <c r="E114" s="1"/>
      <c r="H114" s="1"/>
      <c r="K114" s="1"/>
      <c r="N114" s="1"/>
      <c r="Q114" s="1"/>
      <c r="T114" s="1"/>
      <c r="W114" s="1"/>
      <c r="Y114" s="1"/>
      <c r="AB114" s="3"/>
    </row>
    <row r="115" ht="15.75" customHeight="1">
      <c r="E115" s="1"/>
      <c r="H115" s="1"/>
      <c r="K115" s="1"/>
      <c r="N115" s="1"/>
      <c r="Q115" s="1"/>
      <c r="T115" s="1"/>
      <c r="W115" s="1"/>
      <c r="Y115" s="1"/>
      <c r="AB115" s="3"/>
    </row>
    <row r="116" ht="15.75" customHeight="1">
      <c r="E116" s="1"/>
      <c r="H116" s="1"/>
      <c r="K116" s="1"/>
      <c r="N116" s="1"/>
      <c r="Q116" s="1"/>
      <c r="T116" s="1"/>
      <c r="W116" s="1"/>
      <c r="Y116" s="1"/>
      <c r="AB116" s="3"/>
    </row>
    <row r="117" ht="15.75" customHeight="1">
      <c r="E117" s="1"/>
      <c r="H117" s="1"/>
      <c r="K117" s="1"/>
      <c r="N117" s="1"/>
      <c r="Q117" s="1"/>
      <c r="T117" s="1"/>
      <c r="W117" s="1"/>
      <c r="Y117" s="1"/>
      <c r="AB117" s="3"/>
    </row>
    <row r="118" ht="15.75" customHeight="1">
      <c r="E118" s="1"/>
      <c r="H118" s="1"/>
      <c r="K118" s="1"/>
      <c r="N118" s="1"/>
      <c r="Q118" s="1"/>
      <c r="T118" s="1"/>
      <c r="W118" s="1"/>
      <c r="Y118" s="1"/>
      <c r="AB118" s="3"/>
    </row>
    <row r="119" ht="15.75" customHeight="1">
      <c r="E119" s="1"/>
      <c r="H119" s="1"/>
      <c r="K119" s="1"/>
      <c r="N119" s="1"/>
      <c r="Q119" s="1"/>
      <c r="T119" s="1"/>
      <c r="W119" s="1"/>
      <c r="Y119" s="1"/>
      <c r="AB119" s="3"/>
    </row>
    <row r="120" ht="15.75" customHeight="1">
      <c r="E120" s="1"/>
      <c r="H120" s="1"/>
      <c r="K120" s="1"/>
      <c r="N120" s="1"/>
      <c r="Q120" s="1"/>
      <c r="T120" s="1"/>
      <c r="W120" s="1"/>
      <c r="Y120" s="1"/>
      <c r="AB120" s="3"/>
    </row>
    <row r="121" ht="15.75" customHeight="1">
      <c r="E121" s="1"/>
      <c r="H121" s="1"/>
      <c r="K121" s="1"/>
      <c r="N121" s="1"/>
      <c r="Q121" s="1"/>
      <c r="T121" s="1"/>
      <c r="W121" s="1"/>
      <c r="Y121" s="1"/>
      <c r="AB121" s="3"/>
    </row>
    <row r="122" ht="15.75" customHeight="1">
      <c r="E122" s="1"/>
      <c r="H122" s="1"/>
      <c r="K122" s="1"/>
      <c r="N122" s="1"/>
      <c r="Q122" s="1"/>
      <c r="T122" s="1"/>
      <c r="W122" s="1"/>
      <c r="Y122" s="1"/>
      <c r="AB122" s="3"/>
    </row>
    <row r="123" ht="15.75" customHeight="1">
      <c r="E123" s="1"/>
      <c r="H123" s="1"/>
      <c r="K123" s="1"/>
      <c r="N123" s="1"/>
      <c r="Q123" s="1"/>
      <c r="T123" s="1"/>
      <c r="W123" s="1"/>
      <c r="Y123" s="1"/>
      <c r="AB123" s="3"/>
    </row>
    <row r="124" ht="15.75" customHeight="1">
      <c r="E124" s="1"/>
      <c r="H124" s="1"/>
      <c r="K124" s="1"/>
      <c r="N124" s="1"/>
      <c r="Q124" s="1"/>
      <c r="T124" s="1"/>
      <c r="W124" s="1"/>
      <c r="Y124" s="1"/>
      <c r="AB124" s="3"/>
    </row>
    <row r="125" ht="15.75" customHeight="1">
      <c r="E125" s="1"/>
      <c r="H125" s="1"/>
      <c r="K125" s="1"/>
      <c r="N125" s="1"/>
      <c r="Q125" s="1"/>
      <c r="T125" s="1"/>
      <c r="W125" s="1"/>
      <c r="Y125" s="1"/>
      <c r="AB125" s="3"/>
    </row>
    <row r="126" ht="15.75" customHeight="1">
      <c r="E126" s="1"/>
      <c r="H126" s="1"/>
      <c r="K126" s="1"/>
      <c r="N126" s="1"/>
      <c r="Q126" s="1"/>
      <c r="T126" s="1"/>
      <c r="W126" s="1"/>
      <c r="Y126" s="1"/>
      <c r="AB126" s="3"/>
    </row>
    <row r="127" ht="15.75" customHeight="1">
      <c r="E127" s="1"/>
      <c r="H127" s="1"/>
      <c r="K127" s="1"/>
      <c r="N127" s="1"/>
      <c r="Q127" s="1"/>
      <c r="T127" s="1"/>
      <c r="W127" s="1"/>
      <c r="Y127" s="1"/>
      <c r="AB127" s="3"/>
    </row>
    <row r="128" ht="15.75" customHeight="1">
      <c r="E128" s="1"/>
      <c r="H128" s="1"/>
      <c r="K128" s="1"/>
      <c r="N128" s="1"/>
      <c r="Q128" s="1"/>
      <c r="T128" s="1"/>
      <c r="W128" s="1"/>
      <c r="Y128" s="1"/>
      <c r="AB128" s="3"/>
    </row>
    <row r="129" ht="15.75" customHeight="1">
      <c r="E129" s="1"/>
      <c r="H129" s="1"/>
      <c r="K129" s="1"/>
      <c r="N129" s="1"/>
      <c r="Q129" s="1"/>
      <c r="T129" s="1"/>
      <c r="W129" s="1"/>
      <c r="Y129" s="1"/>
      <c r="AB129" s="3"/>
    </row>
    <row r="130" ht="15.75" customHeight="1">
      <c r="E130" s="1"/>
      <c r="H130" s="1"/>
      <c r="K130" s="1"/>
      <c r="N130" s="1"/>
      <c r="Q130" s="1"/>
      <c r="T130" s="1"/>
      <c r="W130" s="1"/>
      <c r="Y130" s="1"/>
      <c r="AB130" s="3"/>
    </row>
    <row r="131" ht="15.75" customHeight="1">
      <c r="E131" s="1"/>
      <c r="H131" s="1"/>
      <c r="K131" s="1"/>
      <c r="N131" s="1"/>
      <c r="Q131" s="1"/>
      <c r="T131" s="1"/>
      <c r="W131" s="1"/>
      <c r="Y131" s="1"/>
      <c r="AB131" s="3"/>
    </row>
    <row r="132" ht="15.75" customHeight="1">
      <c r="E132" s="1"/>
      <c r="H132" s="1"/>
      <c r="K132" s="1"/>
      <c r="N132" s="1"/>
      <c r="Q132" s="1"/>
      <c r="T132" s="1"/>
      <c r="W132" s="1"/>
      <c r="Y132" s="1"/>
      <c r="AB132" s="3"/>
    </row>
    <row r="133" ht="15.75" customHeight="1">
      <c r="E133" s="1"/>
      <c r="H133" s="1"/>
      <c r="K133" s="1"/>
      <c r="N133" s="1"/>
      <c r="Q133" s="1"/>
      <c r="T133" s="1"/>
      <c r="W133" s="1"/>
      <c r="Y133" s="1"/>
      <c r="AB133" s="3"/>
    </row>
    <row r="134" ht="15.75" customHeight="1">
      <c r="E134" s="1"/>
      <c r="H134" s="1"/>
      <c r="K134" s="1"/>
      <c r="N134" s="1"/>
      <c r="Q134" s="1"/>
      <c r="T134" s="1"/>
      <c r="W134" s="1"/>
      <c r="Y134" s="1"/>
      <c r="AB134" s="3"/>
    </row>
    <row r="135" ht="15.75" customHeight="1">
      <c r="E135" s="1"/>
      <c r="H135" s="1"/>
      <c r="K135" s="1"/>
      <c r="N135" s="1"/>
      <c r="Q135" s="1"/>
      <c r="T135" s="1"/>
      <c r="W135" s="1"/>
      <c r="Y135" s="1"/>
      <c r="AB135" s="3"/>
    </row>
    <row r="136" ht="15.75" customHeight="1">
      <c r="E136" s="1"/>
      <c r="H136" s="1"/>
      <c r="K136" s="1"/>
      <c r="N136" s="1"/>
      <c r="Q136" s="1"/>
      <c r="T136" s="1"/>
      <c r="W136" s="1"/>
      <c r="Y136" s="1"/>
      <c r="AB136" s="3"/>
    </row>
    <row r="137" ht="15.75" customHeight="1">
      <c r="E137" s="1"/>
      <c r="H137" s="1"/>
      <c r="K137" s="1"/>
      <c r="N137" s="1"/>
      <c r="Q137" s="1"/>
      <c r="T137" s="1"/>
      <c r="W137" s="1"/>
      <c r="Y137" s="1"/>
      <c r="AB137" s="3"/>
    </row>
    <row r="138" ht="15.75" customHeight="1">
      <c r="E138" s="1"/>
      <c r="H138" s="1"/>
      <c r="K138" s="1"/>
      <c r="N138" s="1"/>
      <c r="Q138" s="1"/>
      <c r="T138" s="1"/>
      <c r="W138" s="1"/>
      <c r="Y138" s="1"/>
      <c r="AB138" s="3"/>
    </row>
    <row r="139" ht="15.75" customHeight="1">
      <c r="E139" s="1"/>
      <c r="H139" s="1"/>
      <c r="K139" s="1"/>
      <c r="N139" s="1"/>
      <c r="Q139" s="1"/>
      <c r="T139" s="1"/>
      <c r="W139" s="1"/>
      <c r="Y139" s="1"/>
      <c r="AB139" s="3"/>
    </row>
    <row r="140" ht="15.75" customHeight="1">
      <c r="E140" s="1"/>
      <c r="H140" s="1"/>
      <c r="K140" s="1"/>
      <c r="N140" s="1"/>
      <c r="Q140" s="1"/>
      <c r="T140" s="1"/>
      <c r="W140" s="1"/>
      <c r="Y140" s="1"/>
      <c r="AB140" s="3"/>
    </row>
    <row r="141" ht="15.75" customHeight="1">
      <c r="E141" s="1"/>
      <c r="H141" s="1"/>
      <c r="K141" s="1"/>
      <c r="N141" s="1"/>
      <c r="Q141" s="1"/>
      <c r="T141" s="1"/>
      <c r="W141" s="1"/>
      <c r="Y141" s="1"/>
      <c r="AB141" s="3"/>
    </row>
    <row r="142" ht="15.75" customHeight="1">
      <c r="E142" s="1"/>
      <c r="H142" s="1"/>
      <c r="K142" s="1"/>
      <c r="N142" s="1"/>
      <c r="Q142" s="1"/>
      <c r="T142" s="1"/>
      <c r="W142" s="1"/>
      <c r="Y142" s="1"/>
      <c r="AB142" s="3"/>
    </row>
    <row r="143" ht="15.75" customHeight="1">
      <c r="E143" s="1"/>
      <c r="H143" s="1"/>
      <c r="K143" s="1"/>
      <c r="N143" s="1"/>
      <c r="Q143" s="1"/>
      <c r="T143" s="1"/>
      <c r="W143" s="1"/>
      <c r="Y143" s="1"/>
      <c r="AB143" s="3"/>
    </row>
    <row r="144" ht="15.75" customHeight="1">
      <c r="E144" s="1"/>
      <c r="H144" s="1"/>
      <c r="K144" s="1"/>
      <c r="N144" s="1"/>
      <c r="Q144" s="1"/>
      <c r="T144" s="1"/>
      <c r="W144" s="1"/>
      <c r="Y144" s="1"/>
      <c r="AB144" s="3"/>
    </row>
    <row r="145" ht="15.75" customHeight="1">
      <c r="E145" s="1"/>
      <c r="H145" s="1"/>
      <c r="K145" s="1"/>
      <c r="N145" s="1"/>
      <c r="Q145" s="1"/>
      <c r="T145" s="1"/>
      <c r="W145" s="1"/>
      <c r="Y145" s="1"/>
      <c r="AB145" s="3"/>
    </row>
    <row r="146" ht="15.75" customHeight="1">
      <c r="E146" s="1"/>
      <c r="H146" s="1"/>
      <c r="K146" s="1"/>
      <c r="N146" s="1"/>
      <c r="Q146" s="1"/>
      <c r="T146" s="1"/>
      <c r="W146" s="1"/>
      <c r="Y146" s="1"/>
      <c r="AB146" s="3"/>
    </row>
    <row r="147" ht="15.75" customHeight="1">
      <c r="E147" s="1"/>
      <c r="H147" s="1"/>
      <c r="K147" s="1"/>
      <c r="N147" s="1"/>
      <c r="Q147" s="1"/>
      <c r="T147" s="1"/>
      <c r="W147" s="1"/>
      <c r="Y147" s="1"/>
      <c r="AB147" s="3"/>
    </row>
    <row r="148" ht="15.75" customHeight="1">
      <c r="E148" s="1"/>
      <c r="H148" s="1"/>
      <c r="K148" s="1"/>
      <c r="N148" s="1"/>
      <c r="Q148" s="1"/>
      <c r="T148" s="1"/>
      <c r="W148" s="1"/>
      <c r="Y148" s="1"/>
      <c r="AB148" s="3"/>
    </row>
    <row r="149" ht="15.75" customHeight="1">
      <c r="E149" s="1"/>
      <c r="H149" s="1"/>
      <c r="K149" s="1"/>
      <c r="N149" s="1"/>
      <c r="Q149" s="1"/>
      <c r="T149" s="1"/>
      <c r="W149" s="1"/>
      <c r="Y149" s="1"/>
      <c r="AB149" s="3"/>
    </row>
    <row r="150" ht="15.75" customHeight="1">
      <c r="E150" s="1"/>
      <c r="H150" s="1"/>
      <c r="K150" s="1"/>
      <c r="N150" s="1"/>
      <c r="Q150" s="1"/>
      <c r="T150" s="1"/>
      <c r="W150" s="1"/>
      <c r="Y150" s="1"/>
      <c r="AB150" s="3"/>
    </row>
    <row r="151" ht="15.75" customHeight="1">
      <c r="E151" s="1"/>
      <c r="H151" s="1"/>
      <c r="K151" s="1"/>
      <c r="N151" s="1"/>
      <c r="Q151" s="1"/>
      <c r="T151" s="1"/>
      <c r="W151" s="1"/>
      <c r="Y151" s="1"/>
      <c r="AB151" s="3"/>
    </row>
    <row r="152" ht="15.75" customHeight="1">
      <c r="E152" s="1"/>
      <c r="H152" s="1"/>
      <c r="K152" s="1"/>
      <c r="N152" s="1"/>
      <c r="Q152" s="1"/>
      <c r="T152" s="1"/>
      <c r="W152" s="1"/>
      <c r="Y152" s="1"/>
      <c r="AB152" s="3"/>
    </row>
    <row r="153" ht="15.75" customHeight="1">
      <c r="E153" s="1"/>
      <c r="H153" s="1"/>
      <c r="K153" s="1"/>
      <c r="N153" s="1"/>
      <c r="Q153" s="1"/>
      <c r="T153" s="1"/>
      <c r="W153" s="1"/>
      <c r="Y153" s="1"/>
      <c r="AB153" s="3"/>
    </row>
    <row r="154" ht="15.75" customHeight="1">
      <c r="E154" s="1"/>
      <c r="H154" s="1"/>
      <c r="K154" s="1"/>
      <c r="N154" s="1"/>
      <c r="Q154" s="1"/>
      <c r="T154" s="1"/>
      <c r="W154" s="1"/>
      <c r="Y154" s="1"/>
      <c r="AB154" s="3"/>
    </row>
    <row r="155" ht="15.75" customHeight="1">
      <c r="E155" s="1"/>
      <c r="H155" s="1"/>
      <c r="K155" s="1"/>
      <c r="N155" s="1"/>
      <c r="Q155" s="1"/>
      <c r="T155" s="1"/>
      <c r="W155" s="1"/>
      <c r="Y155" s="1"/>
      <c r="AB155" s="3"/>
    </row>
    <row r="156" ht="15.75" customHeight="1">
      <c r="E156" s="1"/>
      <c r="H156" s="1"/>
      <c r="K156" s="1"/>
      <c r="N156" s="1"/>
      <c r="Q156" s="1"/>
      <c r="T156" s="1"/>
      <c r="W156" s="1"/>
      <c r="Y156" s="1"/>
      <c r="AB156" s="3"/>
    </row>
    <row r="157" ht="15.75" customHeight="1">
      <c r="E157" s="1"/>
      <c r="H157" s="1"/>
      <c r="K157" s="1"/>
      <c r="N157" s="1"/>
      <c r="Q157" s="1"/>
      <c r="T157" s="1"/>
      <c r="W157" s="1"/>
      <c r="Y157" s="1"/>
      <c r="AB157" s="3"/>
    </row>
    <row r="158" ht="15.75" customHeight="1">
      <c r="E158" s="1"/>
      <c r="H158" s="1"/>
      <c r="K158" s="1"/>
      <c r="N158" s="1"/>
      <c r="Q158" s="1"/>
      <c r="T158" s="1"/>
      <c r="W158" s="1"/>
      <c r="Y158" s="1"/>
      <c r="AB158" s="3"/>
    </row>
    <row r="159" ht="15.75" customHeight="1">
      <c r="E159" s="1"/>
      <c r="H159" s="1"/>
      <c r="K159" s="1"/>
      <c r="N159" s="1"/>
      <c r="Q159" s="1"/>
      <c r="T159" s="1"/>
      <c r="W159" s="1"/>
      <c r="Y159" s="1"/>
      <c r="AB159" s="3"/>
    </row>
    <row r="160" ht="15.75" customHeight="1">
      <c r="E160" s="1"/>
      <c r="H160" s="1"/>
      <c r="K160" s="1"/>
      <c r="N160" s="1"/>
      <c r="Q160" s="1"/>
      <c r="T160" s="1"/>
      <c r="W160" s="1"/>
      <c r="Y160" s="1"/>
      <c r="AB160" s="3"/>
    </row>
    <row r="161" ht="15.75" customHeight="1">
      <c r="E161" s="1"/>
      <c r="H161" s="1"/>
      <c r="K161" s="1"/>
      <c r="N161" s="1"/>
      <c r="Q161" s="1"/>
      <c r="T161" s="1"/>
      <c r="W161" s="1"/>
      <c r="Y161" s="1"/>
      <c r="AB161" s="3"/>
    </row>
    <row r="162" ht="15.75" customHeight="1">
      <c r="E162" s="1"/>
      <c r="H162" s="1"/>
      <c r="K162" s="1"/>
      <c r="N162" s="1"/>
      <c r="Q162" s="1"/>
      <c r="T162" s="1"/>
      <c r="W162" s="1"/>
      <c r="Y162" s="1"/>
      <c r="AB162" s="3"/>
    </row>
    <row r="163" ht="15.75" customHeight="1">
      <c r="E163" s="1"/>
      <c r="H163" s="1"/>
      <c r="K163" s="1"/>
      <c r="N163" s="1"/>
      <c r="Q163" s="1"/>
      <c r="T163" s="1"/>
      <c r="W163" s="1"/>
      <c r="Y163" s="1"/>
      <c r="AB163" s="3"/>
    </row>
    <row r="164" ht="15.75" customHeight="1">
      <c r="E164" s="1"/>
      <c r="H164" s="1"/>
      <c r="K164" s="1"/>
      <c r="N164" s="1"/>
      <c r="Q164" s="1"/>
      <c r="T164" s="1"/>
      <c r="W164" s="1"/>
      <c r="Y164" s="1"/>
      <c r="AB164" s="3"/>
    </row>
    <row r="165" ht="15.75" customHeight="1">
      <c r="E165" s="1"/>
      <c r="H165" s="1"/>
      <c r="K165" s="1"/>
      <c r="N165" s="1"/>
      <c r="Q165" s="1"/>
      <c r="T165" s="1"/>
      <c r="W165" s="1"/>
      <c r="Y165" s="1"/>
      <c r="AB165" s="3"/>
    </row>
    <row r="166" ht="15.75" customHeight="1">
      <c r="E166" s="1"/>
      <c r="H166" s="1"/>
      <c r="K166" s="1"/>
      <c r="N166" s="1"/>
      <c r="Q166" s="1"/>
      <c r="T166" s="1"/>
      <c r="W166" s="1"/>
      <c r="Y166" s="1"/>
      <c r="AB166" s="3"/>
    </row>
    <row r="167" ht="15.75" customHeight="1">
      <c r="E167" s="1"/>
      <c r="H167" s="1"/>
      <c r="K167" s="1"/>
      <c r="N167" s="1"/>
      <c r="Q167" s="1"/>
      <c r="T167" s="1"/>
      <c r="W167" s="1"/>
      <c r="Y167" s="1"/>
      <c r="AB167" s="3"/>
    </row>
    <row r="168" ht="15.75" customHeight="1">
      <c r="E168" s="1"/>
      <c r="H168" s="1"/>
      <c r="K168" s="1"/>
      <c r="N168" s="1"/>
      <c r="Q168" s="1"/>
      <c r="T168" s="1"/>
      <c r="W168" s="1"/>
      <c r="Y168" s="1"/>
      <c r="AB168" s="3"/>
    </row>
    <row r="169" ht="15.75" customHeight="1">
      <c r="E169" s="1"/>
      <c r="H169" s="1"/>
      <c r="K169" s="1"/>
      <c r="N169" s="1"/>
      <c r="Q169" s="1"/>
      <c r="T169" s="1"/>
      <c r="W169" s="1"/>
      <c r="Y169" s="1"/>
      <c r="AB169" s="3"/>
    </row>
    <row r="170" ht="15.75" customHeight="1">
      <c r="E170" s="1"/>
      <c r="H170" s="1"/>
      <c r="K170" s="1"/>
      <c r="N170" s="1"/>
      <c r="Q170" s="1"/>
      <c r="T170" s="1"/>
      <c r="W170" s="1"/>
      <c r="Y170" s="1"/>
      <c r="AB170" s="3"/>
    </row>
    <row r="171" ht="15.75" customHeight="1">
      <c r="E171" s="1"/>
      <c r="H171" s="1"/>
      <c r="K171" s="1"/>
      <c r="N171" s="1"/>
      <c r="Q171" s="1"/>
      <c r="T171" s="1"/>
      <c r="W171" s="1"/>
      <c r="Y171" s="1"/>
      <c r="AB171" s="3"/>
    </row>
    <row r="172" ht="15.75" customHeight="1">
      <c r="E172" s="1"/>
      <c r="H172" s="1"/>
      <c r="K172" s="1"/>
      <c r="N172" s="1"/>
      <c r="Q172" s="1"/>
      <c r="T172" s="1"/>
      <c r="W172" s="1"/>
      <c r="Y172" s="1"/>
      <c r="AB172" s="3"/>
    </row>
    <row r="173" ht="15.75" customHeight="1">
      <c r="E173" s="1"/>
      <c r="H173" s="1"/>
      <c r="K173" s="1"/>
      <c r="N173" s="1"/>
      <c r="Q173" s="1"/>
      <c r="T173" s="1"/>
      <c r="W173" s="1"/>
      <c r="Y173" s="1"/>
      <c r="AB173" s="3"/>
    </row>
    <row r="174" ht="15.75" customHeight="1">
      <c r="E174" s="1"/>
      <c r="H174" s="1"/>
      <c r="K174" s="1"/>
      <c r="N174" s="1"/>
      <c r="Q174" s="1"/>
      <c r="T174" s="1"/>
      <c r="W174" s="1"/>
      <c r="Y174" s="1"/>
      <c r="AB174" s="3"/>
    </row>
    <row r="175" ht="15.75" customHeight="1">
      <c r="E175" s="1"/>
      <c r="H175" s="1"/>
      <c r="K175" s="1"/>
      <c r="N175" s="1"/>
      <c r="Q175" s="1"/>
      <c r="T175" s="1"/>
      <c r="W175" s="1"/>
      <c r="Y175" s="1"/>
      <c r="AB175" s="3"/>
    </row>
    <row r="176" ht="15.75" customHeight="1">
      <c r="E176" s="1"/>
      <c r="H176" s="1"/>
      <c r="K176" s="1"/>
      <c r="N176" s="1"/>
      <c r="Q176" s="1"/>
      <c r="T176" s="1"/>
      <c r="W176" s="1"/>
      <c r="Y176" s="1"/>
      <c r="AB176" s="3"/>
    </row>
    <row r="177" ht="15.75" customHeight="1">
      <c r="E177" s="1"/>
      <c r="H177" s="1"/>
      <c r="K177" s="1"/>
      <c r="N177" s="1"/>
      <c r="Q177" s="1"/>
      <c r="T177" s="1"/>
      <c r="W177" s="1"/>
      <c r="Y177" s="1"/>
      <c r="AB177" s="3"/>
    </row>
    <row r="178" ht="15.75" customHeight="1">
      <c r="E178" s="1"/>
      <c r="H178" s="1"/>
      <c r="K178" s="1"/>
      <c r="N178" s="1"/>
      <c r="Q178" s="1"/>
      <c r="T178" s="1"/>
      <c r="W178" s="1"/>
      <c r="Y178" s="1"/>
      <c r="AB178" s="3"/>
    </row>
    <row r="179" ht="15.75" customHeight="1">
      <c r="E179" s="1"/>
      <c r="H179" s="1"/>
      <c r="K179" s="1"/>
      <c r="N179" s="1"/>
      <c r="Q179" s="1"/>
      <c r="T179" s="1"/>
      <c r="W179" s="1"/>
      <c r="Y179" s="1"/>
      <c r="AB179" s="3"/>
    </row>
    <row r="180" ht="15.75" customHeight="1">
      <c r="E180" s="1"/>
      <c r="H180" s="1"/>
      <c r="K180" s="1"/>
      <c r="N180" s="1"/>
      <c r="Q180" s="1"/>
      <c r="T180" s="1"/>
      <c r="W180" s="1"/>
      <c r="Y180" s="1"/>
      <c r="AB180" s="3"/>
    </row>
    <row r="181" ht="15.75" customHeight="1">
      <c r="E181" s="1"/>
      <c r="H181" s="1"/>
      <c r="K181" s="1"/>
      <c r="N181" s="1"/>
      <c r="Q181" s="1"/>
      <c r="T181" s="1"/>
      <c r="W181" s="1"/>
      <c r="Y181" s="1"/>
      <c r="AB181" s="3"/>
    </row>
    <row r="182" ht="15.75" customHeight="1">
      <c r="E182" s="1"/>
      <c r="H182" s="1"/>
      <c r="K182" s="1"/>
      <c r="N182" s="1"/>
      <c r="Q182" s="1"/>
      <c r="T182" s="1"/>
      <c r="W182" s="1"/>
      <c r="Y182" s="1"/>
      <c r="AB182" s="3"/>
    </row>
    <row r="183" ht="15.75" customHeight="1">
      <c r="E183" s="1"/>
      <c r="H183" s="1"/>
      <c r="K183" s="1"/>
      <c r="N183" s="1"/>
      <c r="Q183" s="1"/>
      <c r="T183" s="1"/>
      <c r="W183" s="1"/>
      <c r="Y183" s="1"/>
      <c r="AB183" s="3"/>
    </row>
    <row r="184" ht="15.75" customHeight="1">
      <c r="E184" s="1"/>
      <c r="H184" s="1"/>
      <c r="K184" s="1"/>
      <c r="N184" s="1"/>
      <c r="Q184" s="1"/>
      <c r="T184" s="1"/>
      <c r="W184" s="1"/>
      <c r="Y184" s="1"/>
      <c r="AB184" s="3"/>
    </row>
    <row r="185" ht="15.75" customHeight="1">
      <c r="E185" s="1"/>
      <c r="H185" s="1"/>
      <c r="K185" s="1"/>
      <c r="N185" s="1"/>
      <c r="Q185" s="1"/>
      <c r="T185" s="1"/>
      <c r="W185" s="1"/>
      <c r="Y185" s="1"/>
      <c r="AB185" s="3"/>
    </row>
    <row r="186" ht="15.75" customHeight="1">
      <c r="E186" s="1"/>
      <c r="H186" s="1"/>
      <c r="K186" s="1"/>
      <c r="N186" s="1"/>
      <c r="Q186" s="1"/>
      <c r="T186" s="1"/>
      <c r="W186" s="1"/>
      <c r="Y186" s="1"/>
      <c r="AB186" s="3"/>
    </row>
    <row r="187" ht="15.75" customHeight="1">
      <c r="E187" s="1"/>
      <c r="H187" s="1"/>
      <c r="K187" s="1"/>
      <c r="N187" s="1"/>
      <c r="Q187" s="1"/>
      <c r="T187" s="1"/>
      <c r="W187" s="1"/>
      <c r="Y187" s="1"/>
      <c r="AB187" s="3"/>
    </row>
    <row r="188" ht="15.75" customHeight="1">
      <c r="E188" s="1"/>
      <c r="H188" s="1"/>
      <c r="K188" s="1"/>
      <c r="N188" s="1"/>
      <c r="Q188" s="1"/>
      <c r="T188" s="1"/>
      <c r="W188" s="1"/>
      <c r="Y188" s="1"/>
      <c r="AB188" s="3"/>
    </row>
    <row r="189" ht="15.75" customHeight="1">
      <c r="E189" s="1"/>
      <c r="H189" s="1"/>
      <c r="K189" s="1"/>
      <c r="N189" s="1"/>
      <c r="Q189" s="1"/>
      <c r="T189" s="1"/>
      <c r="W189" s="1"/>
      <c r="Y189" s="1"/>
      <c r="AB189" s="3"/>
    </row>
    <row r="190" ht="15.75" customHeight="1">
      <c r="E190" s="1"/>
      <c r="H190" s="1"/>
      <c r="K190" s="1"/>
      <c r="N190" s="1"/>
      <c r="Q190" s="1"/>
      <c r="T190" s="1"/>
      <c r="W190" s="1"/>
      <c r="Y190" s="1"/>
      <c r="AB190" s="3"/>
    </row>
    <row r="191" ht="15.75" customHeight="1">
      <c r="E191" s="1"/>
      <c r="H191" s="1"/>
      <c r="K191" s="1"/>
      <c r="N191" s="1"/>
      <c r="Q191" s="1"/>
      <c r="T191" s="1"/>
      <c r="W191" s="1"/>
      <c r="Y191" s="1"/>
      <c r="AB191" s="3"/>
    </row>
    <row r="192" ht="15.75" customHeight="1">
      <c r="E192" s="1"/>
      <c r="H192" s="1"/>
      <c r="K192" s="1"/>
      <c r="N192" s="1"/>
      <c r="Q192" s="1"/>
      <c r="T192" s="1"/>
      <c r="W192" s="1"/>
      <c r="Y192" s="1"/>
      <c r="AB192" s="3"/>
    </row>
    <row r="193" ht="15.75" customHeight="1">
      <c r="E193" s="1"/>
      <c r="H193" s="1"/>
      <c r="K193" s="1"/>
      <c r="N193" s="1"/>
      <c r="Q193" s="1"/>
      <c r="T193" s="1"/>
      <c r="W193" s="1"/>
      <c r="Y193" s="1"/>
      <c r="AB193" s="3"/>
    </row>
    <row r="194" ht="15.75" customHeight="1">
      <c r="E194" s="1"/>
      <c r="H194" s="1"/>
      <c r="K194" s="1"/>
      <c r="N194" s="1"/>
      <c r="Q194" s="1"/>
      <c r="T194" s="1"/>
      <c r="W194" s="1"/>
      <c r="Y194" s="1"/>
      <c r="AB194" s="3"/>
    </row>
    <row r="195" ht="15.75" customHeight="1">
      <c r="E195" s="1"/>
      <c r="H195" s="1"/>
      <c r="K195" s="1"/>
      <c r="N195" s="1"/>
      <c r="Q195" s="1"/>
      <c r="T195" s="1"/>
      <c r="W195" s="1"/>
      <c r="Y195" s="1"/>
      <c r="AB195" s="3"/>
    </row>
    <row r="196" ht="15.75" customHeight="1">
      <c r="E196" s="1"/>
      <c r="H196" s="1"/>
      <c r="K196" s="1"/>
      <c r="N196" s="1"/>
      <c r="Q196" s="1"/>
      <c r="T196" s="1"/>
      <c r="W196" s="1"/>
      <c r="Y196" s="1"/>
      <c r="AB196" s="3"/>
    </row>
    <row r="197" ht="15.75" customHeight="1">
      <c r="E197" s="1"/>
      <c r="H197" s="1"/>
      <c r="K197" s="1"/>
      <c r="N197" s="1"/>
      <c r="Q197" s="1"/>
      <c r="T197" s="1"/>
      <c r="W197" s="1"/>
      <c r="Y197" s="1"/>
      <c r="AB197" s="3"/>
    </row>
    <row r="198" ht="15.75" customHeight="1">
      <c r="E198" s="1"/>
      <c r="H198" s="1"/>
      <c r="K198" s="1"/>
      <c r="N198" s="1"/>
      <c r="Q198" s="1"/>
      <c r="T198" s="1"/>
      <c r="W198" s="1"/>
      <c r="Y198" s="1"/>
      <c r="AB198" s="3"/>
    </row>
    <row r="199" ht="15.75" customHeight="1">
      <c r="E199" s="1"/>
      <c r="H199" s="1"/>
      <c r="K199" s="1"/>
      <c r="N199" s="1"/>
      <c r="Q199" s="1"/>
      <c r="T199" s="1"/>
      <c r="W199" s="1"/>
      <c r="Y199" s="1"/>
      <c r="AB199" s="3"/>
    </row>
    <row r="200" ht="15.75" customHeight="1">
      <c r="E200" s="1"/>
      <c r="H200" s="1"/>
      <c r="K200" s="1"/>
      <c r="N200" s="1"/>
      <c r="Q200" s="1"/>
      <c r="T200" s="1"/>
      <c r="W200" s="1"/>
      <c r="Y200" s="1"/>
      <c r="AB200" s="3"/>
    </row>
    <row r="201" ht="15.75" customHeight="1">
      <c r="E201" s="1"/>
      <c r="H201" s="1"/>
      <c r="K201" s="1"/>
      <c r="N201" s="1"/>
      <c r="Q201" s="1"/>
      <c r="T201" s="1"/>
      <c r="W201" s="1"/>
      <c r="Y201" s="1"/>
      <c r="AB201" s="3"/>
    </row>
    <row r="202" ht="15.75" customHeight="1">
      <c r="E202" s="1"/>
      <c r="H202" s="1"/>
      <c r="K202" s="1"/>
      <c r="N202" s="1"/>
      <c r="Q202" s="1"/>
      <c r="T202" s="1"/>
      <c r="W202" s="1"/>
      <c r="Y202" s="1"/>
      <c r="AB202" s="3"/>
    </row>
    <row r="203" ht="15.75" customHeight="1">
      <c r="E203" s="1"/>
      <c r="H203" s="1"/>
      <c r="K203" s="1"/>
      <c r="N203" s="1"/>
      <c r="Q203" s="1"/>
      <c r="T203" s="1"/>
      <c r="W203" s="1"/>
      <c r="Y203" s="1"/>
      <c r="AB203" s="3"/>
    </row>
    <row r="204" ht="15.75" customHeight="1">
      <c r="E204" s="1"/>
      <c r="H204" s="1"/>
      <c r="K204" s="1"/>
      <c r="N204" s="1"/>
      <c r="Q204" s="1"/>
      <c r="T204" s="1"/>
      <c r="W204" s="1"/>
      <c r="Y204" s="1"/>
      <c r="AB204" s="3"/>
    </row>
    <row r="205" ht="15.75" customHeight="1">
      <c r="E205" s="1"/>
      <c r="H205" s="1"/>
      <c r="K205" s="1"/>
      <c r="N205" s="1"/>
      <c r="Q205" s="1"/>
      <c r="T205" s="1"/>
      <c r="W205" s="1"/>
      <c r="Y205" s="1"/>
      <c r="AB205" s="3"/>
    </row>
    <row r="206" ht="15.75" customHeight="1">
      <c r="E206" s="1"/>
      <c r="H206" s="1"/>
      <c r="K206" s="1"/>
      <c r="N206" s="1"/>
      <c r="Q206" s="1"/>
      <c r="T206" s="1"/>
      <c r="W206" s="1"/>
      <c r="Y206" s="1"/>
      <c r="AB206" s="3"/>
    </row>
    <row r="207" ht="15.75" customHeight="1">
      <c r="E207" s="1"/>
      <c r="H207" s="1"/>
      <c r="K207" s="1"/>
      <c r="N207" s="1"/>
      <c r="Q207" s="1"/>
      <c r="T207" s="1"/>
      <c r="W207" s="1"/>
      <c r="Y207" s="1"/>
      <c r="AB207" s="3"/>
    </row>
    <row r="208" ht="15.75" customHeight="1">
      <c r="E208" s="1"/>
      <c r="H208" s="1"/>
      <c r="K208" s="1"/>
      <c r="N208" s="1"/>
      <c r="Q208" s="1"/>
      <c r="T208" s="1"/>
      <c r="W208" s="1"/>
      <c r="Y208" s="1"/>
      <c r="AB208" s="3"/>
    </row>
    <row r="209" ht="15.75" customHeight="1">
      <c r="E209" s="1"/>
      <c r="H209" s="1"/>
      <c r="K209" s="1"/>
      <c r="N209" s="1"/>
      <c r="Q209" s="1"/>
      <c r="T209" s="1"/>
      <c r="W209" s="1"/>
      <c r="Y209" s="1"/>
      <c r="AB209" s="3"/>
    </row>
    <row r="210" ht="15.75" customHeight="1">
      <c r="E210" s="1"/>
      <c r="H210" s="1"/>
      <c r="K210" s="1"/>
      <c r="N210" s="1"/>
      <c r="Q210" s="1"/>
      <c r="T210" s="1"/>
      <c r="W210" s="1"/>
      <c r="Y210" s="1"/>
      <c r="AB210" s="3"/>
    </row>
    <row r="211" ht="15.75" customHeight="1">
      <c r="E211" s="1"/>
      <c r="H211" s="1"/>
      <c r="K211" s="1"/>
      <c r="N211" s="1"/>
      <c r="Q211" s="1"/>
      <c r="T211" s="1"/>
      <c r="W211" s="1"/>
      <c r="Y211" s="1"/>
      <c r="AB211" s="3"/>
    </row>
    <row r="212" ht="15.75" customHeight="1">
      <c r="E212" s="1"/>
      <c r="H212" s="1"/>
      <c r="K212" s="1"/>
      <c r="N212" s="1"/>
      <c r="Q212" s="1"/>
      <c r="T212" s="1"/>
      <c r="W212" s="1"/>
      <c r="Y212" s="1"/>
      <c r="AB212" s="3"/>
    </row>
    <row r="213" ht="15.75" customHeight="1">
      <c r="E213" s="1"/>
      <c r="H213" s="1"/>
      <c r="K213" s="1"/>
      <c r="N213" s="1"/>
      <c r="Q213" s="1"/>
      <c r="T213" s="1"/>
      <c r="W213" s="1"/>
      <c r="Y213" s="1"/>
      <c r="AB213" s="3"/>
    </row>
    <row r="214" ht="15.75" customHeight="1">
      <c r="E214" s="1"/>
      <c r="H214" s="1"/>
      <c r="K214" s="1"/>
      <c r="N214" s="1"/>
      <c r="Q214" s="1"/>
      <c r="T214" s="1"/>
      <c r="W214" s="1"/>
      <c r="Y214" s="1"/>
      <c r="AB214" s="3"/>
    </row>
    <row r="215" ht="15.75" customHeight="1">
      <c r="E215" s="1"/>
      <c r="H215" s="1"/>
      <c r="K215" s="1"/>
      <c r="N215" s="1"/>
      <c r="Q215" s="1"/>
      <c r="T215" s="1"/>
      <c r="W215" s="1"/>
      <c r="Y215" s="1"/>
      <c r="AB215" s="3"/>
    </row>
    <row r="216" ht="15.75" customHeight="1">
      <c r="E216" s="1"/>
      <c r="H216" s="1"/>
      <c r="K216" s="1"/>
      <c r="N216" s="1"/>
      <c r="Q216" s="1"/>
      <c r="T216" s="1"/>
      <c r="W216" s="1"/>
      <c r="Y216" s="1"/>
      <c r="AB216" s="3"/>
    </row>
    <row r="217" ht="15.75" customHeight="1">
      <c r="E217" s="1"/>
      <c r="H217" s="1"/>
      <c r="K217" s="1"/>
      <c r="N217" s="1"/>
      <c r="Q217" s="1"/>
      <c r="T217" s="1"/>
      <c r="W217" s="1"/>
      <c r="Y217" s="1"/>
      <c r="AB217" s="3"/>
    </row>
    <row r="218" ht="15.75" customHeight="1">
      <c r="E218" s="1"/>
      <c r="H218" s="1"/>
      <c r="K218" s="1"/>
      <c r="N218" s="1"/>
      <c r="Q218" s="1"/>
      <c r="T218" s="1"/>
      <c r="W218" s="1"/>
      <c r="Y218" s="1"/>
      <c r="AB218" s="3"/>
    </row>
    <row r="219" ht="15.75" customHeight="1">
      <c r="E219" s="1"/>
      <c r="H219" s="1"/>
      <c r="K219" s="1"/>
      <c r="N219" s="1"/>
      <c r="Q219" s="1"/>
      <c r="T219" s="1"/>
      <c r="W219" s="1"/>
      <c r="Y219" s="1"/>
      <c r="AB219" s="3"/>
    </row>
    <row r="220" ht="15.75" customHeight="1">
      <c r="E220" s="1"/>
      <c r="H220" s="1"/>
      <c r="K220" s="1"/>
      <c r="N220" s="1"/>
      <c r="Q220" s="1"/>
      <c r="T220" s="1"/>
      <c r="W220" s="1"/>
      <c r="Y220" s="1"/>
      <c r="AB220" s="3"/>
    </row>
    <row r="221" ht="15.75" customHeight="1">
      <c r="E221" s="1"/>
      <c r="H221" s="1"/>
      <c r="K221" s="1"/>
      <c r="N221" s="1"/>
      <c r="Q221" s="1"/>
      <c r="T221" s="1"/>
      <c r="W221" s="1"/>
      <c r="Y221" s="1"/>
      <c r="AB221" s="3"/>
    </row>
    <row r="222" ht="15.75" customHeight="1">
      <c r="E222" s="1"/>
      <c r="H222" s="1"/>
      <c r="K222" s="1"/>
      <c r="N222" s="1"/>
      <c r="Q222" s="1"/>
      <c r="T222" s="1"/>
      <c r="W222" s="1"/>
      <c r="Y222" s="1"/>
      <c r="AB222" s="3"/>
    </row>
    <row r="223" ht="15.75" customHeight="1">
      <c r="E223" s="1"/>
      <c r="H223" s="1"/>
      <c r="K223" s="1"/>
      <c r="N223" s="1"/>
      <c r="Q223" s="1"/>
      <c r="T223" s="1"/>
      <c r="W223" s="1"/>
      <c r="Y223" s="1"/>
      <c r="AB223" s="3"/>
    </row>
    <row r="224" ht="15.75" customHeight="1">
      <c r="E224" s="1"/>
      <c r="H224" s="1"/>
      <c r="K224" s="1"/>
      <c r="N224" s="1"/>
      <c r="Q224" s="1"/>
      <c r="T224" s="1"/>
      <c r="W224" s="1"/>
      <c r="Y224" s="1"/>
      <c r="AB224" s="3"/>
    </row>
    <row r="225" ht="15.75" customHeight="1">
      <c r="E225" s="1"/>
      <c r="H225" s="1"/>
      <c r="K225" s="1"/>
      <c r="N225" s="1"/>
      <c r="Q225" s="1"/>
      <c r="T225" s="1"/>
      <c r="W225" s="1"/>
      <c r="Y225" s="1"/>
      <c r="AB225" s="3"/>
    </row>
    <row r="226" ht="15.75" customHeight="1">
      <c r="E226" s="1"/>
      <c r="H226" s="1"/>
      <c r="K226" s="1"/>
      <c r="N226" s="1"/>
      <c r="Q226" s="1"/>
      <c r="T226" s="1"/>
      <c r="W226" s="1"/>
      <c r="Y226" s="1"/>
      <c r="AB226" s="3"/>
    </row>
    <row r="227" ht="15.75" customHeight="1">
      <c r="E227" s="1"/>
      <c r="H227" s="1"/>
      <c r="K227" s="1"/>
      <c r="N227" s="1"/>
      <c r="Q227" s="1"/>
      <c r="T227" s="1"/>
      <c r="W227" s="1"/>
      <c r="Y227" s="1"/>
      <c r="AB227" s="3"/>
    </row>
    <row r="228" ht="15.75" customHeight="1">
      <c r="E228" s="1"/>
      <c r="H228" s="1"/>
      <c r="K228" s="1"/>
      <c r="N228" s="1"/>
      <c r="Q228" s="1"/>
      <c r="T228" s="1"/>
      <c r="W228" s="1"/>
      <c r="Y228" s="1"/>
      <c r="AB228" s="3"/>
    </row>
    <row r="229" ht="15.75" customHeight="1">
      <c r="E229" s="1"/>
      <c r="H229" s="1"/>
      <c r="K229" s="1"/>
      <c r="N229" s="1"/>
      <c r="Q229" s="1"/>
      <c r="T229" s="1"/>
      <c r="W229" s="1"/>
      <c r="Y229" s="1"/>
      <c r="AB229" s="3"/>
    </row>
    <row r="230" ht="15.75" customHeight="1">
      <c r="E230" s="1"/>
      <c r="H230" s="1"/>
      <c r="K230" s="1"/>
      <c r="N230" s="1"/>
      <c r="Q230" s="1"/>
      <c r="T230" s="1"/>
      <c r="W230" s="1"/>
      <c r="Y230" s="1"/>
      <c r="AB230" s="3"/>
    </row>
    <row r="231" ht="15.75" customHeight="1">
      <c r="E231" s="1"/>
      <c r="H231" s="1"/>
      <c r="K231" s="1"/>
      <c r="N231" s="1"/>
      <c r="Q231" s="1"/>
      <c r="T231" s="1"/>
      <c r="W231" s="1"/>
      <c r="Y231" s="1"/>
      <c r="AB231" s="3"/>
    </row>
    <row r="232" ht="15.75" customHeight="1">
      <c r="E232" s="1"/>
      <c r="H232" s="1"/>
      <c r="K232" s="1"/>
      <c r="N232" s="1"/>
      <c r="Q232" s="1"/>
      <c r="T232" s="1"/>
      <c r="W232" s="1"/>
      <c r="Y232" s="1"/>
      <c r="AB232" s="3"/>
    </row>
    <row r="233" ht="15.75" customHeight="1">
      <c r="E233" s="1"/>
      <c r="H233" s="1"/>
      <c r="K233" s="1"/>
      <c r="N233" s="1"/>
      <c r="Q233" s="1"/>
      <c r="T233" s="1"/>
      <c r="W233" s="1"/>
      <c r="Y233" s="1"/>
      <c r="AB233" s="3"/>
    </row>
    <row r="234" ht="15.75" customHeight="1">
      <c r="E234" s="1"/>
      <c r="H234" s="1"/>
      <c r="K234" s="1"/>
      <c r="N234" s="1"/>
      <c r="Q234" s="1"/>
      <c r="T234" s="1"/>
      <c r="W234" s="1"/>
      <c r="Y234" s="1"/>
      <c r="AB234" s="3"/>
    </row>
    <row r="235" ht="15.75" customHeight="1">
      <c r="E235" s="1"/>
      <c r="H235" s="1"/>
      <c r="K235" s="1"/>
      <c r="N235" s="1"/>
      <c r="Q235" s="1"/>
      <c r="T235" s="1"/>
      <c r="W235" s="1"/>
      <c r="Y235" s="1"/>
      <c r="AB235" s="3"/>
    </row>
    <row r="236" ht="15.75" customHeight="1">
      <c r="E236" s="1"/>
      <c r="H236" s="1"/>
      <c r="K236" s="1"/>
      <c r="N236" s="1"/>
      <c r="Q236" s="1"/>
      <c r="T236" s="1"/>
      <c r="W236" s="1"/>
      <c r="Y236" s="1"/>
      <c r="AB236" s="3"/>
    </row>
    <row r="237" ht="15.75" customHeight="1">
      <c r="E237" s="1"/>
      <c r="H237" s="1"/>
      <c r="K237" s="1"/>
      <c r="N237" s="1"/>
      <c r="Q237" s="1"/>
      <c r="T237" s="1"/>
      <c r="W237" s="1"/>
      <c r="Y237" s="1"/>
      <c r="AB237" s="3"/>
    </row>
    <row r="238" ht="15.75" customHeight="1">
      <c r="E238" s="1"/>
      <c r="H238" s="1"/>
      <c r="K238" s="1"/>
      <c r="N238" s="1"/>
      <c r="Q238" s="1"/>
      <c r="T238" s="1"/>
      <c r="W238" s="1"/>
      <c r="Y238" s="1"/>
      <c r="AB238" s="3"/>
    </row>
    <row r="239" ht="15.75" customHeight="1">
      <c r="E239" s="1"/>
      <c r="H239" s="1"/>
      <c r="K239" s="1"/>
      <c r="N239" s="1"/>
      <c r="Q239" s="1"/>
      <c r="T239" s="1"/>
      <c r="W239" s="1"/>
      <c r="Y239" s="1"/>
      <c r="AB239" s="3"/>
    </row>
    <row r="240" ht="15.75" customHeight="1">
      <c r="E240" s="1"/>
      <c r="H240" s="1"/>
      <c r="K240" s="1"/>
      <c r="N240" s="1"/>
      <c r="Q240" s="1"/>
      <c r="T240" s="1"/>
      <c r="W240" s="1"/>
      <c r="Y240" s="1"/>
      <c r="AB240" s="3"/>
    </row>
    <row r="241" ht="15.75" customHeight="1">
      <c r="E241" s="1"/>
      <c r="H241" s="1"/>
      <c r="K241" s="1"/>
      <c r="N241" s="1"/>
      <c r="Q241" s="1"/>
      <c r="T241" s="1"/>
      <c r="W241" s="1"/>
      <c r="Y241" s="1"/>
      <c r="AB241" s="3"/>
    </row>
    <row r="242" ht="15.75" customHeight="1">
      <c r="E242" s="1"/>
      <c r="H242" s="1"/>
      <c r="K242" s="1"/>
      <c r="N242" s="1"/>
      <c r="Q242" s="1"/>
      <c r="T242" s="1"/>
      <c r="W242" s="1"/>
      <c r="Y242" s="1"/>
      <c r="AB242" s="3"/>
    </row>
    <row r="243" ht="15.75" customHeight="1">
      <c r="E243" s="1"/>
      <c r="H243" s="1"/>
      <c r="K243" s="1"/>
      <c r="N243" s="1"/>
      <c r="Q243" s="1"/>
      <c r="T243" s="1"/>
      <c r="W243" s="1"/>
      <c r="Y243" s="1"/>
      <c r="AB243" s="3"/>
    </row>
    <row r="244" ht="15.75" customHeight="1">
      <c r="E244" s="1"/>
      <c r="H244" s="1"/>
      <c r="K244" s="1"/>
      <c r="N244" s="1"/>
      <c r="Q244" s="1"/>
      <c r="T244" s="1"/>
      <c r="W244" s="1"/>
      <c r="Y244" s="1"/>
      <c r="AB244" s="3"/>
    </row>
    <row r="245" ht="15.75" customHeight="1">
      <c r="E245" s="1"/>
      <c r="H245" s="1"/>
      <c r="K245" s="1"/>
      <c r="N245" s="1"/>
      <c r="Q245" s="1"/>
      <c r="T245" s="1"/>
      <c r="W245" s="1"/>
      <c r="Y245" s="1"/>
      <c r="AB245" s="3"/>
    </row>
    <row r="246" ht="15.75" customHeight="1">
      <c r="E246" s="1"/>
      <c r="H246" s="1"/>
      <c r="K246" s="1"/>
      <c r="N246" s="1"/>
      <c r="Q246" s="1"/>
      <c r="T246" s="1"/>
      <c r="W246" s="1"/>
      <c r="Y246" s="1"/>
      <c r="AB246" s="3"/>
    </row>
    <row r="247" ht="15.75" customHeight="1">
      <c r="E247" s="1"/>
      <c r="H247" s="1"/>
      <c r="K247" s="1"/>
      <c r="N247" s="1"/>
      <c r="Q247" s="1"/>
      <c r="T247" s="1"/>
      <c r="W247" s="1"/>
      <c r="Y247" s="1"/>
      <c r="AB247" s="3"/>
    </row>
    <row r="248" ht="15.75" customHeight="1">
      <c r="E248" s="1"/>
      <c r="H248" s="1"/>
      <c r="K248" s="1"/>
      <c r="N248" s="1"/>
      <c r="Q248" s="1"/>
      <c r="T248" s="1"/>
      <c r="W248" s="1"/>
      <c r="Y248" s="1"/>
      <c r="AB248" s="3"/>
    </row>
    <row r="249" ht="15.75" customHeight="1">
      <c r="E249" s="1"/>
      <c r="H249" s="1"/>
      <c r="K249" s="1"/>
      <c r="N249" s="1"/>
      <c r="Q249" s="1"/>
      <c r="T249" s="1"/>
      <c r="W249" s="1"/>
      <c r="Y249" s="1"/>
      <c r="AB249" s="3"/>
    </row>
    <row r="250" ht="15.75" customHeight="1">
      <c r="E250" s="1"/>
      <c r="H250" s="1"/>
      <c r="K250" s="1"/>
      <c r="N250" s="1"/>
      <c r="Q250" s="1"/>
      <c r="T250" s="1"/>
      <c r="W250" s="1"/>
      <c r="Y250" s="1"/>
      <c r="AB250" s="3"/>
    </row>
    <row r="251" ht="15.75" customHeight="1">
      <c r="E251" s="1"/>
      <c r="H251" s="1"/>
      <c r="K251" s="1"/>
      <c r="N251" s="1"/>
      <c r="Q251" s="1"/>
      <c r="T251" s="1"/>
      <c r="W251" s="1"/>
      <c r="Y251" s="1"/>
      <c r="AB251" s="3"/>
    </row>
    <row r="252" ht="15.75" customHeight="1">
      <c r="E252" s="1"/>
      <c r="H252" s="1"/>
      <c r="K252" s="1"/>
      <c r="N252" s="1"/>
      <c r="Q252" s="1"/>
      <c r="T252" s="1"/>
      <c r="W252" s="1"/>
      <c r="Y252" s="1"/>
      <c r="AB252" s="3"/>
    </row>
    <row r="253" ht="15.75" customHeight="1">
      <c r="E253" s="1"/>
      <c r="H253" s="1"/>
      <c r="K253" s="1"/>
      <c r="N253" s="1"/>
      <c r="Q253" s="1"/>
      <c r="T253" s="1"/>
      <c r="W253" s="1"/>
      <c r="Y253" s="1"/>
      <c r="AB253" s="3"/>
    </row>
    <row r="254" ht="15.75" customHeight="1">
      <c r="E254" s="1"/>
      <c r="H254" s="1"/>
      <c r="K254" s="1"/>
      <c r="N254" s="1"/>
      <c r="Q254" s="1"/>
      <c r="T254" s="1"/>
      <c r="W254" s="1"/>
      <c r="Y254" s="1"/>
      <c r="AB254" s="3"/>
    </row>
    <row r="255" ht="15.75" customHeight="1">
      <c r="E255" s="1"/>
      <c r="H255" s="1"/>
      <c r="K255" s="1"/>
      <c r="N255" s="1"/>
      <c r="Q255" s="1"/>
      <c r="T255" s="1"/>
      <c r="W255" s="1"/>
      <c r="Y255" s="1"/>
      <c r="AB255" s="3"/>
    </row>
    <row r="256" ht="15.75" customHeight="1">
      <c r="E256" s="1"/>
      <c r="H256" s="1"/>
      <c r="K256" s="1"/>
      <c r="N256" s="1"/>
      <c r="Q256" s="1"/>
      <c r="T256" s="1"/>
      <c r="W256" s="1"/>
      <c r="Y256" s="1"/>
      <c r="AB256" s="3"/>
    </row>
    <row r="257" ht="15.75" customHeight="1">
      <c r="E257" s="1"/>
      <c r="H257" s="1"/>
      <c r="K257" s="1"/>
      <c r="N257" s="1"/>
      <c r="Q257" s="1"/>
      <c r="T257" s="1"/>
      <c r="W257" s="1"/>
      <c r="Y257" s="1"/>
      <c r="AB257" s="3"/>
    </row>
    <row r="258" ht="15.75" customHeight="1">
      <c r="E258" s="1"/>
      <c r="H258" s="1"/>
      <c r="K258" s="1"/>
      <c r="N258" s="1"/>
      <c r="Q258" s="1"/>
      <c r="T258" s="1"/>
      <c r="W258" s="1"/>
      <c r="Y258" s="1"/>
      <c r="AB258" s="3"/>
    </row>
    <row r="259" ht="15.75" customHeight="1">
      <c r="E259" s="1"/>
      <c r="H259" s="1"/>
      <c r="K259" s="1"/>
      <c r="N259" s="1"/>
      <c r="Q259" s="1"/>
      <c r="T259" s="1"/>
      <c r="W259" s="1"/>
      <c r="Y259" s="1"/>
      <c r="AB259" s="3"/>
    </row>
    <row r="260" ht="15.75" customHeight="1">
      <c r="E260" s="1"/>
      <c r="H260" s="1"/>
      <c r="K260" s="1"/>
      <c r="N260" s="1"/>
      <c r="Q260" s="1"/>
      <c r="T260" s="1"/>
      <c r="W260" s="1"/>
      <c r="Y260" s="1"/>
      <c r="AB260" s="3"/>
    </row>
    <row r="261" ht="15.75" customHeight="1">
      <c r="E261" s="1"/>
      <c r="H261" s="1"/>
      <c r="K261" s="1"/>
      <c r="N261" s="1"/>
      <c r="Q261" s="1"/>
      <c r="T261" s="1"/>
      <c r="W261" s="1"/>
      <c r="Y261" s="1"/>
      <c r="AB261" s="3"/>
    </row>
    <row r="262" ht="15.75" customHeight="1">
      <c r="E262" s="1"/>
      <c r="H262" s="1"/>
      <c r="K262" s="1"/>
      <c r="N262" s="1"/>
      <c r="Q262" s="1"/>
      <c r="T262" s="1"/>
      <c r="W262" s="1"/>
      <c r="Y262" s="1"/>
      <c r="AB262" s="3"/>
    </row>
    <row r="263" ht="15.75" customHeight="1">
      <c r="E263" s="1"/>
      <c r="H263" s="1"/>
      <c r="K263" s="1"/>
      <c r="N263" s="1"/>
      <c r="Q263" s="1"/>
      <c r="T263" s="1"/>
      <c r="W263" s="1"/>
      <c r="Y263" s="1"/>
      <c r="AB263" s="3"/>
    </row>
    <row r="264" ht="15.75" customHeight="1">
      <c r="E264" s="1"/>
      <c r="H264" s="1"/>
      <c r="K264" s="1"/>
      <c r="N264" s="1"/>
      <c r="Q264" s="1"/>
      <c r="T264" s="1"/>
      <c r="W264" s="1"/>
      <c r="Y264" s="1"/>
      <c r="AB264" s="3"/>
    </row>
    <row r="265" ht="15.75" customHeight="1">
      <c r="E265" s="1"/>
      <c r="H265" s="1"/>
      <c r="K265" s="1"/>
      <c r="N265" s="1"/>
      <c r="Q265" s="1"/>
      <c r="T265" s="1"/>
      <c r="W265" s="1"/>
      <c r="Y265" s="1"/>
      <c r="AB265" s="3"/>
    </row>
    <row r="266" ht="15.75" customHeight="1">
      <c r="E266" s="1"/>
      <c r="H266" s="1"/>
      <c r="K266" s="1"/>
      <c r="N266" s="1"/>
      <c r="Q266" s="1"/>
      <c r="T266" s="1"/>
      <c r="W266" s="1"/>
      <c r="Y266" s="1"/>
      <c r="AB266" s="3"/>
    </row>
    <row r="267" ht="15.75" customHeight="1">
      <c r="E267" s="1"/>
      <c r="H267" s="1"/>
      <c r="K267" s="1"/>
      <c r="N267" s="1"/>
      <c r="Q267" s="1"/>
      <c r="T267" s="1"/>
      <c r="W267" s="1"/>
      <c r="Y267" s="1"/>
      <c r="AB267" s="3"/>
    </row>
    <row r="268" ht="15.75" customHeight="1">
      <c r="E268" s="1"/>
      <c r="H268" s="1"/>
      <c r="K268" s="1"/>
      <c r="N268" s="1"/>
      <c r="Q268" s="1"/>
      <c r="T268" s="1"/>
      <c r="W268" s="1"/>
      <c r="Y268" s="1"/>
      <c r="AB268" s="3"/>
    </row>
    <row r="269" ht="15.75" customHeight="1">
      <c r="E269" s="1"/>
      <c r="H269" s="1"/>
      <c r="K269" s="1"/>
      <c r="N269" s="1"/>
      <c r="Q269" s="1"/>
      <c r="T269" s="1"/>
      <c r="W269" s="1"/>
      <c r="Y269" s="1"/>
      <c r="AB269" s="3"/>
    </row>
    <row r="270" ht="15.75" customHeight="1">
      <c r="E270" s="1"/>
      <c r="H270" s="1"/>
      <c r="K270" s="1"/>
      <c r="N270" s="1"/>
      <c r="Q270" s="1"/>
      <c r="T270" s="1"/>
      <c r="W270" s="1"/>
      <c r="Y270" s="1"/>
      <c r="AB270" s="3"/>
    </row>
    <row r="271" ht="15.75" customHeight="1">
      <c r="E271" s="1"/>
      <c r="H271" s="1"/>
      <c r="K271" s="1"/>
      <c r="N271" s="1"/>
      <c r="Q271" s="1"/>
      <c r="T271" s="1"/>
      <c r="W271" s="1"/>
      <c r="Y271" s="1"/>
      <c r="AB271" s="3"/>
    </row>
    <row r="272" ht="15.75" customHeight="1">
      <c r="E272" s="1"/>
      <c r="H272" s="1"/>
      <c r="K272" s="1"/>
      <c r="N272" s="1"/>
      <c r="Q272" s="1"/>
      <c r="T272" s="1"/>
      <c r="W272" s="1"/>
      <c r="Y272" s="1"/>
      <c r="AB272" s="3"/>
    </row>
    <row r="273" ht="15.75" customHeight="1">
      <c r="E273" s="1"/>
      <c r="H273" s="1"/>
      <c r="K273" s="1"/>
      <c r="N273" s="1"/>
      <c r="Q273" s="1"/>
      <c r="T273" s="1"/>
      <c r="W273" s="1"/>
      <c r="Y273" s="1"/>
      <c r="AB273" s="3"/>
    </row>
    <row r="274" ht="15.75" customHeight="1">
      <c r="E274" s="1"/>
      <c r="H274" s="1"/>
      <c r="K274" s="1"/>
      <c r="N274" s="1"/>
      <c r="Q274" s="1"/>
      <c r="T274" s="1"/>
      <c r="W274" s="1"/>
      <c r="Y274" s="1"/>
      <c r="AB274" s="3"/>
    </row>
    <row r="275" ht="15.75" customHeight="1">
      <c r="E275" s="1"/>
      <c r="H275" s="1"/>
      <c r="K275" s="1"/>
      <c r="N275" s="1"/>
      <c r="Q275" s="1"/>
      <c r="T275" s="1"/>
      <c r="W275" s="1"/>
      <c r="Y275" s="1"/>
      <c r="AB275" s="3"/>
    </row>
    <row r="276" ht="15.75" customHeight="1">
      <c r="E276" s="1"/>
      <c r="H276" s="1"/>
      <c r="K276" s="1"/>
      <c r="N276" s="1"/>
      <c r="Q276" s="1"/>
      <c r="T276" s="1"/>
      <c r="W276" s="1"/>
      <c r="Y276" s="1"/>
      <c r="AB276" s="3"/>
    </row>
    <row r="277" ht="15.75" customHeight="1">
      <c r="E277" s="1"/>
      <c r="H277" s="1"/>
      <c r="K277" s="1"/>
      <c r="N277" s="1"/>
      <c r="Q277" s="1"/>
      <c r="T277" s="1"/>
      <c r="W277" s="1"/>
      <c r="Y277" s="1"/>
      <c r="AB277" s="3"/>
    </row>
    <row r="278" ht="15.75" customHeight="1">
      <c r="E278" s="1"/>
      <c r="H278" s="1"/>
      <c r="K278" s="1"/>
      <c r="N278" s="1"/>
      <c r="Q278" s="1"/>
      <c r="T278" s="1"/>
      <c r="W278" s="1"/>
      <c r="Y278" s="1"/>
      <c r="AB278" s="3"/>
    </row>
    <row r="279" ht="15.75" customHeight="1">
      <c r="E279" s="1"/>
      <c r="H279" s="1"/>
      <c r="K279" s="1"/>
      <c r="N279" s="1"/>
      <c r="Q279" s="1"/>
      <c r="T279" s="1"/>
      <c r="W279" s="1"/>
      <c r="Y279" s="1"/>
      <c r="AB279" s="3"/>
    </row>
    <row r="280" ht="15.75" customHeight="1">
      <c r="E280" s="1"/>
      <c r="H280" s="1"/>
      <c r="K280" s="1"/>
      <c r="N280" s="1"/>
      <c r="Q280" s="1"/>
      <c r="T280" s="1"/>
      <c r="W280" s="1"/>
      <c r="Y280" s="1"/>
      <c r="AB280" s="3"/>
    </row>
    <row r="281" ht="15.75" customHeight="1">
      <c r="E281" s="1"/>
      <c r="H281" s="1"/>
      <c r="K281" s="1"/>
      <c r="N281" s="1"/>
      <c r="Q281" s="1"/>
      <c r="T281" s="1"/>
      <c r="W281" s="1"/>
      <c r="Y281" s="1"/>
      <c r="AB281" s="3"/>
    </row>
    <row r="282" ht="15.75" customHeight="1">
      <c r="E282" s="1"/>
      <c r="H282" s="1"/>
      <c r="K282" s="1"/>
      <c r="N282" s="1"/>
      <c r="Q282" s="1"/>
      <c r="T282" s="1"/>
      <c r="W282" s="1"/>
      <c r="Y282" s="1"/>
      <c r="AB282" s="3"/>
    </row>
    <row r="283" ht="15.75" customHeight="1">
      <c r="E283" s="1"/>
      <c r="H283" s="1"/>
      <c r="K283" s="1"/>
      <c r="N283" s="1"/>
      <c r="Q283" s="1"/>
      <c r="T283" s="1"/>
      <c r="W283" s="1"/>
      <c r="Y283" s="1"/>
      <c r="AB283" s="3"/>
    </row>
    <row r="284" ht="15.75" customHeight="1">
      <c r="E284" s="1"/>
      <c r="H284" s="1"/>
      <c r="K284" s="1"/>
      <c r="N284" s="1"/>
      <c r="Q284" s="1"/>
      <c r="T284" s="1"/>
      <c r="W284" s="1"/>
      <c r="Y284" s="1"/>
      <c r="AB284" s="3"/>
    </row>
    <row r="285" ht="15.75" customHeight="1">
      <c r="E285" s="1"/>
      <c r="H285" s="1"/>
      <c r="K285" s="1"/>
      <c r="N285" s="1"/>
      <c r="Q285" s="1"/>
      <c r="T285" s="1"/>
      <c r="W285" s="1"/>
      <c r="Y285" s="1"/>
      <c r="AB285" s="3"/>
    </row>
    <row r="286" ht="15.75" customHeight="1">
      <c r="E286" s="1"/>
      <c r="H286" s="1"/>
      <c r="K286" s="1"/>
      <c r="N286" s="1"/>
      <c r="Q286" s="1"/>
      <c r="T286" s="1"/>
      <c r="W286" s="1"/>
      <c r="Y286" s="1"/>
      <c r="AB286" s="3"/>
    </row>
    <row r="287" ht="15.75" customHeight="1">
      <c r="E287" s="1"/>
      <c r="H287" s="1"/>
      <c r="K287" s="1"/>
      <c r="N287" s="1"/>
      <c r="Q287" s="1"/>
      <c r="T287" s="1"/>
      <c r="W287" s="1"/>
      <c r="Y287" s="1"/>
      <c r="AB287" s="3"/>
    </row>
    <row r="288" ht="15.75" customHeight="1">
      <c r="E288" s="1"/>
      <c r="H288" s="1"/>
      <c r="K288" s="1"/>
      <c r="N288" s="1"/>
      <c r="Q288" s="1"/>
      <c r="T288" s="1"/>
      <c r="W288" s="1"/>
      <c r="Y288" s="1"/>
      <c r="AB288" s="3"/>
    </row>
    <row r="289" ht="15.75" customHeight="1">
      <c r="E289" s="1"/>
      <c r="H289" s="1"/>
      <c r="K289" s="1"/>
      <c r="N289" s="1"/>
      <c r="Q289" s="1"/>
      <c r="T289" s="1"/>
      <c r="W289" s="1"/>
      <c r="Y289" s="1"/>
      <c r="AB289" s="3"/>
    </row>
    <row r="290" ht="15.75" customHeight="1">
      <c r="E290" s="1"/>
      <c r="H290" s="1"/>
      <c r="K290" s="1"/>
      <c r="N290" s="1"/>
      <c r="Q290" s="1"/>
      <c r="T290" s="1"/>
      <c r="W290" s="1"/>
      <c r="Y290" s="1"/>
      <c r="AB290" s="3"/>
    </row>
    <row r="291" ht="15.75" customHeight="1">
      <c r="E291" s="1"/>
      <c r="H291" s="1"/>
      <c r="K291" s="1"/>
      <c r="N291" s="1"/>
      <c r="Q291" s="1"/>
      <c r="T291" s="1"/>
      <c r="W291" s="1"/>
      <c r="Y291" s="1"/>
      <c r="AB291" s="3"/>
    </row>
    <row r="292" ht="15.75" customHeight="1">
      <c r="E292" s="1"/>
      <c r="H292" s="1"/>
      <c r="K292" s="1"/>
      <c r="N292" s="1"/>
      <c r="Q292" s="1"/>
      <c r="T292" s="1"/>
      <c r="W292" s="1"/>
      <c r="Y292" s="1"/>
      <c r="AB292" s="3"/>
    </row>
    <row r="293" ht="15.75" customHeight="1">
      <c r="E293" s="1"/>
      <c r="H293" s="1"/>
      <c r="K293" s="1"/>
      <c r="N293" s="1"/>
      <c r="Q293" s="1"/>
      <c r="T293" s="1"/>
      <c r="W293" s="1"/>
      <c r="Y293" s="1"/>
      <c r="AB293" s="3"/>
    </row>
    <row r="294" ht="15.75" customHeight="1">
      <c r="E294" s="1"/>
      <c r="H294" s="1"/>
      <c r="K294" s="1"/>
      <c r="N294" s="1"/>
      <c r="Q294" s="1"/>
      <c r="T294" s="1"/>
      <c r="W294" s="1"/>
      <c r="Y294" s="1"/>
      <c r="AB294" s="3"/>
    </row>
    <row r="295" ht="15.75" customHeight="1">
      <c r="E295" s="1"/>
      <c r="H295" s="1"/>
      <c r="K295" s="1"/>
      <c r="N295" s="1"/>
      <c r="Q295" s="1"/>
      <c r="T295" s="1"/>
      <c r="W295" s="1"/>
      <c r="Y295" s="1"/>
      <c r="AB295" s="3"/>
    </row>
    <row r="296" ht="15.75" customHeight="1">
      <c r="E296" s="1"/>
      <c r="H296" s="1"/>
      <c r="K296" s="1"/>
      <c r="N296" s="1"/>
      <c r="Q296" s="1"/>
      <c r="T296" s="1"/>
      <c r="W296" s="1"/>
      <c r="Y296" s="1"/>
      <c r="AB296" s="3"/>
    </row>
    <row r="297" ht="15.75" customHeight="1">
      <c r="E297" s="1"/>
      <c r="H297" s="1"/>
      <c r="K297" s="1"/>
      <c r="N297" s="1"/>
      <c r="Q297" s="1"/>
      <c r="T297" s="1"/>
      <c r="W297" s="1"/>
      <c r="Y297" s="1"/>
      <c r="AB297" s="3"/>
    </row>
    <row r="298" ht="15.75" customHeight="1">
      <c r="E298" s="1"/>
      <c r="H298" s="1"/>
      <c r="K298" s="1"/>
      <c r="N298" s="1"/>
      <c r="Q298" s="1"/>
      <c r="T298" s="1"/>
      <c r="W298" s="1"/>
      <c r="Y298" s="1"/>
      <c r="AB298" s="3"/>
    </row>
    <row r="299" ht="15.75" customHeight="1">
      <c r="E299" s="1"/>
      <c r="H299" s="1"/>
      <c r="K299" s="1"/>
      <c r="N299" s="1"/>
      <c r="Q299" s="1"/>
      <c r="T299" s="1"/>
      <c r="W299" s="1"/>
      <c r="Y299" s="1"/>
      <c r="AB299" s="3"/>
    </row>
    <row r="300" ht="15.75" customHeight="1">
      <c r="E300" s="1"/>
      <c r="H300" s="1"/>
      <c r="K300" s="1"/>
      <c r="N300" s="1"/>
      <c r="Q300" s="1"/>
      <c r="T300" s="1"/>
      <c r="W300" s="1"/>
      <c r="Y300" s="1"/>
      <c r="AB300" s="3"/>
    </row>
    <row r="301" ht="15.75" customHeight="1">
      <c r="E301" s="1"/>
      <c r="H301" s="1"/>
      <c r="K301" s="1"/>
      <c r="N301" s="1"/>
      <c r="Q301" s="1"/>
      <c r="T301" s="1"/>
      <c r="W301" s="1"/>
      <c r="Y301" s="1"/>
      <c r="AB301" s="3"/>
    </row>
    <row r="302" ht="15.75" customHeight="1">
      <c r="E302" s="1"/>
      <c r="H302" s="1"/>
      <c r="K302" s="1"/>
      <c r="N302" s="1"/>
      <c r="Q302" s="1"/>
      <c r="T302" s="1"/>
      <c r="W302" s="1"/>
      <c r="Y302" s="1"/>
      <c r="AB302" s="3"/>
    </row>
    <row r="303" ht="15.75" customHeight="1">
      <c r="E303" s="1"/>
      <c r="H303" s="1"/>
      <c r="K303" s="1"/>
      <c r="N303" s="1"/>
      <c r="Q303" s="1"/>
      <c r="T303" s="1"/>
      <c r="W303" s="1"/>
      <c r="Y303" s="1"/>
      <c r="AB303" s="3"/>
    </row>
    <row r="304" ht="15.75" customHeight="1">
      <c r="E304" s="1"/>
      <c r="H304" s="1"/>
      <c r="K304" s="1"/>
      <c r="N304" s="1"/>
      <c r="Q304" s="1"/>
      <c r="T304" s="1"/>
      <c r="W304" s="1"/>
      <c r="Y304" s="1"/>
      <c r="AB304" s="3"/>
    </row>
    <row r="305" ht="15.75" customHeight="1">
      <c r="E305" s="1"/>
      <c r="H305" s="1"/>
      <c r="K305" s="1"/>
      <c r="N305" s="1"/>
      <c r="Q305" s="1"/>
      <c r="T305" s="1"/>
      <c r="W305" s="1"/>
      <c r="Y305" s="1"/>
      <c r="AB305" s="3"/>
    </row>
    <row r="306" ht="15.75" customHeight="1">
      <c r="E306" s="1"/>
      <c r="H306" s="1"/>
      <c r="K306" s="1"/>
      <c r="N306" s="1"/>
      <c r="Q306" s="1"/>
      <c r="T306" s="1"/>
      <c r="W306" s="1"/>
      <c r="Y306" s="1"/>
      <c r="AB306" s="3"/>
    </row>
    <row r="307" ht="15.75" customHeight="1">
      <c r="E307" s="1"/>
      <c r="H307" s="1"/>
      <c r="K307" s="1"/>
      <c r="N307" s="1"/>
      <c r="Q307" s="1"/>
      <c r="T307" s="1"/>
      <c r="W307" s="1"/>
      <c r="Y307" s="1"/>
      <c r="AB307" s="3"/>
    </row>
    <row r="308" ht="15.75" customHeight="1">
      <c r="E308" s="1"/>
      <c r="H308" s="1"/>
      <c r="K308" s="1"/>
      <c r="N308" s="1"/>
      <c r="Q308" s="1"/>
      <c r="T308" s="1"/>
      <c r="W308" s="1"/>
      <c r="Y308" s="1"/>
      <c r="AB308" s="3"/>
    </row>
    <row r="309" ht="15.75" customHeight="1">
      <c r="E309" s="1"/>
      <c r="H309" s="1"/>
      <c r="K309" s="1"/>
      <c r="N309" s="1"/>
      <c r="Q309" s="1"/>
      <c r="T309" s="1"/>
      <c r="W309" s="1"/>
      <c r="Y309" s="1"/>
      <c r="AB309" s="3"/>
    </row>
    <row r="310" ht="15.75" customHeight="1">
      <c r="E310" s="1"/>
      <c r="H310" s="1"/>
      <c r="K310" s="1"/>
      <c r="N310" s="1"/>
      <c r="Q310" s="1"/>
      <c r="T310" s="1"/>
      <c r="W310" s="1"/>
      <c r="Y310" s="1"/>
      <c r="AB310" s="3"/>
    </row>
    <row r="311" ht="15.75" customHeight="1">
      <c r="E311" s="1"/>
      <c r="H311" s="1"/>
      <c r="K311" s="1"/>
      <c r="N311" s="1"/>
      <c r="Q311" s="1"/>
      <c r="T311" s="1"/>
      <c r="W311" s="1"/>
      <c r="Y311" s="1"/>
      <c r="AB311" s="3"/>
    </row>
    <row r="312" ht="15.75" customHeight="1">
      <c r="E312" s="1"/>
      <c r="H312" s="1"/>
      <c r="K312" s="1"/>
      <c r="N312" s="1"/>
      <c r="Q312" s="1"/>
      <c r="T312" s="1"/>
      <c r="W312" s="1"/>
      <c r="Y312" s="1"/>
      <c r="AB312" s="3"/>
    </row>
    <row r="313" ht="15.75" customHeight="1">
      <c r="E313" s="1"/>
      <c r="H313" s="1"/>
      <c r="K313" s="1"/>
      <c r="N313" s="1"/>
      <c r="Q313" s="1"/>
      <c r="T313" s="1"/>
      <c r="W313" s="1"/>
      <c r="Y313" s="1"/>
      <c r="AB313" s="3"/>
    </row>
    <row r="314" ht="15.75" customHeight="1">
      <c r="E314" s="1"/>
      <c r="H314" s="1"/>
      <c r="K314" s="1"/>
      <c r="N314" s="1"/>
      <c r="Q314" s="1"/>
      <c r="T314" s="1"/>
      <c r="W314" s="1"/>
      <c r="Y314" s="1"/>
      <c r="AB314" s="3"/>
    </row>
    <row r="315" ht="15.75" customHeight="1">
      <c r="E315" s="1"/>
      <c r="H315" s="1"/>
      <c r="K315" s="1"/>
      <c r="N315" s="1"/>
      <c r="Q315" s="1"/>
      <c r="T315" s="1"/>
      <c r="W315" s="1"/>
      <c r="Y315" s="1"/>
      <c r="AB315" s="3"/>
    </row>
    <row r="316" ht="15.75" customHeight="1">
      <c r="E316" s="1"/>
      <c r="H316" s="1"/>
      <c r="K316" s="1"/>
      <c r="N316" s="1"/>
      <c r="Q316" s="1"/>
      <c r="T316" s="1"/>
      <c r="W316" s="1"/>
      <c r="Y316" s="1"/>
      <c r="AB316" s="3"/>
    </row>
    <row r="317" ht="15.75" customHeight="1">
      <c r="E317" s="1"/>
      <c r="H317" s="1"/>
      <c r="K317" s="1"/>
      <c r="N317" s="1"/>
      <c r="Q317" s="1"/>
      <c r="T317" s="1"/>
      <c r="W317" s="1"/>
      <c r="Y317" s="1"/>
      <c r="AB317" s="3"/>
    </row>
    <row r="318" ht="15.75" customHeight="1">
      <c r="E318" s="1"/>
      <c r="H318" s="1"/>
      <c r="K318" s="1"/>
      <c r="N318" s="1"/>
      <c r="Q318" s="1"/>
      <c r="T318" s="1"/>
      <c r="W318" s="1"/>
      <c r="Y318" s="1"/>
      <c r="AB318" s="3"/>
    </row>
    <row r="319" ht="15.75" customHeight="1">
      <c r="E319" s="1"/>
      <c r="H319" s="1"/>
      <c r="K319" s="1"/>
      <c r="N319" s="1"/>
      <c r="Q319" s="1"/>
      <c r="T319" s="1"/>
      <c r="W319" s="1"/>
      <c r="Y319" s="1"/>
      <c r="AB319" s="3"/>
    </row>
    <row r="320" ht="15.75" customHeight="1">
      <c r="E320" s="1"/>
      <c r="H320" s="1"/>
      <c r="K320" s="1"/>
      <c r="N320" s="1"/>
      <c r="Q320" s="1"/>
      <c r="T320" s="1"/>
      <c r="W320" s="1"/>
      <c r="Y320" s="1"/>
      <c r="AB320" s="3"/>
    </row>
    <row r="321" ht="15.75" customHeight="1">
      <c r="E321" s="1"/>
      <c r="H321" s="1"/>
      <c r="K321" s="1"/>
      <c r="N321" s="1"/>
      <c r="Q321" s="1"/>
      <c r="T321" s="1"/>
      <c r="W321" s="1"/>
      <c r="Y321" s="1"/>
      <c r="AB321" s="3"/>
    </row>
    <row r="322" ht="15.75" customHeight="1">
      <c r="E322" s="1"/>
      <c r="H322" s="1"/>
      <c r="K322" s="1"/>
      <c r="N322" s="1"/>
      <c r="Q322" s="1"/>
      <c r="T322" s="1"/>
      <c r="W322" s="1"/>
      <c r="Y322" s="1"/>
      <c r="AB322" s="3"/>
    </row>
    <row r="323" ht="15.75" customHeight="1">
      <c r="E323" s="1"/>
      <c r="H323" s="1"/>
      <c r="K323" s="1"/>
      <c r="N323" s="1"/>
      <c r="Q323" s="1"/>
      <c r="T323" s="1"/>
      <c r="W323" s="1"/>
      <c r="Y323" s="1"/>
      <c r="AB323" s="3"/>
    </row>
    <row r="324" ht="15.75" customHeight="1">
      <c r="E324" s="1"/>
      <c r="H324" s="1"/>
      <c r="K324" s="1"/>
      <c r="N324" s="1"/>
      <c r="Q324" s="1"/>
      <c r="T324" s="1"/>
      <c r="W324" s="1"/>
      <c r="Y324" s="1"/>
      <c r="AB324" s="3"/>
    </row>
    <row r="325" ht="15.75" customHeight="1">
      <c r="E325" s="1"/>
      <c r="H325" s="1"/>
      <c r="K325" s="1"/>
      <c r="N325" s="1"/>
      <c r="Q325" s="1"/>
      <c r="T325" s="1"/>
      <c r="W325" s="1"/>
      <c r="Y325" s="1"/>
      <c r="AB325" s="3"/>
    </row>
    <row r="326" ht="15.75" customHeight="1">
      <c r="E326" s="1"/>
      <c r="H326" s="1"/>
      <c r="K326" s="1"/>
      <c r="N326" s="1"/>
      <c r="Q326" s="1"/>
      <c r="T326" s="1"/>
      <c r="W326" s="1"/>
      <c r="Y326" s="1"/>
      <c r="AB326" s="3"/>
    </row>
    <row r="327" ht="15.75" customHeight="1">
      <c r="E327" s="1"/>
      <c r="H327" s="1"/>
      <c r="K327" s="1"/>
      <c r="N327" s="1"/>
      <c r="Q327" s="1"/>
      <c r="T327" s="1"/>
      <c r="W327" s="1"/>
      <c r="Y327" s="1"/>
      <c r="AB327" s="3"/>
    </row>
    <row r="328" ht="15.75" customHeight="1">
      <c r="E328" s="1"/>
      <c r="H328" s="1"/>
      <c r="K328" s="1"/>
      <c r="N328" s="1"/>
      <c r="Q328" s="1"/>
      <c r="T328" s="1"/>
      <c r="W328" s="1"/>
      <c r="Y328" s="1"/>
      <c r="AB328" s="3"/>
    </row>
    <row r="329" ht="15.75" customHeight="1">
      <c r="E329" s="1"/>
      <c r="H329" s="1"/>
      <c r="K329" s="1"/>
      <c r="N329" s="1"/>
      <c r="Q329" s="1"/>
      <c r="T329" s="1"/>
      <c r="W329" s="1"/>
      <c r="Y329" s="1"/>
      <c r="AB329" s="3"/>
    </row>
    <row r="330" ht="15.75" customHeight="1">
      <c r="E330" s="1"/>
      <c r="H330" s="1"/>
      <c r="K330" s="1"/>
      <c r="N330" s="1"/>
      <c r="Q330" s="1"/>
      <c r="T330" s="1"/>
      <c r="W330" s="1"/>
      <c r="Y330" s="1"/>
      <c r="AB330" s="3"/>
    </row>
    <row r="331" ht="15.75" customHeight="1">
      <c r="E331" s="1"/>
      <c r="H331" s="1"/>
      <c r="K331" s="1"/>
      <c r="N331" s="1"/>
      <c r="Q331" s="1"/>
      <c r="T331" s="1"/>
      <c r="W331" s="1"/>
      <c r="Y331" s="1"/>
      <c r="AB331" s="3"/>
    </row>
    <row r="332" ht="15.75" customHeight="1">
      <c r="E332" s="1"/>
      <c r="H332" s="1"/>
      <c r="K332" s="1"/>
      <c r="N332" s="1"/>
      <c r="Q332" s="1"/>
      <c r="T332" s="1"/>
      <c r="W332" s="1"/>
      <c r="Y332" s="1"/>
      <c r="AB332" s="3"/>
    </row>
    <row r="333" ht="15.75" customHeight="1">
      <c r="E333" s="1"/>
      <c r="H333" s="1"/>
      <c r="K333" s="1"/>
      <c r="N333" s="1"/>
      <c r="Q333" s="1"/>
      <c r="T333" s="1"/>
      <c r="W333" s="1"/>
      <c r="Y333" s="1"/>
      <c r="AB333" s="3"/>
    </row>
    <row r="334" ht="15.75" customHeight="1">
      <c r="E334" s="1"/>
      <c r="H334" s="1"/>
      <c r="K334" s="1"/>
      <c r="N334" s="1"/>
      <c r="Q334" s="1"/>
      <c r="T334" s="1"/>
      <c r="W334" s="1"/>
      <c r="Y334" s="1"/>
      <c r="AB334" s="3"/>
    </row>
    <row r="335" ht="15.75" customHeight="1">
      <c r="E335" s="1"/>
      <c r="H335" s="1"/>
      <c r="K335" s="1"/>
      <c r="N335" s="1"/>
      <c r="Q335" s="1"/>
      <c r="T335" s="1"/>
      <c r="W335" s="1"/>
      <c r="Y335" s="1"/>
      <c r="AB335" s="3"/>
    </row>
    <row r="336" ht="15.75" customHeight="1">
      <c r="E336" s="1"/>
      <c r="H336" s="1"/>
      <c r="K336" s="1"/>
      <c r="N336" s="1"/>
      <c r="Q336" s="1"/>
      <c r="T336" s="1"/>
      <c r="W336" s="1"/>
      <c r="Y336" s="1"/>
      <c r="AB336" s="3"/>
    </row>
    <row r="337" ht="15.75" customHeight="1">
      <c r="E337" s="1"/>
      <c r="H337" s="1"/>
      <c r="K337" s="1"/>
      <c r="N337" s="1"/>
      <c r="Q337" s="1"/>
      <c r="T337" s="1"/>
      <c r="W337" s="1"/>
      <c r="Y337" s="1"/>
      <c r="AB337" s="3"/>
    </row>
    <row r="338" ht="15.75" customHeight="1">
      <c r="E338" s="1"/>
      <c r="H338" s="1"/>
      <c r="K338" s="1"/>
      <c r="N338" s="1"/>
      <c r="Q338" s="1"/>
      <c r="T338" s="1"/>
      <c r="W338" s="1"/>
      <c r="Y338" s="1"/>
      <c r="AB338" s="3"/>
    </row>
    <row r="339" ht="15.75" customHeight="1">
      <c r="E339" s="1"/>
      <c r="H339" s="1"/>
      <c r="K339" s="1"/>
      <c r="N339" s="1"/>
      <c r="Q339" s="1"/>
      <c r="T339" s="1"/>
      <c r="W339" s="1"/>
      <c r="Y339" s="1"/>
      <c r="AB339" s="3"/>
    </row>
    <row r="340" ht="15.75" customHeight="1">
      <c r="E340" s="1"/>
      <c r="H340" s="1"/>
      <c r="K340" s="1"/>
      <c r="N340" s="1"/>
      <c r="Q340" s="1"/>
      <c r="T340" s="1"/>
      <c r="W340" s="1"/>
      <c r="Y340" s="1"/>
      <c r="AB340" s="3"/>
    </row>
    <row r="341" ht="15.75" customHeight="1">
      <c r="E341" s="1"/>
      <c r="H341" s="1"/>
      <c r="K341" s="1"/>
      <c r="N341" s="1"/>
      <c r="Q341" s="1"/>
      <c r="T341" s="1"/>
      <c r="W341" s="1"/>
      <c r="Y341" s="1"/>
      <c r="AB341" s="3"/>
    </row>
    <row r="342" ht="15.75" customHeight="1">
      <c r="E342" s="1"/>
      <c r="H342" s="1"/>
      <c r="K342" s="1"/>
      <c r="N342" s="1"/>
      <c r="Q342" s="1"/>
      <c r="T342" s="1"/>
      <c r="W342" s="1"/>
      <c r="Y342" s="1"/>
      <c r="AB342" s="3"/>
    </row>
    <row r="343" ht="15.75" customHeight="1">
      <c r="E343" s="1"/>
      <c r="H343" s="1"/>
      <c r="K343" s="1"/>
      <c r="N343" s="1"/>
      <c r="Q343" s="1"/>
      <c r="T343" s="1"/>
      <c r="W343" s="1"/>
      <c r="Y343" s="1"/>
      <c r="AB343" s="3"/>
    </row>
    <row r="344" ht="15.75" customHeight="1">
      <c r="E344" s="1"/>
      <c r="H344" s="1"/>
      <c r="K344" s="1"/>
      <c r="N344" s="1"/>
      <c r="Q344" s="1"/>
      <c r="T344" s="1"/>
      <c r="W344" s="1"/>
      <c r="Y344" s="1"/>
      <c r="AB344" s="3"/>
    </row>
    <row r="345" ht="15.75" customHeight="1">
      <c r="E345" s="1"/>
      <c r="H345" s="1"/>
      <c r="K345" s="1"/>
      <c r="N345" s="1"/>
      <c r="Q345" s="1"/>
      <c r="T345" s="1"/>
      <c r="W345" s="1"/>
      <c r="Y345" s="1"/>
      <c r="AB345" s="3"/>
    </row>
    <row r="346" ht="15.75" customHeight="1">
      <c r="E346" s="1"/>
      <c r="H346" s="1"/>
      <c r="K346" s="1"/>
      <c r="N346" s="1"/>
      <c r="Q346" s="1"/>
      <c r="T346" s="1"/>
      <c r="W346" s="1"/>
      <c r="Y346" s="1"/>
      <c r="AB346" s="3"/>
    </row>
    <row r="347" ht="15.75" customHeight="1">
      <c r="E347" s="1"/>
      <c r="H347" s="1"/>
      <c r="K347" s="1"/>
      <c r="N347" s="1"/>
      <c r="Q347" s="1"/>
      <c r="T347" s="1"/>
      <c r="W347" s="1"/>
      <c r="Y347" s="1"/>
      <c r="AB347" s="3"/>
    </row>
    <row r="348" ht="15.75" customHeight="1">
      <c r="E348" s="1"/>
      <c r="H348" s="1"/>
      <c r="K348" s="1"/>
      <c r="N348" s="1"/>
      <c r="Q348" s="1"/>
      <c r="T348" s="1"/>
      <c r="W348" s="1"/>
      <c r="Y348" s="1"/>
      <c r="AB348" s="3"/>
    </row>
    <row r="349" ht="15.75" customHeight="1">
      <c r="E349" s="1"/>
      <c r="H349" s="1"/>
      <c r="K349" s="1"/>
      <c r="N349" s="1"/>
      <c r="Q349" s="1"/>
      <c r="T349" s="1"/>
      <c r="W349" s="1"/>
      <c r="Y349" s="1"/>
      <c r="AB349" s="3"/>
    </row>
    <row r="350" ht="15.75" customHeight="1">
      <c r="E350" s="1"/>
      <c r="H350" s="1"/>
      <c r="K350" s="1"/>
      <c r="N350" s="1"/>
      <c r="Q350" s="1"/>
      <c r="T350" s="1"/>
      <c r="W350" s="1"/>
      <c r="Y350" s="1"/>
      <c r="AB350" s="3"/>
    </row>
    <row r="351" ht="15.75" customHeight="1">
      <c r="E351" s="1"/>
      <c r="H351" s="1"/>
      <c r="K351" s="1"/>
      <c r="N351" s="1"/>
      <c r="Q351" s="1"/>
      <c r="T351" s="1"/>
      <c r="W351" s="1"/>
      <c r="Y351" s="1"/>
      <c r="AB351" s="3"/>
    </row>
    <row r="352" ht="15.75" customHeight="1">
      <c r="E352" s="1"/>
      <c r="H352" s="1"/>
      <c r="K352" s="1"/>
      <c r="N352" s="1"/>
      <c r="Q352" s="1"/>
      <c r="T352" s="1"/>
      <c r="W352" s="1"/>
      <c r="Y352" s="1"/>
      <c r="AB352" s="3"/>
    </row>
    <row r="353" ht="15.75" customHeight="1">
      <c r="E353" s="1"/>
      <c r="H353" s="1"/>
      <c r="K353" s="1"/>
      <c r="N353" s="1"/>
      <c r="Q353" s="1"/>
      <c r="T353" s="1"/>
      <c r="W353" s="1"/>
      <c r="Y353" s="1"/>
      <c r="AB353" s="3"/>
    </row>
    <row r="354" ht="15.75" customHeight="1">
      <c r="E354" s="1"/>
      <c r="H354" s="1"/>
      <c r="K354" s="1"/>
      <c r="N354" s="1"/>
      <c r="Q354" s="1"/>
      <c r="T354" s="1"/>
      <c r="W354" s="1"/>
      <c r="Y354" s="1"/>
      <c r="AB354" s="3"/>
    </row>
    <row r="355" ht="15.75" customHeight="1">
      <c r="E355" s="1"/>
      <c r="H355" s="1"/>
      <c r="K355" s="1"/>
      <c r="N355" s="1"/>
      <c r="Q355" s="1"/>
      <c r="T355" s="1"/>
      <c r="W355" s="1"/>
      <c r="Y355" s="1"/>
      <c r="AB355" s="3"/>
    </row>
    <row r="356" ht="15.75" customHeight="1">
      <c r="E356" s="1"/>
      <c r="H356" s="1"/>
      <c r="K356" s="1"/>
      <c r="N356" s="1"/>
      <c r="Q356" s="1"/>
      <c r="T356" s="1"/>
      <c r="W356" s="1"/>
      <c r="Y356" s="1"/>
      <c r="AB356" s="3"/>
    </row>
    <row r="357" ht="15.75" customHeight="1">
      <c r="E357" s="1"/>
      <c r="H357" s="1"/>
      <c r="K357" s="1"/>
      <c r="N357" s="1"/>
      <c r="Q357" s="1"/>
      <c r="T357" s="1"/>
      <c r="W357" s="1"/>
      <c r="Y357" s="1"/>
      <c r="AB357" s="3"/>
    </row>
    <row r="358" ht="15.75" customHeight="1">
      <c r="E358" s="1"/>
      <c r="H358" s="1"/>
      <c r="K358" s="1"/>
      <c r="N358" s="1"/>
      <c r="Q358" s="1"/>
      <c r="T358" s="1"/>
      <c r="W358" s="1"/>
      <c r="Y358" s="1"/>
      <c r="AB358" s="3"/>
    </row>
    <row r="359" ht="15.75" customHeight="1">
      <c r="E359" s="1"/>
      <c r="H359" s="1"/>
      <c r="K359" s="1"/>
      <c r="N359" s="1"/>
      <c r="Q359" s="1"/>
      <c r="T359" s="1"/>
      <c r="W359" s="1"/>
      <c r="Y359" s="1"/>
      <c r="AB359" s="3"/>
    </row>
    <row r="360" ht="15.75" customHeight="1">
      <c r="E360" s="1"/>
      <c r="H360" s="1"/>
      <c r="K360" s="1"/>
      <c r="N360" s="1"/>
      <c r="Q360" s="1"/>
      <c r="T360" s="1"/>
      <c r="W360" s="1"/>
      <c r="Y360" s="1"/>
      <c r="AB360" s="3"/>
    </row>
    <row r="361" ht="15.75" customHeight="1">
      <c r="E361" s="1"/>
      <c r="H361" s="1"/>
      <c r="K361" s="1"/>
      <c r="N361" s="1"/>
      <c r="Q361" s="1"/>
      <c r="T361" s="1"/>
      <c r="W361" s="1"/>
      <c r="Y361" s="1"/>
      <c r="AB361" s="3"/>
    </row>
    <row r="362" ht="15.75" customHeight="1">
      <c r="E362" s="1"/>
      <c r="H362" s="1"/>
      <c r="K362" s="1"/>
      <c r="N362" s="1"/>
      <c r="Q362" s="1"/>
      <c r="T362" s="1"/>
      <c r="W362" s="1"/>
      <c r="Y362" s="1"/>
      <c r="AB362" s="3"/>
    </row>
    <row r="363" ht="15.75" customHeight="1">
      <c r="E363" s="1"/>
      <c r="H363" s="1"/>
      <c r="K363" s="1"/>
      <c r="N363" s="1"/>
      <c r="Q363" s="1"/>
      <c r="T363" s="1"/>
      <c r="W363" s="1"/>
      <c r="Y363" s="1"/>
      <c r="AB363" s="3"/>
    </row>
    <row r="364" ht="15.75" customHeight="1">
      <c r="E364" s="1"/>
      <c r="H364" s="1"/>
      <c r="K364" s="1"/>
      <c r="N364" s="1"/>
      <c r="Q364" s="1"/>
      <c r="T364" s="1"/>
      <c r="W364" s="1"/>
      <c r="Y364" s="1"/>
      <c r="AB364" s="3"/>
    </row>
    <row r="365" ht="15.75" customHeight="1">
      <c r="E365" s="1"/>
      <c r="H365" s="1"/>
      <c r="K365" s="1"/>
      <c r="N365" s="1"/>
      <c r="Q365" s="1"/>
      <c r="T365" s="1"/>
      <c r="W365" s="1"/>
      <c r="Y365" s="1"/>
      <c r="AB365" s="3"/>
    </row>
    <row r="366" ht="15.75" customHeight="1">
      <c r="E366" s="1"/>
      <c r="H366" s="1"/>
      <c r="K366" s="1"/>
      <c r="N366" s="1"/>
      <c r="Q366" s="1"/>
      <c r="T366" s="1"/>
      <c r="W366" s="1"/>
      <c r="Y366" s="1"/>
      <c r="AB366" s="3"/>
    </row>
    <row r="367" ht="15.75" customHeight="1">
      <c r="E367" s="1"/>
      <c r="H367" s="1"/>
      <c r="K367" s="1"/>
      <c r="N367" s="1"/>
      <c r="Q367" s="1"/>
      <c r="T367" s="1"/>
      <c r="W367" s="1"/>
      <c r="Y367" s="1"/>
      <c r="AB367" s="3"/>
    </row>
    <row r="368" ht="15.75" customHeight="1">
      <c r="E368" s="1"/>
      <c r="H368" s="1"/>
      <c r="K368" s="1"/>
      <c r="N368" s="1"/>
      <c r="Q368" s="1"/>
      <c r="T368" s="1"/>
      <c r="W368" s="1"/>
      <c r="Y368" s="1"/>
      <c r="AB368" s="3"/>
    </row>
    <row r="369" ht="15.75" customHeight="1">
      <c r="E369" s="1"/>
      <c r="H369" s="1"/>
      <c r="K369" s="1"/>
      <c r="N369" s="1"/>
      <c r="Q369" s="1"/>
      <c r="T369" s="1"/>
      <c r="W369" s="1"/>
      <c r="Y369" s="1"/>
      <c r="AB369" s="3"/>
    </row>
    <row r="370" ht="15.75" customHeight="1">
      <c r="E370" s="1"/>
      <c r="H370" s="1"/>
      <c r="K370" s="1"/>
      <c r="N370" s="1"/>
      <c r="Q370" s="1"/>
      <c r="T370" s="1"/>
      <c r="W370" s="1"/>
      <c r="Y370" s="1"/>
      <c r="AB370" s="3"/>
    </row>
    <row r="371" ht="15.75" customHeight="1">
      <c r="E371" s="1"/>
      <c r="H371" s="1"/>
      <c r="K371" s="1"/>
      <c r="N371" s="1"/>
      <c r="Q371" s="1"/>
      <c r="T371" s="1"/>
      <c r="W371" s="1"/>
      <c r="Y371" s="1"/>
      <c r="AB371" s="3"/>
    </row>
    <row r="372" ht="15.75" customHeight="1">
      <c r="E372" s="1"/>
      <c r="H372" s="1"/>
      <c r="K372" s="1"/>
      <c r="N372" s="1"/>
      <c r="Q372" s="1"/>
      <c r="T372" s="1"/>
      <c r="W372" s="1"/>
      <c r="Y372" s="1"/>
      <c r="AB372" s="3"/>
    </row>
    <row r="373" ht="15.75" customHeight="1">
      <c r="E373" s="1"/>
      <c r="H373" s="1"/>
      <c r="K373" s="1"/>
      <c r="N373" s="1"/>
      <c r="Q373" s="1"/>
      <c r="T373" s="1"/>
      <c r="W373" s="1"/>
      <c r="Y373" s="1"/>
      <c r="AB373" s="3"/>
    </row>
    <row r="374" ht="15.75" customHeight="1">
      <c r="E374" s="1"/>
      <c r="H374" s="1"/>
      <c r="K374" s="1"/>
      <c r="N374" s="1"/>
      <c r="Q374" s="1"/>
      <c r="T374" s="1"/>
      <c r="W374" s="1"/>
      <c r="Y374" s="1"/>
      <c r="AB374" s="3"/>
    </row>
    <row r="375" ht="15.75" customHeight="1">
      <c r="E375" s="1"/>
      <c r="H375" s="1"/>
      <c r="K375" s="1"/>
      <c r="N375" s="1"/>
      <c r="Q375" s="1"/>
      <c r="T375" s="1"/>
      <c r="W375" s="1"/>
      <c r="Y375" s="1"/>
      <c r="AB375" s="3"/>
    </row>
    <row r="376" ht="15.75" customHeight="1">
      <c r="E376" s="1"/>
      <c r="H376" s="1"/>
      <c r="K376" s="1"/>
      <c r="N376" s="1"/>
      <c r="Q376" s="1"/>
      <c r="T376" s="1"/>
      <c r="W376" s="1"/>
      <c r="Y376" s="1"/>
      <c r="AB376" s="3"/>
    </row>
    <row r="377" ht="15.75" customHeight="1">
      <c r="E377" s="1"/>
      <c r="H377" s="1"/>
      <c r="K377" s="1"/>
      <c r="N377" s="1"/>
      <c r="Q377" s="1"/>
      <c r="T377" s="1"/>
      <c r="W377" s="1"/>
      <c r="Y377" s="1"/>
      <c r="AB377" s="3"/>
    </row>
    <row r="378" ht="15.75" customHeight="1">
      <c r="E378" s="1"/>
      <c r="H378" s="1"/>
      <c r="K378" s="1"/>
      <c r="N378" s="1"/>
      <c r="Q378" s="1"/>
      <c r="T378" s="1"/>
      <c r="W378" s="1"/>
      <c r="Y378" s="1"/>
      <c r="AB378" s="3"/>
    </row>
    <row r="379" ht="15.75" customHeight="1">
      <c r="E379" s="1"/>
      <c r="H379" s="1"/>
      <c r="K379" s="1"/>
      <c r="N379" s="1"/>
      <c r="Q379" s="1"/>
      <c r="T379" s="1"/>
      <c r="W379" s="1"/>
      <c r="Y379" s="1"/>
      <c r="AB379" s="3"/>
    </row>
    <row r="380" ht="15.75" customHeight="1">
      <c r="E380" s="1"/>
      <c r="H380" s="1"/>
      <c r="K380" s="1"/>
      <c r="N380" s="1"/>
      <c r="Q380" s="1"/>
      <c r="T380" s="1"/>
      <c r="W380" s="1"/>
      <c r="Y380" s="1"/>
      <c r="AB380" s="3"/>
    </row>
    <row r="381" ht="15.75" customHeight="1">
      <c r="E381" s="1"/>
      <c r="H381" s="1"/>
      <c r="K381" s="1"/>
      <c r="N381" s="1"/>
      <c r="Q381" s="1"/>
      <c r="T381" s="1"/>
      <c r="W381" s="1"/>
      <c r="Y381" s="1"/>
      <c r="AB381" s="3"/>
    </row>
    <row r="382" ht="15.75" customHeight="1">
      <c r="E382" s="1"/>
      <c r="H382" s="1"/>
      <c r="K382" s="1"/>
      <c r="N382" s="1"/>
      <c r="Q382" s="1"/>
      <c r="T382" s="1"/>
      <c r="W382" s="1"/>
      <c r="Y382" s="1"/>
      <c r="AB382" s="3"/>
    </row>
    <row r="383" ht="15.75" customHeight="1">
      <c r="E383" s="1"/>
      <c r="H383" s="1"/>
      <c r="K383" s="1"/>
      <c r="N383" s="1"/>
      <c r="Q383" s="1"/>
      <c r="T383" s="1"/>
      <c r="W383" s="1"/>
      <c r="Y383" s="1"/>
      <c r="AB383" s="3"/>
    </row>
    <row r="384" ht="15.75" customHeight="1">
      <c r="E384" s="1"/>
      <c r="H384" s="1"/>
      <c r="K384" s="1"/>
      <c r="N384" s="1"/>
      <c r="Q384" s="1"/>
      <c r="T384" s="1"/>
      <c r="W384" s="1"/>
      <c r="Y384" s="1"/>
      <c r="AB384" s="3"/>
    </row>
    <row r="385" ht="15.75" customHeight="1">
      <c r="E385" s="1"/>
      <c r="H385" s="1"/>
      <c r="K385" s="1"/>
      <c r="N385" s="1"/>
      <c r="Q385" s="1"/>
      <c r="T385" s="1"/>
      <c r="W385" s="1"/>
      <c r="Y385" s="1"/>
      <c r="AB385" s="3"/>
    </row>
    <row r="386" ht="15.75" customHeight="1">
      <c r="E386" s="1"/>
      <c r="H386" s="1"/>
      <c r="K386" s="1"/>
      <c r="N386" s="1"/>
      <c r="Q386" s="1"/>
      <c r="T386" s="1"/>
      <c r="W386" s="1"/>
      <c r="Y386" s="1"/>
      <c r="AB386" s="3"/>
    </row>
    <row r="387" ht="15.75" customHeight="1">
      <c r="E387" s="1"/>
      <c r="H387" s="1"/>
      <c r="K387" s="1"/>
      <c r="N387" s="1"/>
      <c r="Q387" s="1"/>
      <c r="T387" s="1"/>
      <c r="W387" s="1"/>
      <c r="Y387" s="1"/>
      <c r="AB387" s="3"/>
    </row>
    <row r="388" ht="15.75" customHeight="1">
      <c r="E388" s="1"/>
      <c r="H388" s="1"/>
      <c r="K388" s="1"/>
      <c r="N388" s="1"/>
      <c r="Q388" s="1"/>
      <c r="T388" s="1"/>
      <c r="W388" s="1"/>
      <c r="Y388" s="1"/>
      <c r="AB388" s="3"/>
    </row>
    <row r="389" ht="15.75" customHeight="1">
      <c r="E389" s="1"/>
      <c r="H389" s="1"/>
      <c r="K389" s="1"/>
      <c r="N389" s="1"/>
      <c r="Q389" s="1"/>
      <c r="T389" s="1"/>
      <c r="W389" s="1"/>
      <c r="Y389" s="1"/>
      <c r="AB389" s="3"/>
    </row>
    <row r="390" ht="15.75" customHeight="1">
      <c r="E390" s="1"/>
      <c r="H390" s="1"/>
      <c r="K390" s="1"/>
      <c r="N390" s="1"/>
      <c r="Q390" s="1"/>
      <c r="T390" s="1"/>
      <c r="W390" s="1"/>
      <c r="Y390" s="1"/>
      <c r="AB390" s="3"/>
    </row>
    <row r="391" ht="15.75" customHeight="1">
      <c r="E391" s="1"/>
      <c r="H391" s="1"/>
      <c r="K391" s="1"/>
      <c r="N391" s="1"/>
      <c r="Q391" s="1"/>
      <c r="T391" s="1"/>
      <c r="W391" s="1"/>
      <c r="Y391" s="1"/>
      <c r="AB391" s="3"/>
    </row>
    <row r="392" ht="15.75" customHeight="1">
      <c r="E392" s="1"/>
      <c r="H392" s="1"/>
      <c r="K392" s="1"/>
      <c r="N392" s="1"/>
      <c r="Q392" s="1"/>
      <c r="T392" s="1"/>
      <c r="W392" s="1"/>
      <c r="Y392" s="1"/>
      <c r="AB392" s="3"/>
    </row>
    <row r="393" ht="15.75" customHeight="1">
      <c r="E393" s="1"/>
      <c r="H393" s="1"/>
      <c r="K393" s="1"/>
      <c r="N393" s="1"/>
      <c r="Q393" s="1"/>
      <c r="T393" s="1"/>
      <c r="W393" s="1"/>
      <c r="Y393" s="1"/>
      <c r="AB393" s="3"/>
    </row>
    <row r="394" ht="15.75" customHeight="1">
      <c r="E394" s="1"/>
      <c r="H394" s="1"/>
      <c r="K394" s="1"/>
      <c r="N394" s="1"/>
      <c r="Q394" s="1"/>
      <c r="T394" s="1"/>
      <c r="W394" s="1"/>
      <c r="Y394" s="1"/>
      <c r="AB394" s="3"/>
    </row>
    <row r="395" ht="15.75" customHeight="1">
      <c r="E395" s="1"/>
      <c r="H395" s="1"/>
      <c r="K395" s="1"/>
      <c r="N395" s="1"/>
      <c r="Q395" s="1"/>
      <c r="T395" s="1"/>
      <c r="W395" s="1"/>
      <c r="Y395" s="1"/>
      <c r="AB395" s="3"/>
    </row>
    <row r="396" ht="15.75" customHeight="1">
      <c r="E396" s="1"/>
      <c r="H396" s="1"/>
      <c r="K396" s="1"/>
      <c r="N396" s="1"/>
      <c r="Q396" s="1"/>
      <c r="T396" s="1"/>
      <c r="W396" s="1"/>
      <c r="Y396" s="1"/>
      <c r="AB396" s="3"/>
    </row>
    <row r="397" ht="15.75" customHeight="1">
      <c r="E397" s="1"/>
      <c r="H397" s="1"/>
      <c r="K397" s="1"/>
      <c r="N397" s="1"/>
      <c r="Q397" s="1"/>
      <c r="T397" s="1"/>
      <c r="W397" s="1"/>
      <c r="Y397" s="1"/>
      <c r="AB397" s="3"/>
    </row>
    <row r="398" ht="15.75" customHeight="1">
      <c r="E398" s="1"/>
      <c r="H398" s="1"/>
      <c r="K398" s="1"/>
      <c r="N398" s="1"/>
      <c r="Q398" s="1"/>
      <c r="T398" s="1"/>
      <c r="W398" s="1"/>
      <c r="Y398" s="1"/>
      <c r="AB398" s="3"/>
    </row>
    <row r="399" ht="15.75" customHeight="1">
      <c r="E399" s="1"/>
      <c r="H399" s="1"/>
      <c r="K399" s="1"/>
      <c r="N399" s="1"/>
      <c r="Q399" s="1"/>
      <c r="T399" s="1"/>
      <c r="W399" s="1"/>
      <c r="Y399" s="1"/>
      <c r="AB399" s="3"/>
    </row>
    <row r="400" ht="15.75" customHeight="1">
      <c r="E400" s="1"/>
      <c r="H400" s="1"/>
      <c r="K400" s="1"/>
      <c r="N400" s="1"/>
      <c r="Q400" s="1"/>
      <c r="T400" s="1"/>
      <c r="W400" s="1"/>
      <c r="Y400" s="1"/>
      <c r="AB400" s="3"/>
    </row>
    <row r="401" ht="15.75" customHeight="1">
      <c r="E401" s="1"/>
      <c r="H401" s="1"/>
      <c r="K401" s="1"/>
      <c r="N401" s="1"/>
      <c r="Q401" s="1"/>
      <c r="T401" s="1"/>
      <c r="W401" s="1"/>
      <c r="Y401" s="1"/>
      <c r="AB401" s="3"/>
    </row>
    <row r="402" ht="15.75" customHeight="1">
      <c r="E402" s="1"/>
      <c r="H402" s="1"/>
      <c r="K402" s="1"/>
      <c r="N402" s="1"/>
      <c r="Q402" s="1"/>
      <c r="T402" s="1"/>
      <c r="W402" s="1"/>
      <c r="Y402" s="1"/>
      <c r="AB402" s="3"/>
    </row>
    <row r="403" ht="15.75" customHeight="1">
      <c r="E403" s="1"/>
      <c r="H403" s="1"/>
      <c r="K403" s="1"/>
      <c r="N403" s="1"/>
      <c r="Q403" s="1"/>
      <c r="T403" s="1"/>
      <c r="W403" s="1"/>
      <c r="Y403" s="1"/>
      <c r="AB403" s="3"/>
    </row>
    <row r="404" ht="15.75" customHeight="1">
      <c r="E404" s="1"/>
      <c r="H404" s="1"/>
      <c r="K404" s="1"/>
      <c r="N404" s="1"/>
      <c r="Q404" s="1"/>
      <c r="T404" s="1"/>
      <c r="W404" s="1"/>
      <c r="Y404" s="1"/>
      <c r="AB404" s="3"/>
    </row>
    <row r="405" ht="15.75" customHeight="1">
      <c r="E405" s="1"/>
      <c r="H405" s="1"/>
      <c r="K405" s="1"/>
      <c r="N405" s="1"/>
      <c r="Q405" s="1"/>
      <c r="T405" s="1"/>
      <c r="W405" s="1"/>
      <c r="Y405" s="1"/>
      <c r="AB405" s="3"/>
    </row>
    <row r="406" ht="15.75" customHeight="1">
      <c r="E406" s="1"/>
      <c r="H406" s="1"/>
      <c r="K406" s="1"/>
      <c r="N406" s="1"/>
      <c r="Q406" s="1"/>
      <c r="T406" s="1"/>
      <c r="W406" s="1"/>
      <c r="Y406" s="1"/>
      <c r="AB406" s="3"/>
    </row>
    <row r="407" ht="15.75" customHeight="1">
      <c r="E407" s="1"/>
      <c r="H407" s="1"/>
      <c r="K407" s="1"/>
      <c r="N407" s="1"/>
      <c r="Q407" s="1"/>
      <c r="T407" s="1"/>
      <c r="W407" s="1"/>
      <c r="Y407" s="1"/>
      <c r="AB407" s="3"/>
    </row>
    <row r="408" ht="15.75" customHeight="1">
      <c r="E408" s="1"/>
      <c r="H408" s="1"/>
      <c r="K408" s="1"/>
      <c r="N408" s="1"/>
      <c r="Q408" s="1"/>
      <c r="T408" s="1"/>
      <c r="W408" s="1"/>
      <c r="Y408" s="1"/>
      <c r="AB408" s="3"/>
    </row>
    <row r="409" ht="15.75" customHeight="1">
      <c r="E409" s="1"/>
      <c r="H409" s="1"/>
      <c r="K409" s="1"/>
      <c r="N409" s="1"/>
      <c r="Q409" s="1"/>
      <c r="T409" s="1"/>
      <c r="W409" s="1"/>
      <c r="Y409" s="1"/>
      <c r="AB409" s="3"/>
    </row>
    <row r="410" ht="15.75" customHeight="1">
      <c r="E410" s="1"/>
      <c r="H410" s="1"/>
      <c r="K410" s="1"/>
      <c r="N410" s="1"/>
      <c r="Q410" s="1"/>
      <c r="T410" s="1"/>
      <c r="W410" s="1"/>
      <c r="Y410" s="1"/>
      <c r="AB410" s="3"/>
    </row>
    <row r="411" ht="15.75" customHeight="1">
      <c r="E411" s="1"/>
      <c r="H411" s="1"/>
      <c r="K411" s="1"/>
      <c r="N411" s="1"/>
      <c r="Q411" s="1"/>
      <c r="T411" s="1"/>
      <c r="W411" s="1"/>
      <c r="Y411" s="1"/>
      <c r="AB411" s="3"/>
    </row>
    <row r="412" ht="15.75" customHeight="1">
      <c r="E412" s="1"/>
      <c r="H412" s="1"/>
      <c r="K412" s="1"/>
      <c r="N412" s="1"/>
      <c r="Q412" s="1"/>
      <c r="T412" s="1"/>
      <c r="W412" s="1"/>
      <c r="Y412" s="1"/>
      <c r="AB412" s="3"/>
    </row>
    <row r="413" ht="15.75" customHeight="1">
      <c r="E413" s="1"/>
      <c r="H413" s="1"/>
      <c r="K413" s="1"/>
      <c r="N413" s="1"/>
      <c r="Q413" s="1"/>
      <c r="T413" s="1"/>
      <c r="W413" s="1"/>
      <c r="Y413" s="1"/>
      <c r="AB413" s="3"/>
    </row>
    <row r="414" ht="15.75" customHeight="1">
      <c r="E414" s="1"/>
      <c r="H414" s="1"/>
      <c r="K414" s="1"/>
      <c r="N414" s="1"/>
      <c r="Q414" s="1"/>
      <c r="T414" s="1"/>
      <c r="W414" s="1"/>
      <c r="Y414" s="1"/>
      <c r="AB414" s="3"/>
    </row>
    <row r="415" ht="15.75" customHeight="1">
      <c r="E415" s="1"/>
      <c r="H415" s="1"/>
      <c r="K415" s="1"/>
      <c r="N415" s="1"/>
      <c r="Q415" s="1"/>
      <c r="T415" s="1"/>
      <c r="W415" s="1"/>
      <c r="Y415" s="1"/>
      <c r="AB415" s="3"/>
    </row>
    <row r="416" ht="15.75" customHeight="1">
      <c r="E416" s="1"/>
      <c r="H416" s="1"/>
      <c r="K416" s="1"/>
      <c r="N416" s="1"/>
      <c r="Q416" s="1"/>
      <c r="T416" s="1"/>
      <c r="W416" s="1"/>
      <c r="Y416" s="1"/>
      <c r="AB416" s="3"/>
    </row>
    <row r="417" ht="15.75" customHeight="1">
      <c r="E417" s="1"/>
      <c r="H417" s="1"/>
      <c r="K417" s="1"/>
      <c r="N417" s="1"/>
      <c r="Q417" s="1"/>
      <c r="T417" s="1"/>
      <c r="W417" s="1"/>
      <c r="Y417" s="1"/>
      <c r="AB417" s="3"/>
    </row>
    <row r="418" ht="15.75" customHeight="1">
      <c r="E418" s="1"/>
      <c r="H418" s="1"/>
      <c r="K418" s="1"/>
      <c r="N418" s="1"/>
      <c r="Q418" s="1"/>
      <c r="T418" s="1"/>
      <c r="W418" s="1"/>
      <c r="Y418" s="1"/>
      <c r="AB418" s="3"/>
    </row>
    <row r="419" ht="15.75" customHeight="1">
      <c r="E419" s="1"/>
      <c r="H419" s="1"/>
      <c r="K419" s="1"/>
      <c r="N419" s="1"/>
      <c r="Q419" s="1"/>
      <c r="T419" s="1"/>
      <c r="W419" s="1"/>
      <c r="Y419" s="1"/>
      <c r="AB419" s="3"/>
    </row>
    <row r="420" ht="15.75" customHeight="1">
      <c r="E420" s="1"/>
      <c r="H420" s="1"/>
      <c r="K420" s="1"/>
      <c r="N420" s="1"/>
      <c r="Q420" s="1"/>
      <c r="T420" s="1"/>
      <c r="W420" s="1"/>
      <c r="Y420" s="1"/>
      <c r="AB420" s="3"/>
    </row>
    <row r="421" ht="15.75" customHeight="1">
      <c r="E421" s="1"/>
      <c r="H421" s="1"/>
      <c r="K421" s="1"/>
      <c r="N421" s="1"/>
      <c r="Q421" s="1"/>
      <c r="T421" s="1"/>
      <c r="W421" s="1"/>
      <c r="Y421" s="1"/>
      <c r="AB421" s="3"/>
    </row>
    <row r="422" ht="15.75" customHeight="1">
      <c r="E422" s="1"/>
      <c r="H422" s="1"/>
      <c r="K422" s="1"/>
      <c r="N422" s="1"/>
      <c r="Q422" s="1"/>
      <c r="T422" s="1"/>
      <c r="W422" s="1"/>
      <c r="Y422" s="1"/>
      <c r="AB422" s="3"/>
    </row>
    <row r="423" ht="15.75" customHeight="1">
      <c r="E423" s="1"/>
      <c r="H423" s="1"/>
      <c r="K423" s="1"/>
      <c r="N423" s="1"/>
      <c r="Q423" s="1"/>
      <c r="T423" s="1"/>
      <c r="W423" s="1"/>
      <c r="Y423" s="1"/>
      <c r="AB423" s="3"/>
    </row>
    <row r="424" ht="15.75" customHeight="1">
      <c r="E424" s="1"/>
      <c r="H424" s="1"/>
      <c r="K424" s="1"/>
      <c r="N424" s="1"/>
      <c r="Q424" s="1"/>
      <c r="T424" s="1"/>
      <c r="W424" s="1"/>
      <c r="Y424" s="1"/>
      <c r="AB424" s="3"/>
    </row>
    <row r="425" ht="15.75" customHeight="1">
      <c r="E425" s="1"/>
      <c r="H425" s="1"/>
      <c r="K425" s="1"/>
      <c r="N425" s="1"/>
      <c r="Q425" s="1"/>
      <c r="T425" s="1"/>
      <c r="W425" s="1"/>
      <c r="Y425" s="1"/>
      <c r="AB425" s="3"/>
    </row>
    <row r="426" ht="15.75" customHeight="1">
      <c r="E426" s="1"/>
      <c r="H426" s="1"/>
      <c r="K426" s="1"/>
      <c r="N426" s="1"/>
      <c r="Q426" s="1"/>
      <c r="T426" s="1"/>
      <c r="W426" s="1"/>
      <c r="Y426" s="1"/>
      <c r="AB426" s="3"/>
    </row>
    <row r="427" ht="15.75" customHeight="1">
      <c r="E427" s="1"/>
      <c r="H427" s="1"/>
      <c r="K427" s="1"/>
      <c r="N427" s="1"/>
      <c r="Q427" s="1"/>
      <c r="T427" s="1"/>
      <c r="W427" s="1"/>
      <c r="Y427" s="1"/>
      <c r="AB427" s="3"/>
    </row>
    <row r="428" ht="15.75" customHeight="1">
      <c r="E428" s="1"/>
      <c r="H428" s="1"/>
      <c r="K428" s="1"/>
      <c r="N428" s="1"/>
      <c r="Q428" s="1"/>
      <c r="T428" s="1"/>
      <c r="W428" s="1"/>
      <c r="Y428" s="1"/>
      <c r="AB428" s="3"/>
    </row>
    <row r="429" ht="15.75" customHeight="1">
      <c r="E429" s="1"/>
      <c r="H429" s="1"/>
      <c r="K429" s="1"/>
      <c r="N429" s="1"/>
      <c r="Q429" s="1"/>
      <c r="T429" s="1"/>
      <c r="W429" s="1"/>
      <c r="Y429" s="1"/>
      <c r="AB429" s="3"/>
    </row>
    <row r="430" ht="15.75" customHeight="1">
      <c r="E430" s="1"/>
      <c r="H430" s="1"/>
      <c r="K430" s="1"/>
      <c r="N430" s="1"/>
      <c r="Q430" s="1"/>
      <c r="T430" s="1"/>
      <c r="W430" s="1"/>
      <c r="Y430" s="1"/>
      <c r="AB430" s="3"/>
    </row>
    <row r="431" ht="15.75" customHeight="1">
      <c r="E431" s="1"/>
      <c r="H431" s="1"/>
      <c r="K431" s="1"/>
      <c r="N431" s="1"/>
      <c r="Q431" s="1"/>
      <c r="T431" s="1"/>
      <c r="W431" s="1"/>
      <c r="Y431" s="1"/>
      <c r="AB431" s="3"/>
    </row>
    <row r="432" ht="15.75" customHeight="1">
      <c r="E432" s="1"/>
      <c r="H432" s="1"/>
      <c r="K432" s="1"/>
      <c r="N432" s="1"/>
      <c r="Q432" s="1"/>
      <c r="T432" s="1"/>
      <c r="W432" s="1"/>
      <c r="Y432" s="1"/>
      <c r="AB432" s="3"/>
    </row>
    <row r="433" ht="15.75" customHeight="1">
      <c r="E433" s="1"/>
      <c r="H433" s="1"/>
      <c r="K433" s="1"/>
      <c r="N433" s="1"/>
      <c r="Q433" s="1"/>
      <c r="T433" s="1"/>
      <c r="W433" s="1"/>
      <c r="Y433" s="1"/>
      <c r="AB433" s="3"/>
    </row>
    <row r="434" ht="15.75" customHeight="1">
      <c r="E434" s="1"/>
      <c r="H434" s="1"/>
      <c r="K434" s="1"/>
      <c r="N434" s="1"/>
      <c r="Q434" s="1"/>
      <c r="T434" s="1"/>
      <c r="W434" s="1"/>
      <c r="Y434" s="1"/>
      <c r="AB434" s="3"/>
    </row>
    <row r="435" ht="15.75" customHeight="1">
      <c r="E435" s="1"/>
      <c r="H435" s="1"/>
      <c r="K435" s="1"/>
      <c r="N435" s="1"/>
      <c r="Q435" s="1"/>
      <c r="T435" s="1"/>
      <c r="W435" s="1"/>
      <c r="Y435" s="1"/>
      <c r="AB435" s="3"/>
    </row>
    <row r="436" ht="15.75" customHeight="1">
      <c r="E436" s="1"/>
      <c r="H436" s="1"/>
      <c r="K436" s="1"/>
      <c r="N436" s="1"/>
      <c r="Q436" s="1"/>
      <c r="T436" s="1"/>
      <c r="W436" s="1"/>
      <c r="Y436" s="1"/>
      <c r="AB436" s="3"/>
    </row>
    <row r="437" ht="15.75" customHeight="1">
      <c r="E437" s="1"/>
      <c r="H437" s="1"/>
      <c r="K437" s="1"/>
      <c r="N437" s="1"/>
      <c r="Q437" s="1"/>
      <c r="T437" s="1"/>
      <c r="W437" s="1"/>
      <c r="Y437" s="1"/>
      <c r="AB437" s="3"/>
    </row>
    <row r="438" ht="15.75" customHeight="1">
      <c r="E438" s="1"/>
      <c r="H438" s="1"/>
      <c r="K438" s="1"/>
      <c r="N438" s="1"/>
      <c r="Q438" s="1"/>
      <c r="T438" s="1"/>
      <c r="W438" s="1"/>
      <c r="Y438" s="1"/>
      <c r="AB438" s="3"/>
    </row>
    <row r="439" ht="15.75" customHeight="1">
      <c r="E439" s="1"/>
      <c r="H439" s="1"/>
      <c r="K439" s="1"/>
      <c r="N439" s="1"/>
      <c r="Q439" s="1"/>
      <c r="T439" s="1"/>
      <c r="W439" s="1"/>
      <c r="Y439" s="1"/>
      <c r="AB439" s="3"/>
    </row>
    <row r="440" ht="15.75" customHeight="1">
      <c r="E440" s="1"/>
      <c r="H440" s="1"/>
      <c r="K440" s="1"/>
      <c r="N440" s="1"/>
      <c r="Q440" s="1"/>
      <c r="T440" s="1"/>
      <c r="W440" s="1"/>
      <c r="Y440" s="1"/>
      <c r="AB440" s="3"/>
    </row>
    <row r="441" ht="15.75" customHeight="1">
      <c r="E441" s="1"/>
      <c r="H441" s="1"/>
      <c r="K441" s="1"/>
      <c r="N441" s="1"/>
      <c r="Q441" s="1"/>
      <c r="T441" s="1"/>
      <c r="W441" s="1"/>
      <c r="Y441" s="1"/>
      <c r="AB441" s="3"/>
    </row>
    <row r="442" ht="15.75" customHeight="1">
      <c r="E442" s="1"/>
      <c r="H442" s="1"/>
      <c r="K442" s="1"/>
      <c r="N442" s="1"/>
      <c r="Q442" s="1"/>
      <c r="T442" s="1"/>
      <c r="W442" s="1"/>
      <c r="Y442" s="1"/>
      <c r="AB442" s="3"/>
    </row>
    <row r="443" ht="15.75" customHeight="1">
      <c r="E443" s="1"/>
      <c r="H443" s="1"/>
      <c r="K443" s="1"/>
      <c r="N443" s="1"/>
      <c r="Q443" s="1"/>
      <c r="T443" s="1"/>
      <c r="W443" s="1"/>
      <c r="Y443" s="1"/>
      <c r="AB443" s="3"/>
    </row>
    <row r="444" ht="15.75" customHeight="1">
      <c r="E444" s="1"/>
      <c r="H444" s="1"/>
      <c r="K444" s="1"/>
      <c r="N444" s="1"/>
      <c r="Q444" s="1"/>
      <c r="T444" s="1"/>
      <c r="W444" s="1"/>
      <c r="Y444" s="1"/>
      <c r="AB444" s="3"/>
    </row>
    <row r="445" ht="15.75" customHeight="1">
      <c r="E445" s="1"/>
      <c r="H445" s="1"/>
      <c r="K445" s="1"/>
      <c r="N445" s="1"/>
      <c r="Q445" s="1"/>
      <c r="T445" s="1"/>
      <c r="W445" s="1"/>
      <c r="Y445" s="1"/>
      <c r="AB445" s="3"/>
    </row>
    <row r="446" ht="15.75" customHeight="1">
      <c r="E446" s="1"/>
      <c r="H446" s="1"/>
      <c r="K446" s="1"/>
      <c r="N446" s="1"/>
      <c r="Q446" s="1"/>
      <c r="T446" s="1"/>
      <c r="W446" s="1"/>
      <c r="Y446" s="1"/>
      <c r="AB446" s="3"/>
    </row>
    <row r="447" ht="15.75" customHeight="1">
      <c r="E447" s="1"/>
      <c r="H447" s="1"/>
      <c r="K447" s="1"/>
      <c r="N447" s="1"/>
      <c r="Q447" s="1"/>
      <c r="T447" s="1"/>
      <c r="W447" s="1"/>
      <c r="Y447" s="1"/>
      <c r="AB447" s="3"/>
    </row>
    <row r="448" ht="15.75" customHeight="1">
      <c r="E448" s="1"/>
      <c r="H448" s="1"/>
      <c r="K448" s="1"/>
      <c r="N448" s="1"/>
      <c r="Q448" s="1"/>
      <c r="T448" s="1"/>
      <c r="W448" s="1"/>
      <c r="Y448" s="1"/>
      <c r="AB448" s="3"/>
    </row>
    <row r="449" ht="15.75" customHeight="1">
      <c r="E449" s="1"/>
      <c r="H449" s="1"/>
      <c r="K449" s="1"/>
      <c r="N449" s="1"/>
      <c r="Q449" s="1"/>
      <c r="T449" s="1"/>
      <c r="W449" s="1"/>
      <c r="Y449" s="1"/>
      <c r="AB449" s="3"/>
    </row>
    <row r="450" ht="15.75" customHeight="1">
      <c r="E450" s="1"/>
      <c r="H450" s="1"/>
      <c r="K450" s="1"/>
      <c r="N450" s="1"/>
      <c r="Q450" s="1"/>
      <c r="T450" s="1"/>
      <c r="W450" s="1"/>
      <c r="Y450" s="1"/>
      <c r="AB450" s="3"/>
    </row>
    <row r="451" ht="15.75" customHeight="1">
      <c r="E451" s="1"/>
      <c r="H451" s="1"/>
      <c r="K451" s="1"/>
      <c r="N451" s="1"/>
      <c r="Q451" s="1"/>
      <c r="T451" s="1"/>
      <c r="W451" s="1"/>
      <c r="Y451" s="1"/>
      <c r="AB451" s="3"/>
    </row>
    <row r="452" ht="15.75" customHeight="1">
      <c r="E452" s="1"/>
      <c r="H452" s="1"/>
      <c r="K452" s="1"/>
      <c r="N452" s="1"/>
      <c r="Q452" s="1"/>
      <c r="T452" s="1"/>
      <c r="W452" s="1"/>
      <c r="Y452" s="1"/>
      <c r="AB452" s="3"/>
    </row>
    <row r="453" ht="15.75" customHeight="1">
      <c r="E453" s="1"/>
      <c r="H453" s="1"/>
      <c r="K453" s="1"/>
      <c r="N453" s="1"/>
      <c r="Q453" s="1"/>
      <c r="T453" s="1"/>
      <c r="W453" s="1"/>
      <c r="Y453" s="1"/>
      <c r="AB453" s="3"/>
    </row>
    <row r="454" ht="15.75" customHeight="1">
      <c r="E454" s="1"/>
      <c r="H454" s="1"/>
      <c r="K454" s="1"/>
      <c r="N454" s="1"/>
      <c r="Q454" s="1"/>
      <c r="T454" s="1"/>
      <c r="W454" s="1"/>
      <c r="Y454" s="1"/>
      <c r="AB454" s="3"/>
    </row>
    <row r="455" ht="15.75" customHeight="1">
      <c r="E455" s="1"/>
      <c r="H455" s="1"/>
      <c r="K455" s="1"/>
      <c r="N455" s="1"/>
      <c r="Q455" s="1"/>
      <c r="T455" s="1"/>
      <c r="W455" s="1"/>
      <c r="Y455" s="1"/>
      <c r="AB455" s="3"/>
    </row>
    <row r="456" ht="15.75" customHeight="1">
      <c r="E456" s="1"/>
      <c r="H456" s="1"/>
      <c r="K456" s="1"/>
      <c r="N456" s="1"/>
      <c r="Q456" s="1"/>
      <c r="T456" s="1"/>
      <c r="W456" s="1"/>
      <c r="Y456" s="1"/>
      <c r="AB456" s="3"/>
    </row>
    <row r="457" ht="15.75" customHeight="1">
      <c r="E457" s="1"/>
      <c r="H457" s="1"/>
      <c r="K457" s="1"/>
      <c r="N457" s="1"/>
      <c r="Q457" s="1"/>
      <c r="T457" s="1"/>
      <c r="W457" s="1"/>
      <c r="Y457" s="1"/>
      <c r="AB457" s="3"/>
    </row>
    <row r="458" ht="15.75" customHeight="1">
      <c r="E458" s="1"/>
      <c r="H458" s="1"/>
      <c r="K458" s="1"/>
      <c r="N458" s="1"/>
      <c r="Q458" s="1"/>
      <c r="T458" s="1"/>
      <c r="W458" s="1"/>
      <c r="Y458" s="1"/>
      <c r="AB458" s="3"/>
    </row>
    <row r="459" ht="15.75" customHeight="1">
      <c r="E459" s="1"/>
      <c r="H459" s="1"/>
      <c r="K459" s="1"/>
      <c r="N459" s="1"/>
      <c r="Q459" s="1"/>
      <c r="T459" s="1"/>
      <c r="W459" s="1"/>
      <c r="Y459" s="1"/>
      <c r="AB459" s="3"/>
    </row>
    <row r="460" ht="15.75" customHeight="1">
      <c r="E460" s="1"/>
      <c r="H460" s="1"/>
      <c r="K460" s="1"/>
      <c r="N460" s="1"/>
      <c r="Q460" s="1"/>
      <c r="T460" s="1"/>
      <c r="W460" s="1"/>
      <c r="Y460" s="1"/>
      <c r="AB460" s="3"/>
    </row>
    <row r="461" ht="15.75" customHeight="1">
      <c r="E461" s="1"/>
      <c r="H461" s="1"/>
      <c r="K461" s="1"/>
      <c r="N461" s="1"/>
      <c r="Q461" s="1"/>
      <c r="T461" s="1"/>
      <c r="W461" s="1"/>
      <c r="Y461" s="1"/>
      <c r="AB461" s="3"/>
    </row>
    <row r="462" ht="15.75" customHeight="1">
      <c r="E462" s="1"/>
      <c r="H462" s="1"/>
      <c r="K462" s="1"/>
      <c r="N462" s="1"/>
      <c r="Q462" s="1"/>
      <c r="T462" s="1"/>
      <c r="W462" s="1"/>
      <c r="Y462" s="1"/>
      <c r="AB462" s="3"/>
    </row>
    <row r="463" ht="15.75" customHeight="1">
      <c r="E463" s="1"/>
      <c r="H463" s="1"/>
      <c r="K463" s="1"/>
      <c r="N463" s="1"/>
      <c r="Q463" s="1"/>
      <c r="T463" s="1"/>
      <c r="W463" s="1"/>
      <c r="Y463" s="1"/>
      <c r="AB463" s="3"/>
    </row>
    <row r="464" ht="15.75" customHeight="1">
      <c r="E464" s="1"/>
      <c r="H464" s="1"/>
      <c r="K464" s="1"/>
      <c r="N464" s="1"/>
      <c r="Q464" s="1"/>
      <c r="T464" s="1"/>
      <c r="W464" s="1"/>
      <c r="Y464" s="1"/>
      <c r="AB464" s="3"/>
    </row>
    <row r="465" ht="15.75" customHeight="1">
      <c r="E465" s="1"/>
      <c r="H465" s="1"/>
      <c r="K465" s="1"/>
      <c r="N465" s="1"/>
      <c r="Q465" s="1"/>
      <c r="T465" s="1"/>
      <c r="W465" s="1"/>
      <c r="Y465" s="1"/>
      <c r="AB465" s="3"/>
    </row>
    <row r="466" ht="15.75" customHeight="1">
      <c r="E466" s="1"/>
      <c r="H466" s="1"/>
      <c r="K466" s="1"/>
      <c r="N466" s="1"/>
      <c r="Q466" s="1"/>
      <c r="T466" s="1"/>
      <c r="W466" s="1"/>
      <c r="Y466" s="1"/>
      <c r="AB466" s="3"/>
    </row>
    <row r="467" ht="15.75" customHeight="1">
      <c r="E467" s="1"/>
      <c r="H467" s="1"/>
      <c r="K467" s="1"/>
      <c r="N467" s="1"/>
      <c r="Q467" s="1"/>
      <c r="T467" s="1"/>
      <c r="W467" s="1"/>
      <c r="Y467" s="1"/>
      <c r="AB467" s="3"/>
    </row>
    <row r="468" ht="15.75" customHeight="1">
      <c r="E468" s="1"/>
      <c r="H468" s="1"/>
      <c r="K468" s="1"/>
      <c r="N468" s="1"/>
      <c r="Q468" s="1"/>
      <c r="T468" s="1"/>
      <c r="W468" s="1"/>
      <c r="Y468" s="1"/>
      <c r="AB468" s="3"/>
    </row>
    <row r="469" ht="15.75" customHeight="1">
      <c r="E469" s="1"/>
      <c r="H469" s="1"/>
      <c r="K469" s="1"/>
      <c r="N469" s="1"/>
      <c r="Q469" s="1"/>
      <c r="T469" s="1"/>
      <c r="W469" s="1"/>
      <c r="Y469" s="1"/>
      <c r="AB469" s="3"/>
    </row>
    <row r="470" ht="15.75" customHeight="1">
      <c r="E470" s="1"/>
      <c r="H470" s="1"/>
      <c r="K470" s="1"/>
      <c r="N470" s="1"/>
      <c r="Q470" s="1"/>
      <c r="T470" s="1"/>
      <c r="W470" s="1"/>
      <c r="Y470" s="1"/>
      <c r="AB470" s="3"/>
    </row>
    <row r="471" ht="15.75" customHeight="1">
      <c r="E471" s="1"/>
      <c r="H471" s="1"/>
      <c r="K471" s="1"/>
      <c r="N471" s="1"/>
      <c r="Q471" s="1"/>
      <c r="T471" s="1"/>
      <c r="W471" s="1"/>
      <c r="Y471" s="1"/>
      <c r="AB471" s="3"/>
    </row>
    <row r="472" ht="15.75" customHeight="1">
      <c r="E472" s="1"/>
      <c r="H472" s="1"/>
      <c r="K472" s="1"/>
      <c r="N472" s="1"/>
      <c r="Q472" s="1"/>
      <c r="T472" s="1"/>
      <c r="W472" s="1"/>
      <c r="Y472" s="1"/>
      <c r="AB472" s="3"/>
    </row>
    <row r="473" ht="15.75" customHeight="1">
      <c r="E473" s="1"/>
      <c r="H473" s="1"/>
      <c r="K473" s="1"/>
      <c r="N473" s="1"/>
      <c r="Q473" s="1"/>
      <c r="T473" s="1"/>
      <c r="W473" s="1"/>
      <c r="Y473" s="1"/>
      <c r="AB473" s="3"/>
    </row>
    <row r="474" ht="15.75" customHeight="1">
      <c r="E474" s="1"/>
      <c r="H474" s="1"/>
      <c r="K474" s="1"/>
      <c r="N474" s="1"/>
      <c r="Q474" s="1"/>
      <c r="T474" s="1"/>
      <c r="W474" s="1"/>
      <c r="Y474" s="1"/>
      <c r="AB474" s="3"/>
    </row>
    <row r="475" ht="15.75" customHeight="1">
      <c r="E475" s="1"/>
      <c r="H475" s="1"/>
      <c r="K475" s="1"/>
      <c r="N475" s="1"/>
      <c r="Q475" s="1"/>
      <c r="T475" s="1"/>
      <c r="W475" s="1"/>
      <c r="Y475" s="1"/>
      <c r="AB475" s="3"/>
    </row>
    <row r="476" ht="15.75" customHeight="1">
      <c r="E476" s="1"/>
      <c r="H476" s="1"/>
      <c r="K476" s="1"/>
      <c r="N476" s="1"/>
      <c r="Q476" s="1"/>
      <c r="T476" s="1"/>
      <c r="W476" s="1"/>
      <c r="Y476" s="1"/>
      <c r="AB476" s="3"/>
    </row>
    <row r="477" ht="15.75" customHeight="1">
      <c r="E477" s="1"/>
      <c r="H477" s="1"/>
      <c r="K477" s="1"/>
      <c r="N477" s="1"/>
      <c r="Q477" s="1"/>
      <c r="T477" s="1"/>
      <c r="W477" s="1"/>
      <c r="Y477" s="1"/>
      <c r="AB477" s="3"/>
    </row>
    <row r="478" ht="15.75" customHeight="1">
      <c r="E478" s="1"/>
      <c r="H478" s="1"/>
      <c r="K478" s="1"/>
      <c r="N478" s="1"/>
      <c r="Q478" s="1"/>
      <c r="T478" s="1"/>
      <c r="W478" s="1"/>
      <c r="Y478" s="1"/>
      <c r="AB478" s="3"/>
    </row>
    <row r="479" ht="15.75" customHeight="1">
      <c r="E479" s="1"/>
      <c r="H479" s="1"/>
      <c r="K479" s="1"/>
      <c r="N479" s="1"/>
      <c r="Q479" s="1"/>
      <c r="T479" s="1"/>
      <c r="W479" s="1"/>
      <c r="Y479" s="1"/>
      <c r="AB479" s="3"/>
    </row>
    <row r="480" ht="15.75" customHeight="1">
      <c r="E480" s="1"/>
      <c r="H480" s="1"/>
      <c r="K480" s="1"/>
      <c r="N480" s="1"/>
      <c r="Q480" s="1"/>
      <c r="T480" s="1"/>
      <c r="W480" s="1"/>
      <c r="Y480" s="1"/>
      <c r="AB480" s="3"/>
    </row>
    <row r="481" ht="15.75" customHeight="1">
      <c r="E481" s="1"/>
      <c r="H481" s="1"/>
      <c r="K481" s="1"/>
      <c r="N481" s="1"/>
      <c r="Q481" s="1"/>
      <c r="T481" s="1"/>
      <c r="W481" s="1"/>
      <c r="Y481" s="1"/>
      <c r="AB481" s="3"/>
    </row>
    <row r="482" ht="15.75" customHeight="1">
      <c r="E482" s="1"/>
      <c r="H482" s="1"/>
      <c r="K482" s="1"/>
      <c r="N482" s="1"/>
      <c r="Q482" s="1"/>
      <c r="T482" s="1"/>
      <c r="W482" s="1"/>
      <c r="Y482" s="1"/>
      <c r="AB482" s="3"/>
    </row>
    <row r="483" ht="15.75" customHeight="1">
      <c r="E483" s="1"/>
      <c r="H483" s="1"/>
      <c r="K483" s="1"/>
      <c r="N483" s="1"/>
      <c r="Q483" s="1"/>
      <c r="T483" s="1"/>
      <c r="W483" s="1"/>
      <c r="Y483" s="1"/>
      <c r="AB483" s="3"/>
    </row>
    <row r="484" ht="15.75" customHeight="1">
      <c r="E484" s="1"/>
      <c r="H484" s="1"/>
      <c r="K484" s="1"/>
      <c r="N484" s="1"/>
      <c r="Q484" s="1"/>
      <c r="T484" s="1"/>
      <c r="W484" s="1"/>
      <c r="Y484" s="1"/>
      <c r="AB484" s="3"/>
    </row>
    <row r="485" ht="15.75" customHeight="1">
      <c r="E485" s="1"/>
      <c r="H485" s="1"/>
      <c r="K485" s="1"/>
      <c r="N485" s="1"/>
      <c r="Q485" s="1"/>
      <c r="T485" s="1"/>
      <c r="W485" s="1"/>
      <c r="Y485" s="1"/>
      <c r="AB485" s="3"/>
    </row>
    <row r="486" ht="15.75" customHeight="1">
      <c r="E486" s="1"/>
      <c r="H486" s="1"/>
      <c r="K486" s="1"/>
      <c r="N486" s="1"/>
      <c r="Q486" s="1"/>
      <c r="T486" s="1"/>
      <c r="W486" s="1"/>
      <c r="Y486" s="1"/>
      <c r="AB486" s="3"/>
    </row>
    <row r="487" ht="15.75" customHeight="1">
      <c r="E487" s="1"/>
      <c r="H487" s="1"/>
      <c r="K487" s="1"/>
      <c r="N487" s="1"/>
      <c r="Q487" s="1"/>
      <c r="T487" s="1"/>
      <c r="W487" s="1"/>
      <c r="Y487" s="1"/>
      <c r="AB487" s="3"/>
    </row>
    <row r="488" ht="15.75" customHeight="1">
      <c r="E488" s="1"/>
      <c r="H488" s="1"/>
      <c r="K488" s="1"/>
      <c r="N488" s="1"/>
      <c r="Q488" s="1"/>
      <c r="T488" s="1"/>
      <c r="W488" s="1"/>
      <c r="Y488" s="1"/>
      <c r="AB488" s="3"/>
    </row>
    <row r="489" ht="15.75" customHeight="1">
      <c r="E489" s="1"/>
      <c r="H489" s="1"/>
      <c r="K489" s="1"/>
      <c r="N489" s="1"/>
      <c r="Q489" s="1"/>
      <c r="T489" s="1"/>
      <c r="W489" s="1"/>
      <c r="Y489" s="1"/>
      <c r="AB489" s="3"/>
    </row>
    <row r="490" ht="15.75" customHeight="1">
      <c r="E490" s="1"/>
      <c r="H490" s="1"/>
      <c r="K490" s="1"/>
      <c r="N490" s="1"/>
      <c r="Q490" s="1"/>
      <c r="T490" s="1"/>
      <c r="W490" s="1"/>
      <c r="Y490" s="1"/>
      <c r="AB490" s="3"/>
    </row>
    <row r="491" ht="15.75" customHeight="1">
      <c r="E491" s="1"/>
      <c r="H491" s="1"/>
      <c r="K491" s="1"/>
      <c r="N491" s="1"/>
      <c r="Q491" s="1"/>
      <c r="T491" s="1"/>
      <c r="W491" s="1"/>
      <c r="Y491" s="1"/>
      <c r="AB491" s="3"/>
    </row>
    <row r="492" ht="15.75" customHeight="1">
      <c r="E492" s="1"/>
      <c r="H492" s="1"/>
      <c r="K492" s="1"/>
      <c r="N492" s="1"/>
      <c r="Q492" s="1"/>
      <c r="T492" s="1"/>
      <c r="W492" s="1"/>
      <c r="Y492" s="1"/>
      <c r="AB492" s="3"/>
    </row>
    <row r="493" ht="15.75" customHeight="1">
      <c r="E493" s="1"/>
      <c r="H493" s="1"/>
      <c r="K493" s="1"/>
      <c r="N493" s="1"/>
      <c r="Q493" s="1"/>
      <c r="T493" s="1"/>
      <c r="W493" s="1"/>
      <c r="Y493" s="1"/>
      <c r="AB493" s="3"/>
    </row>
    <row r="494" ht="15.75" customHeight="1">
      <c r="E494" s="1"/>
      <c r="H494" s="1"/>
      <c r="K494" s="1"/>
      <c r="N494" s="1"/>
      <c r="Q494" s="1"/>
      <c r="T494" s="1"/>
      <c r="W494" s="1"/>
      <c r="Y494" s="1"/>
      <c r="AB494" s="3"/>
    </row>
    <row r="495" ht="15.75" customHeight="1">
      <c r="E495" s="1"/>
      <c r="H495" s="1"/>
      <c r="K495" s="1"/>
      <c r="N495" s="1"/>
      <c r="Q495" s="1"/>
      <c r="T495" s="1"/>
      <c r="W495" s="1"/>
      <c r="Y495" s="1"/>
      <c r="AB495" s="3"/>
    </row>
    <row r="496" ht="15.75" customHeight="1">
      <c r="E496" s="1"/>
      <c r="H496" s="1"/>
      <c r="K496" s="1"/>
      <c r="N496" s="1"/>
      <c r="Q496" s="1"/>
      <c r="T496" s="1"/>
      <c r="W496" s="1"/>
      <c r="Y496" s="1"/>
      <c r="AB496" s="3"/>
    </row>
    <row r="497" ht="15.75" customHeight="1">
      <c r="E497" s="1"/>
      <c r="H497" s="1"/>
      <c r="K497" s="1"/>
      <c r="N497" s="1"/>
      <c r="Q497" s="1"/>
      <c r="T497" s="1"/>
      <c r="W497" s="1"/>
      <c r="Y497" s="1"/>
      <c r="AB497" s="3"/>
    </row>
    <row r="498" ht="15.75" customHeight="1">
      <c r="E498" s="1"/>
      <c r="H498" s="1"/>
      <c r="K498" s="1"/>
      <c r="N498" s="1"/>
      <c r="Q498" s="1"/>
      <c r="T498" s="1"/>
      <c r="W498" s="1"/>
      <c r="Y498" s="1"/>
      <c r="AB498" s="3"/>
    </row>
    <row r="499" ht="15.75" customHeight="1">
      <c r="E499" s="1"/>
      <c r="H499" s="1"/>
      <c r="K499" s="1"/>
      <c r="N499" s="1"/>
      <c r="Q499" s="1"/>
      <c r="T499" s="1"/>
      <c r="W499" s="1"/>
      <c r="Y499" s="1"/>
      <c r="AB499" s="3"/>
    </row>
    <row r="500" ht="15.75" customHeight="1">
      <c r="E500" s="1"/>
      <c r="H500" s="1"/>
      <c r="K500" s="1"/>
      <c r="N500" s="1"/>
      <c r="Q500" s="1"/>
      <c r="T500" s="1"/>
      <c r="W500" s="1"/>
      <c r="Y500" s="1"/>
      <c r="AB500" s="3"/>
    </row>
    <row r="501" ht="15.75" customHeight="1">
      <c r="E501" s="1"/>
      <c r="H501" s="1"/>
      <c r="K501" s="1"/>
      <c r="N501" s="1"/>
      <c r="Q501" s="1"/>
      <c r="T501" s="1"/>
      <c r="W501" s="1"/>
      <c r="Y501" s="1"/>
      <c r="AB501" s="3"/>
    </row>
    <row r="502" ht="15.75" customHeight="1">
      <c r="E502" s="1"/>
      <c r="H502" s="1"/>
      <c r="K502" s="1"/>
      <c r="N502" s="1"/>
      <c r="Q502" s="1"/>
      <c r="T502" s="1"/>
      <c r="W502" s="1"/>
      <c r="Y502" s="1"/>
      <c r="AB502" s="3"/>
    </row>
    <row r="503" ht="15.75" customHeight="1">
      <c r="E503" s="1"/>
      <c r="H503" s="1"/>
      <c r="K503" s="1"/>
      <c r="N503" s="1"/>
      <c r="Q503" s="1"/>
      <c r="T503" s="1"/>
      <c r="W503" s="1"/>
      <c r="Y503" s="1"/>
      <c r="AB503" s="3"/>
    </row>
    <row r="504" ht="15.75" customHeight="1">
      <c r="E504" s="1"/>
      <c r="H504" s="1"/>
      <c r="K504" s="1"/>
      <c r="N504" s="1"/>
      <c r="Q504" s="1"/>
      <c r="T504" s="1"/>
      <c r="W504" s="1"/>
      <c r="Y504" s="1"/>
      <c r="AB504" s="3"/>
    </row>
    <row r="505" ht="15.75" customHeight="1">
      <c r="E505" s="1"/>
      <c r="H505" s="1"/>
      <c r="K505" s="1"/>
      <c r="N505" s="1"/>
      <c r="Q505" s="1"/>
      <c r="T505" s="1"/>
      <c r="W505" s="1"/>
      <c r="Y505" s="1"/>
      <c r="AB505" s="3"/>
    </row>
    <row r="506" ht="15.75" customHeight="1">
      <c r="E506" s="1"/>
      <c r="H506" s="1"/>
      <c r="K506" s="1"/>
      <c r="N506" s="1"/>
      <c r="Q506" s="1"/>
      <c r="T506" s="1"/>
      <c r="W506" s="1"/>
      <c r="Y506" s="1"/>
      <c r="AB506" s="3"/>
    </row>
    <row r="507" ht="15.75" customHeight="1">
      <c r="E507" s="1"/>
      <c r="H507" s="1"/>
      <c r="K507" s="1"/>
      <c r="N507" s="1"/>
      <c r="Q507" s="1"/>
      <c r="T507" s="1"/>
      <c r="W507" s="1"/>
      <c r="Y507" s="1"/>
      <c r="AB507" s="3"/>
    </row>
    <row r="508" ht="15.75" customHeight="1">
      <c r="E508" s="1"/>
      <c r="H508" s="1"/>
      <c r="K508" s="1"/>
      <c r="N508" s="1"/>
      <c r="Q508" s="1"/>
      <c r="T508" s="1"/>
      <c r="W508" s="1"/>
      <c r="Y508" s="1"/>
      <c r="AB508" s="3"/>
    </row>
    <row r="509" ht="15.75" customHeight="1">
      <c r="E509" s="1"/>
      <c r="H509" s="1"/>
      <c r="K509" s="1"/>
      <c r="N509" s="1"/>
      <c r="Q509" s="1"/>
      <c r="T509" s="1"/>
      <c r="W509" s="1"/>
      <c r="Y509" s="1"/>
      <c r="AB509" s="3"/>
    </row>
    <row r="510" ht="15.75" customHeight="1">
      <c r="E510" s="1"/>
      <c r="H510" s="1"/>
      <c r="K510" s="1"/>
      <c r="N510" s="1"/>
      <c r="Q510" s="1"/>
      <c r="T510" s="1"/>
      <c r="W510" s="1"/>
      <c r="Y510" s="1"/>
      <c r="AB510" s="3"/>
    </row>
    <row r="511" ht="15.75" customHeight="1">
      <c r="E511" s="1"/>
      <c r="H511" s="1"/>
      <c r="K511" s="1"/>
      <c r="N511" s="1"/>
      <c r="Q511" s="1"/>
      <c r="T511" s="1"/>
      <c r="W511" s="1"/>
      <c r="Y511" s="1"/>
      <c r="AB511" s="3"/>
    </row>
    <row r="512" ht="15.75" customHeight="1">
      <c r="E512" s="1"/>
      <c r="H512" s="1"/>
      <c r="K512" s="1"/>
      <c r="N512" s="1"/>
      <c r="Q512" s="1"/>
      <c r="T512" s="1"/>
      <c r="W512" s="1"/>
      <c r="Y512" s="1"/>
      <c r="AB512" s="3"/>
    </row>
    <row r="513" ht="15.75" customHeight="1">
      <c r="E513" s="1"/>
      <c r="H513" s="1"/>
      <c r="K513" s="1"/>
      <c r="N513" s="1"/>
      <c r="Q513" s="1"/>
      <c r="T513" s="1"/>
      <c r="W513" s="1"/>
      <c r="Y513" s="1"/>
      <c r="AB513" s="3"/>
    </row>
    <row r="514" ht="15.75" customHeight="1">
      <c r="E514" s="1"/>
      <c r="H514" s="1"/>
      <c r="K514" s="1"/>
      <c r="N514" s="1"/>
      <c r="Q514" s="1"/>
      <c r="T514" s="1"/>
      <c r="W514" s="1"/>
      <c r="Y514" s="1"/>
      <c r="AB514" s="3"/>
    </row>
    <row r="515" ht="15.75" customHeight="1">
      <c r="E515" s="1"/>
      <c r="H515" s="1"/>
      <c r="K515" s="1"/>
      <c r="N515" s="1"/>
      <c r="Q515" s="1"/>
      <c r="T515" s="1"/>
      <c r="W515" s="1"/>
      <c r="Y515" s="1"/>
      <c r="AB515" s="3"/>
    </row>
    <row r="516" ht="15.75" customHeight="1">
      <c r="E516" s="1"/>
      <c r="H516" s="1"/>
      <c r="K516" s="1"/>
      <c r="N516" s="1"/>
      <c r="Q516" s="1"/>
      <c r="T516" s="1"/>
      <c r="W516" s="1"/>
      <c r="Y516" s="1"/>
      <c r="AB516" s="3"/>
    </row>
    <row r="517" ht="15.75" customHeight="1">
      <c r="E517" s="1"/>
      <c r="H517" s="1"/>
      <c r="K517" s="1"/>
      <c r="N517" s="1"/>
      <c r="Q517" s="1"/>
      <c r="T517" s="1"/>
      <c r="W517" s="1"/>
      <c r="Y517" s="1"/>
      <c r="AB517" s="3"/>
    </row>
    <row r="518" ht="15.75" customHeight="1">
      <c r="E518" s="1"/>
      <c r="H518" s="1"/>
      <c r="K518" s="1"/>
      <c r="N518" s="1"/>
      <c r="Q518" s="1"/>
      <c r="T518" s="1"/>
      <c r="W518" s="1"/>
      <c r="Y518" s="1"/>
      <c r="AB518" s="3"/>
    </row>
    <row r="519" ht="15.75" customHeight="1">
      <c r="E519" s="1"/>
      <c r="H519" s="1"/>
      <c r="K519" s="1"/>
      <c r="N519" s="1"/>
      <c r="Q519" s="1"/>
      <c r="T519" s="1"/>
      <c r="W519" s="1"/>
      <c r="Y519" s="1"/>
      <c r="AB519" s="3"/>
    </row>
    <row r="520" ht="15.75" customHeight="1">
      <c r="E520" s="1"/>
      <c r="H520" s="1"/>
      <c r="K520" s="1"/>
      <c r="N520" s="1"/>
      <c r="Q520" s="1"/>
      <c r="T520" s="1"/>
      <c r="W520" s="1"/>
      <c r="Y520" s="1"/>
      <c r="AB520" s="3"/>
    </row>
    <row r="521" ht="15.75" customHeight="1">
      <c r="E521" s="1"/>
      <c r="H521" s="1"/>
      <c r="K521" s="1"/>
      <c r="N521" s="1"/>
      <c r="Q521" s="1"/>
      <c r="T521" s="1"/>
      <c r="W521" s="1"/>
      <c r="Y521" s="1"/>
      <c r="AB521" s="3"/>
    </row>
    <row r="522" ht="15.75" customHeight="1">
      <c r="E522" s="1"/>
      <c r="H522" s="1"/>
      <c r="K522" s="1"/>
      <c r="N522" s="1"/>
      <c r="Q522" s="1"/>
      <c r="T522" s="1"/>
      <c r="W522" s="1"/>
      <c r="Y522" s="1"/>
      <c r="AB522" s="3"/>
    </row>
    <row r="523" ht="15.75" customHeight="1">
      <c r="E523" s="1"/>
      <c r="H523" s="1"/>
      <c r="K523" s="1"/>
      <c r="N523" s="1"/>
      <c r="Q523" s="1"/>
      <c r="T523" s="1"/>
      <c r="W523" s="1"/>
      <c r="Y523" s="1"/>
      <c r="AB523" s="3"/>
    </row>
    <row r="524" ht="15.75" customHeight="1">
      <c r="E524" s="1"/>
      <c r="H524" s="1"/>
      <c r="K524" s="1"/>
      <c r="N524" s="1"/>
      <c r="Q524" s="1"/>
      <c r="T524" s="1"/>
      <c r="W524" s="1"/>
      <c r="Y524" s="1"/>
      <c r="AB524" s="3"/>
    </row>
    <row r="525" ht="15.75" customHeight="1">
      <c r="E525" s="1"/>
      <c r="H525" s="1"/>
      <c r="K525" s="1"/>
      <c r="N525" s="1"/>
      <c r="Q525" s="1"/>
      <c r="T525" s="1"/>
      <c r="W525" s="1"/>
      <c r="Y525" s="1"/>
      <c r="AB525" s="3"/>
    </row>
    <row r="526" ht="15.75" customHeight="1">
      <c r="E526" s="1"/>
      <c r="H526" s="1"/>
      <c r="K526" s="1"/>
      <c r="N526" s="1"/>
      <c r="Q526" s="1"/>
      <c r="T526" s="1"/>
      <c r="W526" s="1"/>
      <c r="Y526" s="1"/>
      <c r="AB526" s="3"/>
    </row>
    <row r="527" ht="15.75" customHeight="1">
      <c r="E527" s="1"/>
      <c r="H527" s="1"/>
      <c r="K527" s="1"/>
      <c r="N527" s="1"/>
      <c r="Q527" s="1"/>
      <c r="T527" s="1"/>
      <c r="W527" s="1"/>
      <c r="Y527" s="1"/>
      <c r="AB527" s="3"/>
    </row>
    <row r="528" ht="15.75" customHeight="1">
      <c r="E528" s="1"/>
      <c r="H528" s="1"/>
      <c r="K528" s="1"/>
      <c r="N528" s="1"/>
      <c r="Q528" s="1"/>
      <c r="T528" s="1"/>
      <c r="W528" s="1"/>
      <c r="Y528" s="1"/>
      <c r="AB528" s="3"/>
    </row>
    <row r="529" ht="15.75" customHeight="1">
      <c r="E529" s="1"/>
      <c r="H529" s="1"/>
      <c r="K529" s="1"/>
      <c r="N529" s="1"/>
      <c r="Q529" s="1"/>
      <c r="T529" s="1"/>
      <c r="W529" s="1"/>
      <c r="Y529" s="1"/>
      <c r="AB529" s="3"/>
    </row>
    <row r="530" ht="15.75" customHeight="1">
      <c r="E530" s="1"/>
      <c r="H530" s="1"/>
      <c r="K530" s="1"/>
      <c r="N530" s="1"/>
      <c r="Q530" s="1"/>
      <c r="T530" s="1"/>
      <c r="W530" s="1"/>
      <c r="Y530" s="1"/>
      <c r="AB530" s="3"/>
    </row>
    <row r="531" ht="15.75" customHeight="1">
      <c r="E531" s="1"/>
      <c r="H531" s="1"/>
      <c r="K531" s="1"/>
      <c r="N531" s="1"/>
      <c r="Q531" s="1"/>
      <c r="T531" s="1"/>
      <c r="W531" s="1"/>
      <c r="Y531" s="1"/>
      <c r="AB531" s="3"/>
    </row>
    <row r="532" ht="15.75" customHeight="1">
      <c r="E532" s="1"/>
      <c r="H532" s="1"/>
      <c r="K532" s="1"/>
      <c r="N532" s="1"/>
      <c r="Q532" s="1"/>
      <c r="T532" s="1"/>
      <c r="W532" s="1"/>
      <c r="Y532" s="1"/>
      <c r="AB532" s="3"/>
    </row>
    <row r="533" ht="15.75" customHeight="1">
      <c r="E533" s="1"/>
      <c r="H533" s="1"/>
      <c r="K533" s="1"/>
      <c r="N533" s="1"/>
      <c r="Q533" s="1"/>
      <c r="T533" s="1"/>
      <c r="W533" s="1"/>
      <c r="Y533" s="1"/>
      <c r="AB533" s="3"/>
    </row>
    <row r="534" ht="15.75" customHeight="1">
      <c r="E534" s="1"/>
      <c r="H534" s="1"/>
      <c r="K534" s="1"/>
      <c r="N534" s="1"/>
      <c r="Q534" s="1"/>
      <c r="T534" s="1"/>
      <c r="W534" s="1"/>
      <c r="Y534" s="1"/>
      <c r="AB534" s="3"/>
    </row>
    <row r="535" ht="15.75" customHeight="1">
      <c r="E535" s="1"/>
      <c r="H535" s="1"/>
      <c r="K535" s="1"/>
      <c r="N535" s="1"/>
      <c r="Q535" s="1"/>
      <c r="T535" s="1"/>
      <c r="W535" s="1"/>
      <c r="Y535" s="1"/>
      <c r="AB535" s="3"/>
    </row>
    <row r="536" ht="15.75" customHeight="1">
      <c r="E536" s="1"/>
      <c r="H536" s="1"/>
      <c r="K536" s="1"/>
      <c r="N536" s="1"/>
      <c r="Q536" s="1"/>
      <c r="T536" s="1"/>
      <c r="W536" s="1"/>
      <c r="Y536" s="1"/>
      <c r="AB536" s="3"/>
    </row>
    <row r="537" ht="15.75" customHeight="1">
      <c r="E537" s="1"/>
      <c r="H537" s="1"/>
      <c r="K537" s="1"/>
      <c r="N537" s="1"/>
      <c r="Q537" s="1"/>
      <c r="T537" s="1"/>
      <c r="W537" s="1"/>
      <c r="Y537" s="1"/>
      <c r="AB537" s="3"/>
    </row>
    <row r="538" ht="15.75" customHeight="1">
      <c r="E538" s="1"/>
      <c r="H538" s="1"/>
      <c r="K538" s="1"/>
      <c r="N538" s="1"/>
      <c r="Q538" s="1"/>
      <c r="T538" s="1"/>
      <c r="W538" s="1"/>
      <c r="Y538" s="1"/>
      <c r="AB538" s="3"/>
    </row>
    <row r="539" ht="15.75" customHeight="1">
      <c r="E539" s="1"/>
      <c r="H539" s="1"/>
      <c r="K539" s="1"/>
      <c r="N539" s="1"/>
      <c r="Q539" s="1"/>
      <c r="T539" s="1"/>
      <c r="W539" s="1"/>
      <c r="Y539" s="1"/>
      <c r="AB539" s="3"/>
    </row>
    <row r="540" ht="15.75" customHeight="1">
      <c r="E540" s="1"/>
      <c r="H540" s="1"/>
      <c r="K540" s="1"/>
      <c r="N540" s="1"/>
      <c r="Q540" s="1"/>
      <c r="T540" s="1"/>
      <c r="W540" s="1"/>
      <c r="Y540" s="1"/>
      <c r="AB540" s="3"/>
    </row>
    <row r="541" ht="15.75" customHeight="1">
      <c r="E541" s="1"/>
      <c r="H541" s="1"/>
      <c r="K541" s="1"/>
      <c r="N541" s="1"/>
      <c r="Q541" s="1"/>
      <c r="T541" s="1"/>
      <c r="W541" s="1"/>
      <c r="Y541" s="1"/>
      <c r="AB541" s="3"/>
    </row>
    <row r="542" ht="15.75" customHeight="1">
      <c r="E542" s="1"/>
      <c r="H542" s="1"/>
      <c r="K542" s="1"/>
      <c r="N542" s="1"/>
      <c r="Q542" s="1"/>
      <c r="T542" s="1"/>
      <c r="W542" s="1"/>
      <c r="Y542" s="1"/>
      <c r="AB542" s="3"/>
    </row>
    <row r="543" ht="15.75" customHeight="1">
      <c r="E543" s="1"/>
      <c r="H543" s="1"/>
      <c r="K543" s="1"/>
      <c r="N543" s="1"/>
      <c r="Q543" s="1"/>
      <c r="T543" s="1"/>
      <c r="W543" s="1"/>
      <c r="Y543" s="1"/>
      <c r="AB543" s="3"/>
    </row>
    <row r="544" ht="15.75" customHeight="1">
      <c r="E544" s="1"/>
      <c r="H544" s="1"/>
      <c r="K544" s="1"/>
      <c r="N544" s="1"/>
      <c r="Q544" s="1"/>
      <c r="T544" s="1"/>
      <c r="W544" s="1"/>
      <c r="Y544" s="1"/>
      <c r="AB544" s="3"/>
    </row>
    <row r="545" ht="15.75" customHeight="1">
      <c r="E545" s="1"/>
      <c r="H545" s="1"/>
      <c r="K545" s="1"/>
      <c r="N545" s="1"/>
      <c r="Q545" s="1"/>
      <c r="T545" s="1"/>
      <c r="W545" s="1"/>
      <c r="Y545" s="1"/>
      <c r="AB545" s="3"/>
    </row>
    <row r="546" ht="15.75" customHeight="1">
      <c r="E546" s="1"/>
      <c r="H546" s="1"/>
      <c r="K546" s="1"/>
      <c r="N546" s="1"/>
      <c r="Q546" s="1"/>
      <c r="T546" s="1"/>
      <c r="W546" s="1"/>
      <c r="Y546" s="1"/>
      <c r="AB546" s="3"/>
    </row>
    <row r="547" ht="15.75" customHeight="1">
      <c r="E547" s="1"/>
      <c r="H547" s="1"/>
      <c r="K547" s="1"/>
      <c r="N547" s="1"/>
      <c r="Q547" s="1"/>
      <c r="T547" s="1"/>
      <c r="W547" s="1"/>
      <c r="Y547" s="1"/>
      <c r="AB547" s="3"/>
    </row>
    <row r="548" ht="15.75" customHeight="1">
      <c r="E548" s="1"/>
      <c r="H548" s="1"/>
      <c r="K548" s="1"/>
      <c r="N548" s="1"/>
      <c r="Q548" s="1"/>
      <c r="T548" s="1"/>
      <c r="W548" s="1"/>
      <c r="Y548" s="1"/>
      <c r="AB548" s="3"/>
    </row>
    <row r="549" ht="15.75" customHeight="1">
      <c r="E549" s="1"/>
      <c r="H549" s="1"/>
      <c r="K549" s="1"/>
      <c r="N549" s="1"/>
      <c r="Q549" s="1"/>
      <c r="T549" s="1"/>
      <c r="W549" s="1"/>
      <c r="Y549" s="1"/>
      <c r="AB549" s="3"/>
    </row>
    <row r="550" ht="15.75" customHeight="1">
      <c r="E550" s="1"/>
      <c r="H550" s="1"/>
      <c r="K550" s="1"/>
      <c r="N550" s="1"/>
      <c r="Q550" s="1"/>
      <c r="T550" s="1"/>
      <c r="W550" s="1"/>
      <c r="Y550" s="1"/>
      <c r="AB550" s="3"/>
    </row>
    <row r="551" ht="15.75" customHeight="1">
      <c r="E551" s="1"/>
      <c r="H551" s="1"/>
      <c r="K551" s="1"/>
      <c r="N551" s="1"/>
      <c r="Q551" s="1"/>
      <c r="T551" s="1"/>
      <c r="W551" s="1"/>
      <c r="Y551" s="1"/>
      <c r="AB551" s="3"/>
    </row>
    <row r="552" ht="15.75" customHeight="1">
      <c r="E552" s="1"/>
      <c r="H552" s="1"/>
      <c r="K552" s="1"/>
      <c r="N552" s="1"/>
      <c r="Q552" s="1"/>
      <c r="T552" s="1"/>
      <c r="W552" s="1"/>
      <c r="Y552" s="1"/>
      <c r="AB552" s="3"/>
    </row>
    <row r="553" ht="15.75" customHeight="1">
      <c r="E553" s="1"/>
      <c r="H553" s="1"/>
      <c r="K553" s="1"/>
      <c r="N553" s="1"/>
      <c r="Q553" s="1"/>
      <c r="T553" s="1"/>
      <c r="W553" s="1"/>
      <c r="Y553" s="1"/>
      <c r="AB553" s="3"/>
    </row>
    <row r="554" ht="15.75" customHeight="1">
      <c r="E554" s="1"/>
      <c r="H554" s="1"/>
      <c r="K554" s="1"/>
      <c r="N554" s="1"/>
      <c r="Q554" s="1"/>
      <c r="T554" s="1"/>
      <c r="W554" s="1"/>
      <c r="Y554" s="1"/>
      <c r="AB554" s="3"/>
    </row>
    <row r="555" ht="15.75" customHeight="1">
      <c r="E555" s="1"/>
      <c r="H555" s="1"/>
      <c r="K555" s="1"/>
      <c r="N555" s="1"/>
      <c r="Q555" s="1"/>
      <c r="T555" s="1"/>
      <c r="W555" s="1"/>
      <c r="Y555" s="1"/>
      <c r="AB555" s="3"/>
    </row>
    <row r="556" ht="15.75" customHeight="1">
      <c r="E556" s="1"/>
      <c r="H556" s="1"/>
      <c r="K556" s="1"/>
      <c r="N556" s="1"/>
      <c r="Q556" s="1"/>
      <c r="T556" s="1"/>
      <c r="W556" s="1"/>
      <c r="Y556" s="1"/>
      <c r="AB556" s="3"/>
    </row>
    <row r="557" ht="15.75" customHeight="1">
      <c r="E557" s="1"/>
      <c r="H557" s="1"/>
      <c r="K557" s="1"/>
      <c r="N557" s="1"/>
      <c r="Q557" s="1"/>
      <c r="T557" s="1"/>
      <c r="W557" s="1"/>
      <c r="Y557" s="1"/>
      <c r="AB557" s="3"/>
    </row>
    <row r="558" ht="15.75" customHeight="1">
      <c r="E558" s="1"/>
      <c r="H558" s="1"/>
      <c r="K558" s="1"/>
      <c r="N558" s="1"/>
      <c r="Q558" s="1"/>
      <c r="T558" s="1"/>
      <c r="W558" s="1"/>
      <c r="Y558" s="1"/>
      <c r="AB558" s="3"/>
    </row>
    <row r="559" ht="15.75" customHeight="1">
      <c r="E559" s="1"/>
      <c r="H559" s="1"/>
      <c r="K559" s="1"/>
      <c r="N559" s="1"/>
      <c r="Q559" s="1"/>
      <c r="T559" s="1"/>
      <c r="W559" s="1"/>
      <c r="Y559" s="1"/>
      <c r="AB559" s="3"/>
    </row>
    <row r="560" ht="15.75" customHeight="1">
      <c r="E560" s="1"/>
      <c r="H560" s="1"/>
      <c r="K560" s="1"/>
      <c r="N560" s="1"/>
      <c r="Q560" s="1"/>
      <c r="T560" s="1"/>
      <c r="W560" s="1"/>
      <c r="Y560" s="1"/>
      <c r="AB560" s="3"/>
    </row>
    <row r="561" ht="15.75" customHeight="1">
      <c r="E561" s="1"/>
      <c r="H561" s="1"/>
      <c r="K561" s="1"/>
      <c r="N561" s="1"/>
      <c r="Q561" s="1"/>
      <c r="T561" s="1"/>
      <c r="W561" s="1"/>
      <c r="Y561" s="1"/>
      <c r="AB561" s="3"/>
    </row>
    <row r="562" ht="15.75" customHeight="1">
      <c r="E562" s="1"/>
      <c r="H562" s="1"/>
      <c r="K562" s="1"/>
      <c r="N562" s="1"/>
      <c r="Q562" s="1"/>
      <c r="T562" s="1"/>
      <c r="W562" s="1"/>
      <c r="Y562" s="1"/>
      <c r="AB562" s="3"/>
    </row>
    <row r="563" ht="15.75" customHeight="1">
      <c r="E563" s="1"/>
      <c r="H563" s="1"/>
      <c r="K563" s="1"/>
      <c r="N563" s="1"/>
      <c r="Q563" s="1"/>
      <c r="T563" s="1"/>
      <c r="W563" s="1"/>
      <c r="Y563" s="1"/>
      <c r="AB563" s="3"/>
    </row>
    <row r="564" ht="15.75" customHeight="1">
      <c r="E564" s="1"/>
      <c r="H564" s="1"/>
      <c r="K564" s="1"/>
      <c r="N564" s="1"/>
      <c r="Q564" s="1"/>
      <c r="T564" s="1"/>
      <c r="W564" s="1"/>
      <c r="Y564" s="1"/>
      <c r="AB564" s="3"/>
    </row>
    <row r="565" ht="15.75" customHeight="1">
      <c r="E565" s="1"/>
      <c r="H565" s="1"/>
      <c r="K565" s="1"/>
      <c r="N565" s="1"/>
      <c r="Q565" s="1"/>
      <c r="T565" s="1"/>
      <c r="W565" s="1"/>
      <c r="Y565" s="1"/>
      <c r="AB565" s="3"/>
    </row>
    <row r="566" ht="15.75" customHeight="1">
      <c r="E566" s="1"/>
      <c r="H566" s="1"/>
      <c r="K566" s="1"/>
      <c r="N566" s="1"/>
      <c r="Q566" s="1"/>
      <c r="T566" s="1"/>
      <c r="W566" s="1"/>
      <c r="Y566" s="1"/>
      <c r="AB566" s="3"/>
    </row>
    <row r="567" ht="15.75" customHeight="1">
      <c r="E567" s="1"/>
      <c r="H567" s="1"/>
      <c r="K567" s="1"/>
      <c r="N567" s="1"/>
      <c r="Q567" s="1"/>
      <c r="T567" s="1"/>
      <c r="W567" s="1"/>
      <c r="Y567" s="1"/>
      <c r="AB567" s="3"/>
    </row>
    <row r="568" ht="15.75" customHeight="1">
      <c r="E568" s="1"/>
      <c r="H568" s="1"/>
      <c r="K568" s="1"/>
      <c r="N568" s="1"/>
      <c r="Q568" s="1"/>
      <c r="T568" s="1"/>
      <c r="W568" s="1"/>
      <c r="Y568" s="1"/>
      <c r="AB568" s="3"/>
    </row>
    <row r="569" ht="15.75" customHeight="1">
      <c r="E569" s="1"/>
      <c r="H569" s="1"/>
      <c r="K569" s="1"/>
      <c r="N569" s="1"/>
      <c r="Q569" s="1"/>
      <c r="T569" s="1"/>
      <c r="W569" s="1"/>
      <c r="Y569" s="1"/>
      <c r="AB569" s="3"/>
    </row>
    <row r="570" ht="15.75" customHeight="1">
      <c r="E570" s="1"/>
      <c r="H570" s="1"/>
      <c r="K570" s="1"/>
      <c r="N570" s="1"/>
      <c r="Q570" s="1"/>
      <c r="T570" s="1"/>
      <c r="W570" s="1"/>
      <c r="Y570" s="1"/>
      <c r="AB570" s="3"/>
    </row>
    <row r="571" ht="15.75" customHeight="1">
      <c r="E571" s="1"/>
      <c r="H571" s="1"/>
      <c r="K571" s="1"/>
      <c r="N571" s="1"/>
      <c r="Q571" s="1"/>
      <c r="T571" s="1"/>
      <c r="W571" s="1"/>
      <c r="Y571" s="1"/>
      <c r="AB571" s="3"/>
    </row>
    <row r="572" ht="15.75" customHeight="1">
      <c r="E572" s="1"/>
      <c r="H572" s="1"/>
      <c r="K572" s="1"/>
      <c r="N572" s="1"/>
      <c r="Q572" s="1"/>
      <c r="T572" s="1"/>
      <c r="W572" s="1"/>
      <c r="Y572" s="1"/>
      <c r="AB572" s="3"/>
    </row>
    <row r="573" ht="15.75" customHeight="1">
      <c r="E573" s="1"/>
      <c r="H573" s="1"/>
      <c r="K573" s="1"/>
      <c r="N573" s="1"/>
      <c r="Q573" s="1"/>
      <c r="T573" s="1"/>
      <c r="W573" s="1"/>
      <c r="Y573" s="1"/>
      <c r="AB573" s="3"/>
    </row>
    <row r="574" ht="15.75" customHeight="1">
      <c r="E574" s="1"/>
      <c r="H574" s="1"/>
      <c r="K574" s="1"/>
      <c r="N574" s="1"/>
      <c r="Q574" s="1"/>
      <c r="T574" s="1"/>
      <c r="W574" s="1"/>
      <c r="Y574" s="1"/>
      <c r="AB574" s="3"/>
    </row>
    <row r="575" ht="15.75" customHeight="1">
      <c r="E575" s="1"/>
      <c r="H575" s="1"/>
      <c r="K575" s="1"/>
      <c r="N575" s="1"/>
      <c r="Q575" s="1"/>
      <c r="T575" s="1"/>
      <c r="W575" s="1"/>
      <c r="Y575" s="1"/>
      <c r="AB575" s="3"/>
    </row>
    <row r="576" ht="15.75" customHeight="1">
      <c r="E576" s="1"/>
      <c r="H576" s="1"/>
      <c r="K576" s="1"/>
      <c r="N576" s="1"/>
      <c r="Q576" s="1"/>
      <c r="T576" s="1"/>
      <c r="W576" s="1"/>
      <c r="Y576" s="1"/>
      <c r="AB576" s="3"/>
    </row>
    <row r="577" ht="15.75" customHeight="1">
      <c r="E577" s="1"/>
      <c r="H577" s="1"/>
      <c r="K577" s="1"/>
      <c r="N577" s="1"/>
      <c r="Q577" s="1"/>
      <c r="T577" s="1"/>
      <c r="W577" s="1"/>
      <c r="Y577" s="1"/>
      <c r="AB577" s="3"/>
    </row>
    <row r="578" ht="15.75" customHeight="1">
      <c r="E578" s="1"/>
      <c r="H578" s="1"/>
      <c r="K578" s="1"/>
      <c r="N578" s="1"/>
      <c r="Q578" s="1"/>
      <c r="T578" s="1"/>
      <c r="W578" s="1"/>
      <c r="Y578" s="1"/>
      <c r="AB578" s="3"/>
    </row>
    <row r="579" ht="15.75" customHeight="1">
      <c r="E579" s="1"/>
      <c r="H579" s="1"/>
      <c r="K579" s="1"/>
      <c r="N579" s="1"/>
      <c r="Q579" s="1"/>
      <c r="T579" s="1"/>
      <c r="W579" s="1"/>
      <c r="Y579" s="1"/>
      <c r="AB579" s="3"/>
    </row>
    <row r="580" ht="15.75" customHeight="1">
      <c r="E580" s="1"/>
      <c r="H580" s="1"/>
      <c r="K580" s="1"/>
      <c r="N580" s="1"/>
      <c r="Q580" s="1"/>
      <c r="T580" s="1"/>
      <c r="W580" s="1"/>
      <c r="Y580" s="1"/>
      <c r="AB580" s="3"/>
    </row>
    <row r="581" ht="15.75" customHeight="1">
      <c r="E581" s="1"/>
      <c r="H581" s="1"/>
      <c r="K581" s="1"/>
      <c r="N581" s="1"/>
      <c r="Q581" s="1"/>
      <c r="T581" s="1"/>
      <c r="W581" s="1"/>
      <c r="Y581" s="1"/>
      <c r="AB581" s="3"/>
    </row>
    <row r="582" ht="15.75" customHeight="1">
      <c r="E582" s="1"/>
      <c r="H582" s="1"/>
      <c r="K582" s="1"/>
      <c r="N582" s="1"/>
      <c r="Q582" s="1"/>
      <c r="T582" s="1"/>
      <c r="W582" s="1"/>
      <c r="Y582" s="1"/>
      <c r="AB582" s="3"/>
    </row>
    <row r="583" ht="15.75" customHeight="1">
      <c r="E583" s="1"/>
      <c r="H583" s="1"/>
      <c r="K583" s="1"/>
      <c r="N583" s="1"/>
      <c r="Q583" s="1"/>
      <c r="T583" s="1"/>
      <c r="W583" s="1"/>
      <c r="Y583" s="1"/>
      <c r="AB583" s="3"/>
    </row>
    <row r="584" ht="15.75" customHeight="1">
      <c r="E584" s="1"/>
      <c r="H584" s="1"/>
      <c r="K584" s="1"/>
      <c r="N584" s="1"/>
      <c r="Q584" s="1"/>
      <c r="T584" s="1"/>
      <c r="W584" s="1"/>
      <c r="Y584" s="1"/>
      <c r="AB584" s="3"/>
    </row>
    <row r="585" ht="15.75" customHeight="1">
      <c r="E585" s="1"/>
      <c r="H585" s="1"/>
      <c r="K585" s="1"/>
      <c r="N585" s="1"/>
      <c r="Q585" s="1"/>
      <c r="T585" s="1"/>
      <c r="W585" s="1"/>
      <c r="Y585" s="1"/>
      <c r="AB585" s="3"/>
    </row>
    <row r="586" ht="15.75" customHeight="1">
      <c r="E586" s="1"/>
      <c r="H586" s="1"/>
      <c r="K586" s="1"/>
      <c r="N586" s="1"/>
      <c r="Q586" s="1"/>
      <c r="T586" s="1"/>
      <c r="W586" s="1"/>
      <c r="Y586" s="1"/>
      <c r="AB586" s="3"/>
    </row>
    <row r="587" ht="15.75" customHeight="1">
      <c r="E587" s="1"/>
      <c r="H587" s="1"/>
      <c r="K587" s="1"/>
      <c r="N587" s="1"/>
      <c r="Q587" s="1"/>
      <c r="T587" s="1"/>
      <c r="W587" s="1"/>
      <c r="Y587" s="1"/>
      <c r="AB587" s="3"/>
    </row>
    <row r="588" ht="15.75" customHeight="1">
      <c r="E588" s="1"/>
      <c r="H588" s="1"/>
      <c r="K588" s="1"/>
      <c r="N588" s="1"/>
      <c r="Q588" s="1"/>
      <c r="T588" s="1"/>
      <c r="W588" s="1"/>
      <c r="Y588" s="1"/>
      <c r="AB588" s="3"/>
    </row>
    <row r="589" ht="15.75" customHeight="1">
      <c r="E589" s="1"/>
      <c r="H589" s="1"/>
      <c r="K589" s="1"/>
      <c r="N589" s="1"/>
      <c r="Q589" s="1"/>
      <c r="T589" s="1"/>
      <c r="W589" s="1"/>
      <c r="Y589" s="1"/>
      <c r="AB589" s="3"/>
    </row>
    <row r="590" ht="15.75" customHeight="1">
      <c r="E590" s="1"/>
      <c r="H590" s="1"/>
      <c r="K590" s="1"/>
      <c r="N590" s="1"/>
      <c r="Q590" s="1"/>
      <c r="T590" s="1"/>
      <c r="W590" s="1"/>
      <c r="Y590" s="1"/>
      <c r="AB590" s="3"/>
    </row>
    <row r="591" ht="15.75" customHeight="1">
      <c r="E591" s="1"/>
      <c r="H591" s="1"/>
      <c r="K591" s="1"/>
      <c r="N591" s="1"/>
      <c r="Q591" s="1"/>
      <c r="T591" s="1"/>
      <c r="W591" s="1"/>
      <c r="Y591" s="1"/>
      <c r="AB591" s="3"/>
    </row>
    <row r="592" ht="15.75" customHeight="1">
      <c r="E592" s="1"/>
      <c r="H592" s="1"/>
      <c r="K592" s="1"/>
      <c r="N592" s="1"/>
      <c r="Q592" s="1"/>
      <c r="T592" s="1"/>
      <c r="W592" s="1"/>
      <c r="Y592" s="1"/>
      <c r="AB592" s="3"/>
    </row>
    <row r="593" ht="15.75" customHeight="1">
      <c r="E593" s="1"/>
      <c r="H593" s="1"/>
      <c r="K593" s="1"/>
      <c r="N593" s="1"/>
      <c r="Q593" s="1"/>
      <c r="T593" s="1"/>
      <c r="W593" s="1"/>
      <c r="Y593" s="1"/>
      <c r="AB593" s="3"/>
    </row>
    <row r="594" ht="15.75" customHeight="1">
      <c r="E594" s="1"/>
      <c r="H594" s="1"/>
      <c r="K594" s="1"/>
      <c r="N594" s="1"/>
      <c r="Q594" s="1"/>
      <c r="T594" s="1"/>
      <c r="W594" s="1"/>
      <c r="Y594" s="1"/>
      <c r="AB594" s="3"/>
    </row>
    <row r="595" ht="15.75" customHeight="1">
      <c r="E595" s="1"/>
      <c r="H595" s="1"/>
      <c r="K595" s="1"/>
      <c r="N595" s="1"/>
      <c r="Q595" s="1"/>
      <c r="T595" s="1"/>
      <c r="W595" s="1"/>
      <c r="Y595" s="1"/>
      <c r="AB595" s="3"/>
    </row>
    <row r="596" ht="15.75" customHeight="1">
      <c r="E596" s="1"/>
      <c r="H596" s="1"/>
      <c r="K596" s="1"/>
      <c r="N596" s="1"/>
      <c r="Q596" s="1"/>
      <c r="T596" s="1"/>
      <c r="W596" s="1"/>
      <c r="Y596" s="1"/>
      <c r="AB596" s="3"/>
    </row>
    <row r="597" ht="15.75" customHeight="1">
      <c r="E597" s="1"/>
      <c r="H597" s="1"/>
      <c r="K597" s="1"/>
      <c r="N597" s="1"/>
      <c r="Q597" s="1"/>
      <c r="T597" s="1"/>
      <c r="W597" s="1"/>
      <c r="Y597" s="1"/>
      <c r="AB597" s="3"/>
    </row>
    <row r="598" ht="15.75" customHeight="1">
      <c r="E598" s="1"/>
      <c r="H598" s="1"/>
      <c r="K598" s="1"/>
      <c r="N598" s="1"/>
      <c r="Q598" s="1"/>
      <c r="T598" s="1"/>
      <c r="W598" s="1"/>
      <c r="Y598" s="1"/>
      <c r="AB598" s="3"/>
    </row>
    <row r="599" ht="15.75" customHeight="1">
      <c r="E599" s="1"/>
      <c r="H599" s="1"/>
      <c r="K599" s="1"/>
      <c r="N599" s="1"/>
      <c r="Q599" s="1"/>
      <c r="T599" s="1"/>
      <c r="W599" s="1"/>
      <c r="Y599" s="1"/>
      <c r="AB599" s="3"/>
    </row>
    <row r="600" ht="15.75" customHeight="1">
      <c r="E600" s="1"/>
      <c r="H600" s="1"/>
      <c r="K600" s="1"/>
      <c r="N600" s="1"/>
      <c r="Q600" s="1"/>
      <c r="T600" s="1"/>
      <c r="W600" s="1"/>
      <c r="Y600" s="1"/>
      <c r="AB600" s="3"/>
    </row>
    <row r="601" ht="15.75" customHeight="1">
      <c r="E601" s="1"/>
      <c r="H601" s="1"/>
      <c r="K601" s="1"/>
      <c r="N601" s="1"/>
      <c r="Q601" s="1"/>
      <c r="T601" s="1"/>
      <c r="W601" s="1"/>
      <c r="Y601" s="1"/>
      <c r="AB601" s="3"/>
    </row>
    <row r="602" ht="15.75" customHeight="1">
      <c r="E602" s="1"/>
      <c r="H602" s="1"/>
      <c r="K602" s="1"/>
      <c r="N602" s="1"/>
      <c r="Q602" s="1"/>
      <c r="T602" s="1"/>
      <c r="W602" s="1"/>
      <c r="Y602" s="1"/>
      <c r="AB602" s="3"/>
    </row>
    <row r="603" ht="15.75" customHeight="1">
      <c r="E603" s="1"/>
      <c r="H603" s="1"/>
      <c r="K603" s="1"/>
      <c r="N603" s="1"/>
      <c r="Q603" s="1"/>
      <c r="T603" s="1"/>
      <c r="W603" s="1"/>
      <c r="Y603" s="1"/>
      <c r="AB603" s="3"/>
    </row>
    <row r="604" ht="15.75" customHeight="1">
      <c r="E604" s="1"/>
      <c r="H604" s="1"/>
      <c r="K604" s="1"/>
      <c r="N604" s="1"/>
      <c r="Q604" s="1"/>
      <c r="T604" s="1"/>
      <c r="W604" s="1"/>
      <c r="Y604" s="1"/>
      <c r="AB604" s="3"/>
    </row>
    <row r="605" ht="15.75" customHeight="1">
      <c r="E605" s="1"/>
      <c r="H605" s="1"/>
      <c r="K605" s="1"/>
      <c r="N605" s="1"/>
      <c r="Q605" s="1"/>
      <c r="T605" s="1"/>
      <c r="W605" s="1"/>
      <c r="Y605" s="1"/>
      <c r="AB605" s="3"/>
    </row>
    <row r="606" ht="15.75" customHeight="1">
      <c r="E606" s="1"/>
      <c r="H606" s="1"/>
      <c r="K606" s="1"/>
      <c r="N606" s="1"/>
      <c r="Q606" s="1"/>
      <c r="T606" s="1"/>
      <c r="W606" s="1"/>
      <c r="Y606" s="1"/>
      <c r="AB606" s="3"/>
    </row>
    <row r="607" ht="15.75" customHeight="1">
      <c r="E607" s="1"/>
      <c r="H607" s="1"/>
      <c r="K607" s="1"/>
      <c r="N607" s="1"/>
      <c r="Q607" s="1"/>
      <c r="T607" s="1"/>
      <c r="W607" s="1"/>
      <c r="Y607" s="1"/>
      <c r="AB607" s="3"/>
    </row>
    <row r="608" ht="15.75" customHeight="1">
      <c r="E608" s="1"/>
      <c r="H608" s="1"/>
      <c r="K608" s="1"/>
      <c r="N608" s="1"/>
      <c r="Q608" s="1"/>
      <c r="T608" s="1"/>
      <c r="W608" s="1"/>
      <c r="Y608" s="1"/>
      <c r="AB608" s="3"/>
    </row>
    <row r="609" ht="15.75" customHeight="1">
      <c r="E609" s="1"/>
      <c r="H609" s="1"/>
      <c r="K609" s="1"/>
      <c r="N609" s="1"/>
      <c r="Q609" s="1"/>
      <c r="T609" s="1"/>
      <c r="W609" s="1"/>
      <c r="Y609" s="1"/>
      <c r="AB609" s="3"/>
    </row>
    <row r="610" ht="15.75" customHeight="1">
      <c r="E610" s="1"/>
      <c r="H610" s="1"/>
      <c r="K610" s="1"/>
      <c r="N610" s="1"/>
      <c r="Q610" s="1"/>
      <c r="T610" s="1"/>
      <c r="W610" s="1"/>
      <c r="Y610" s="1"/>
      <c r="AB610" s="3"/>
    </row>
    <row r="611" ht="15.75" customHeight="1">
      <c r="E611" s="1"/>
      <c r="H611" s="1"/>
      <c r="K611" s="1"/>
      <c r="N611" s="1"/>
      <c r="Q611" s="1"/>
      <c r="T611" s="1"/>
      <c r="W611" s="1"/>
      <c r="Y611" s="1"/>
      <c r="AB611" s="3"/>
    </row>
    <row r="612" ht="15.75" customHeight="1">
      <c r="E612" s="1"/>
      <c r="H612" s="1"/>
      <c r="K612" s="1"/>
      <c r="N612" s="1"/>
      <c r="Q612" s="1"/>
      <c r="T612" s="1"/>
      <c r="W612" s="1"/>
      <c r="Y612" s="1"/>
      <c r="AB612" s="3"/>
    </row>
    <row r="613" ht="15.75" customHeight="1">
      <c r="E613" s="1"/>
      <c r="H613" s="1"/>
      <c r="K613" s="1"/>
      <c r="N613" s="1"/>
      <c r="Q613" s="1"/>
      <c r="T613" s="1"/>
      <c r="W613" s="1"/>
      <c r="Y613" s="1"/>
      <c r="AB613" s="3"/>
    </row>
    <row r="614" ht="15.75" customHeight="1">
      <c r="E614" s="1"/>
      <c r="H614" s="1"/>
      <c r="K614" s="1"/>
      <c r="N614" s="1"/>
      <c r="Q614" s="1"/>
      <c r="T614" s="1"/>
      <c r="W614" s="1"/>
      <c r="Y614" s="1"/>
      <c r="AB614" s="3"/>
    </row>
    <row r="615" ht="15.75" customHeight="1">
      <c r="E615" s="1"/>
      <c r="H615" s="1"/>
      <c r="K615" s="1"/>
      <c r="N615" s="1"/>
      <c r="Q615" s="1"/>
      <c r="T615" s="1"/>
      <c r="W615" s="1"/>
      <c r="Y615" s="1"/>
      <c r="AB615" s="3"/>
    </row>
    <row r="616" ht="15.75" customHeight="1">
      <c r="E616" s="1"/>
      <c r="H616" s="1"/>
      <c r="K616" s="1"/>
      <c r="N616" s="1"/>
      <c r="Q616" s="1"/>
      <c r="T616" s="1"/>
      <c r="W616" s="1"/>
      <c r="Y616" s="1"/>
      <c r="AB616" s="3"/>
    </row>
    <row r="617" ht="15.75" customHeight="1">
      <c r="E617" s="1"/>
      <c r="H617" s="1"/>
      <c r="K617" s="1"/>
      <c r="N617" s="1"/>
      <c r="Q617" s="1"/>
      <c r="T617" s="1"/>
      <c r="W617" s="1"/>
      <c r="Y617" s="1"/>
      <c r="AB617" s="3"/>
    </row>
    <row r="618" ht="15.75" customHeight="1">
      <c r="E618" s="1"/>
      <c r="H618" s="1"/>
      <c r="K618" s="1"/>
      <c r="N618" s="1"/>
      <c r="Q618" s="1"/>
      <c r="T618" s="1"/>
      <c r="W618" s="1"/>
      <c r="Y618" s="1"/>
      <c r="AB618" s="3"/>
    </row>
    <row r="619" ht="15.75" customHeight="1">
      <c r="E619" s="1"/>
      <c r="H619" s="1"/>
      <c r="K619" s="1"/>
      <c r="N619" s="1"/>
      <c r="Q619" s="1"/>
      <c r="T619" s="1"/>
      <c r="W619" s="1"/>
      <c r="Y619" s="1"/>
      <c r="AB619" s="3"/>
    </row>
    <row r="620" ht="15.75" customHeight="1">
      <c r="E620" s="1"/>
      <c r="H620" s="1"/>
      <c r="K620" s="1"/>
      <c r="N620" s="1"/>
      <c r="Q620" s="1"/>
      <c r="T620" s="1"/>
      <c r="W620" s="1"/>
      <c r="Y620" s="1"/>
      <c r="AB620" s="3"/>
    </row>
    <row r="621" ht="15.75" customHeight="1">
      <c r="E621" s="1"/>
      <c r="H621" s="1"/>
      <c r="K621" s="1"/>
      <c r="N621" s="1"/>
      <c r="Q621" s="1"/>
      <c r="T621" s="1"/>
      <c r="W621" s="1"/>
      <c r="Y621" s="1"/>
      <c r="AB621" s="3"/>
    </row>
    <row r="622" ht="15.75" customHeight="1">
      <c r="E622" s="1"/>
      <c r="H622" s="1"/>
      <c r="K622" s="1"/>
      <c r="N622" s="1"/>
      <c r="Q622" s="1"/>
      <c r="T622" s="1"/>
      <c r="W622" s="1"/>
      <c r="Y622" s="1"/>
      <c r="AB622" s="3"/>
    </row>
    <row r="623" ht="15.75" customHeight="1">
      <c r="E623" s="1"/>
      <c r="H623" s="1"/>
      <c r="K623" s="1"/>
      <c r="N623" s="1"/>
      <c r="Q623" s="1"/>
      <c r="T623" s="1"/>
      <c r="W623" s="1"/>
      <c r="Y623" s="1"/>
      <c r="AB623" s="3"/>
    </row>
    <row r="624" ht="15.75" customHeight="1">
      <c r="E624" s="1"/>
      <c r="H624" s="1"/>
      <c r="K624" s="1"/>
      <c r="N624" s="1"/>
      <c r="Q624" s="1"/>
      <c r="T624" s="1"/>
      <c r="W624" s="1"/>
      <c r="Y624" s="1"/>
      <c r="AB624" s="3"/>
    </row>
    <row r="625" ht="15.75" customHeight="1">
      <c r="E625" s="1"/>
      <c r="H625" s="1"/>
      <c r="K625" s="1"/>
      <c r="N625" s="1"/>
      <c r="Q625" s="1"/>
      <c r="T625" s="1"/>
      <c r="W625" s="1"/>
      <c r="Y625" s="1"/>
      <c r="AB625" s="3"/>
    </row>
    <row r="626" ht="15.75" customHeight="1">
      <c r="E626" s="1"/>
      <c r="H626" s="1"/>
      <c r="K626" s="1"/>
      <c r="N626" s="1"/>
      <c r="Q626" s="1"/>
      <c r="T626" s="1"/>
      <c r="W626" s="1"/>
      <c r="Y626" s="1"/>
      <c r="AB626" s="3"/>
    </row>
    <row r="627" ht="15.75" customHeight="1">
      <c r="E627" s="1"/>
      <c r="H627" s="1"/>
      <c r="K627" s="1"/>
      <c r="N627" s="1"/>
      <c r="Q627" s="1"/>
      <c r="T627" s="1"/>
      <c r="W627" s="1"/>
      <c r="Y627" s="1"/>
      <c r="AB627" s="3"/>
    </row>
    <row r="628" ht="15.75" customHeight="1">
      <c r="E628" s="1"/>
      <c r="H628" s="1"/>
      <c r="K628" s="1"/>
      <c r="N628" s="1"/>
      <c r="Q628" s="1"/>
      <c r="T628" s="1"/>
      <c r="W628" s="1"/>
      <c r="Y628" s="1"/>
      <c r="AB628" s="3"/>
    </row>
    <row r="629" ht="15.75" customHeight="1">
      <c r="E629" s="1"/>
      <c r="H629" s="1"/>
      <c r="K629" s="1"/>
      <c r="N629" s="1"/>
      <c r="Q629" s="1"/>
      <c r="T629" s="1"/>
      <c r="W629" s="1"/>
      <c r="Y629" s="1"/>
      <c r="AB629" s="3"/>
    </row>
    <row r="630" ht="15.75" customHeight="1">
      <c r="E630" s="1"/>
      <c r="H630" s="1"/>
      <c r="K630" s="1"/>
      <c r="N630" s="1"/>
      <c r="Q630" s="1"/>
      <c r="T630" s="1"/>
      <c r="W630" s="1"/>
      <c r="Y630" s="1"/>
      <c r="AB630" s="3"/>
    </row>
    <row r="631" ht="15.75" customHeight="1">
      <c r="E631" s="1"/>
      <c r="H631" s="1"/>
      <c r="K631" s="1"/>
      <c r="N631" s="1"/>
      <c r="Q631" s="1"/>
      <c r="T631" s="1"/>
      <c r="W631" s="1"/>
      <c r="Y631" s="1"/>
      <c r="AB631" s="3"/>
    </row>
    <row r="632" ht="15.75" customHeight="1">
      <c r="E632" s="1"/>
      <c r="H632" s="1"/>
      <c r="K632" s="1"/>
      <c r="N632" s="1"/>
      <c r="Q632" s="1"/>
      <c r="T632" s="1"/>
      <c r="W632" s="1"/>
      <c r="Y632" s="1"/>
      <c r="AB632" s="3"/>
    </row>
    <row r="633" ht="15.75" customHeight="1">
      <c r="E633" s="1"/>
      <c r="H633" s="1"/>
      <c r="K633" s="1"/>
      <c r="N633" s="1"/>
      <c r="Q633" s="1"/>
      <c r="T633" s="1"/>
      <c r="W633" s="1"/>
      <c r="Y633" s="1"/>
      <c r="AB633" s="3"/>
    </row>
    <row r="634" ht="15.75" customHeight="1">
      <c r="E634" s="1"/>
      <c r="H634" s="1"/>
      <c r="K634" s="1"/>
      <c r="N634" s="1"/>
      <c r="Q634" s="1"/>
      <c r="T634" s="1"/>
      <c r="W634" s="1"/>
      <c r="Y634" s="1"/>
      <c r="AB634" s="3"/>
    </row>
    <row r="635" ht="15.75" customHeight="1">
      <c r="E635" s="1"/>
      <c r="H635" s="1"/>
      <c r="K635" s="1"/>
      <c r="N635" s="1"/>
      <c r="Q635" s="1"/>
      <c r="T635" s="1"/>
      <c r="W635" s="1"/>
      <c r="Y635" s="1"/>
      <c r="AB635" s="3"/>
    </row>
    <row r="636" ht="15.75" customHeight="1">
      <c r="E636" s="1"/>
      <c r="H636" s="1"/>
      <c r="K636" s="1"/>
      <c r="N636" s="1"/>
      <c r="Q636" s="1"/>
      <c r="T636" s="1"/>
      <c r="W636" s="1"/>
      <c r="Y636" s="1"/>
      <c r="AB636" s="3"/>
    </row>
    <row r="637" ht="15.75" customHeight="1">
      <c r="E637" s="1"/>
      <c r="H637" s="1"/>
      <c r="K637" s="1"/>
      <c r="N637" s="1"/>
      <c r="Q637" s="1"/>
      <c r="T637" s="1"/>
      <c r="W637" s="1"/>
      <c r="Y637" s="1"/>
      <c r="AB637" s="3"/>
    </row>
    <row r="638" ht="15.75" customHeight="1">
      <c r="E638" s="1"/>
      <c r="H638" s="1"/>
      <c r="K638" s="1"/>
      <c r="N638" s="1"/>
      <c r="Q638" s="1"/>
      <c r="T638" s="1"/>
      <c r="W638" s="1"/>
      <c r="Y638" s="1"/>
      <c r="AB638" s="3"/>
    </row>
    <row r="639" ht="15.75" customHeight="1">
      <c r="E639" s="1"/>
      <c r="H639" s="1"/>
      <c r="K639" s="1"/>
      <c r="N639" s="1"/>
      <c r="Q639" s="1"/>
      <c r="T639" s="1"/>
      <c r="W639" s="1"/>
      <c r="Y639" s="1"/>
      <c r="AB639" s="3"/>
    </row>
    <row r="640" ht="15.75" customHeight="1">
      <c r="E640" s="1"/>
      <c r="H640" s="1"/>
      <c r="K640" s="1"/>
      <c r="N640" s="1"/>
      <c r="Q640" s="1"/>
      <c r="T640" s="1"/>
      <c r="W640" s="1"/>
      <c r="Y640" s="1"/>
      <c r="AB640" s="3"/>
    </row>
    <row r="641" ht="15.75" customHeight="1">
      <c r="E641" s="1"/>
      <c r="H641" s="1"/>
      <c r="K641" s="1"/>
      <c r="N641" s="1"/>
      <c r="Q641" s="1"/>
      <c r="T641" s="1"/>
      <c r="W641" s="1"/>
      <c r="Y641" s="1"/>
      <c r="AB641" s="3"/>
    </row>
    <row r="642" ht="15.75" customHeight="1">
      <c r="E642" s="1"/>
      <c r="H642" s="1"/>
      <c r="K642" s="1"/>
      <c r="N642" s="1"/>
      <c r="Q642" s="1"/>
      <c r="T642" s="1"/>
      <c r="W642" s="1"/>
      <c r="Y642" s="1"/>
      <c r="AB642" s="3"/>
    </row>
    <row r="643" ht="15.75" customHeight="1">
      <c r="E643" s="1"/>
      <c r="H643" s="1"/>
      <c r="K643" s="1"/>
      <c r="N643" s="1"/>
      <c r="Q643" s="1"/>
      <c r="T643" s="1"/>
      <c r="W643" s="1"/>
      <c r="Y643" s="1"/>
      <c r="AB643" s="3"/>
    </row>
    <row r="644" ht="15.75" customHeight="1">
      <c r="E644" s="1"/>
      <c r="H644" s="1"/>
      <c r="K644" s="1"/>
      <c r="N644" s="1"/>
      <c r="Q644" s="1"/>
      <c r="T644" s="1"/>
      <c r="W644" s="1"/>
      <c r="Y644" s="1"/>
      <c r="AB644" s="3"/>
    </row>
    <row r="645" ht="15.75" customHeight="1">
      <c r="E645" s="1"/>
      <c r="H645" s="1"/>
      <c r="K645" s="1"/>
      <c r="N645" s="1"/>
      <c r="Q645" s="1"/>
      <c r="T645" s="1"/>
      <c r="W645" s="1"/>
      <c r="Y645" s="1"/>
      <c r="AB645" s="3"/>
    </row>
    <row r="646" ht="15.75" customHeight="1">
      <c r="E646" s="1"/>
      <c r="H646" s="1"/>
      <c r="K646" s="1"/>
      <c r="N646" s="1"/>
      <c r="Q646" s="1"/>
      <c r="T646" s="1"/>
      <c r="W646" s="1"/>
      <c r="Y646" s="1"/>
      <c r="AB646" s="3"/>
    </row>
    <row r="647" ht="15.75" customHeight="1">
      <c r="E647" s="1"/>
      <c r="H647" s="1"/>
      <c r="K647" s="1"/>
      <c r="N647" s="1"/>
      <c r="Q647" s="1"/>
      <c r="T647" s="1"/>
      <c r="W647" s="1"/>
      <c r="Y647" s="1"/>
      <c r="AB647" s="3"/>
    </row>
    <row r="648" ht="15.75" customHeight="1">
      <c r="E648" s="1"/>
      <c r="H648" s="1"/>
      <c r="K648" s="1"/>
      <c r="N648" s="1"/>
      <c r="Q648" s="1"/>
      <c r="T648" s="1"/>
      <c r="W648" s="1"/>
      <c r="Y648" s="1"/>
      <c r="AB648" s="3"/>
    </row>
    <row r="649" ht="15.75" customHeight="1">
      <c r="E649" s="1"/>
      <c r="H649" s="1"/>
      <c r="K649" s="1"/>
      <c r="N649" s="1"/>
      <c r="Q649" s="1"/>
      <c r="T649" s="1"/>
      <c r="W649" s="1"/>
      <c r="Y649" s="1"/>
      <c r="AB649" s="3"/>
    </row>
    <row r="650" ht="15.75" customHeight="1">
      <c r="E650" s="1"/>
      <c r="H650" s="1"/>
      <c r="K650" s="1"/>
      <c r="N650" s="1"/>
      <c r="Q650" s="1"/>
      <c r="T650" s="1"/>
      <c r="W650" s="1"/>
      <c r="Y650" s="1"/>
      <c r="AB650" s="3"/>
    </row>
    <row r="651" ht="15.75" customHeight="1">
      <c r="E651" s="1"/>
      <c r="H651" s="1"/>
      <c r="K651" s="1"/>
      <c r="N651" s="1"/>
      <c r="Q651" s="1"/>
      <c r="T651" s="1"/>
      <c r="W651" s="1"/>
      <c r="Y651" s="1"/>
      <c r="AB651" s="3"/>
    </row>
    <row r="652" ht="15.75" customHeight="1">
      <c r="E652" s="1"/>
      <c r="H652" s="1"/>
      <c r="K652" s="1"/>
      <c r="N652" s="1"/>
      <c r="Q652" s="1"/>
      <c r="T652" s="1"/>
      <c r="W652" s="1"/>
      <c r="Y652" s="1"/>
      <c r="AB652" s="3"/>
    </row>
    <row r="653" ht="15.75" customHeight="1">
      <c r="E653" s="1"/>
      <c r="H653" s="1"/>
      <c r="K653" s="1"/>
      <c r="N653" s="1"/>
      <c r="Q653" s="1"/>
      <c r="T653" s="1"/>
      <c r="W653" s="1"/>
      <c r="Y653" s="1"/>
      <c r="AB653" s="3"/>
    </row>
    <row r="654" ht="15.75" customHeight="1">
      <c r="E654" s="1"/>
      <c r="H654" s="1"/>
      <c r="K654" s="1"/>
      <c r="N654" s="1"/>
      <c r="Q654" s="1"/>
      <c r="T654" s="1"/>
      <c r="W654" s="1"/>
      <c r="Y654" s="1"/>
      <c r="AB654" s="3"/>
    </row>
    <row r="655" ht="15.75" customHeight="1">
      <c r="E655" s="1"/>
      <c r="H655" s="1"/>
      <c r="K655" s="1"/>
      <c r="N655" s="1"/>
      <c r="Q655" s="1"/>
      <c r="T655" s="1"/>
      <c r="W655" s="1"/>
      <c r="Y655" s="1"/>
      <c r="AB655" s="3"/>
    </row>
    <row r="656" ht="15.75" customHeight="1">
      <c r="E656" s="1"/>
      <c r="H656" s="1"/>
      <c r="K656" s="1"/>
      <c r="N656" s="1"/>
      <c r="Q656" s="1"/>
      <c r="T656" s="1"/>
      <c r="W656" s="1"/>
      <c r="Y656" s="1"/>
      <c r="AB656" s="3"/>
    </row>
    <row r="657" ht="15.75" customHeight="1">
      <c r="E657" s="1"/>
      <c r="H657" s="1"/>
      <c r="K657" s="1"/>
      <c r="N657" s="1"/>
      <c r="Q657" s="1"/>
      <c r="T657" s="1"/>
      <c r="W657" s="1"/>
      <c r="Y657" s="1"/>
      <c r="AB657" s="3"/>
    </row>
    <row r="658" ht="15.75" customHeight="1">
      <c r="E658" s="1"/>
      <c r="H658" s="1"/>
      <c r="K658" s="1"/>
      <c r="N658" s="1"/>
      <c r="Q658" s="1"/>
      <c r="T658" s="1"/>
      <c r="W658" s="1"/>
      <c r="Y658" s="1"/>
      <c r="AB658" s="3"/>
    </row>
    <row r="659" ht="15.75" customHeight="1">
      <c r="E659" s="1"/>
      <c r="H659" s="1"/>
      <c r="K659" s="1"/>
      <c r="N659" s="1"/>
      <c r="Q659" s="1"/>
      <c r="T659" s="1"/>
      <c r="W659" s="1"/>
      <c r="Y659" s="1"/>
      <c r="AB659" s="3"/>
    </row>
    <row r="660" ht="15.75" customHeight="1">
      <c r="E660" s="1"/>
      <c r="H660" s="1"/>
      <c r="K660" s="1"/>
      <c r="N660" s="1"/>
      <c r="Q660" s="1"/>
      <c r="T660" s="1"/>
      <c r="W660" s="1"/>
      <c r="Y660" s="1"/>
      <c r="AB660" s="3"/>
    </row>
    <row r="661" ht="15.75" customHeight="1">
      <c r="E661" s="1"/>
      <c r="H661" s="1"/>
      <c r="K661" s="1"/>
      <c r="N661" s="1"/>
      <c r="Q661" s="1"/>
      <c r="T661" s="1"/>
      <c r="W661" s="1"/>
      <c r="Y661" s="1"/>
      <c r="AB661" s="3"/>
    </row>
    <row r="662" ht="15.75" customHeight="1">
      <c r="E662" s="1"/>
      <c r="H662" s="1"/>
      <c r="K662" s="1"/>
      <c r="N662" s="1"/>
      <c r="Q662" s="1"/>
      <c r="T662" s="1"/>
      <c r="W662" s="1"/>
      <c r="Y662" s="1"/>
      <c r="AB662" s="3"/>
    </row>
    <row r="663" ht="15.75" customHeight="1">
      <c r="E663" s="1"/>
      <c r="H663" s="1"/>
      <c r="K663" s="1"/>
      <c r="N663" s="1"/>
      <c r="Q663" s="1"/>
      <c r="T663" s="1"/>
      <c r="W663" s="1"/>
      <c r="Y663" s="1"/>
      <c r="AB663" s="3"/>
    </row>
    <row r="664" ht="15.75" customHeight="1">
      <c r="E664" s="1"/>
      <c r="H664" s="1"/>
      <c r="K664" s="1"/>
      <c r="N664" s="1"/>
      <c r="Q664" s="1"/>
      <c r="T664" s="1"/>
      <c r="W664" s="1"/>
      <c r="Y664" s="1"/>
      <c r="AB664" s="3"/>
    </row>
    <row r="665" ht="15.75" customHeight="1">
      <c r="E665" s="1"/>
      <c r="H665" s="1"/>
      <c r="K665" s="1"/>
      <c r="N665" s="1"/>
      <c r="Q665" s="1"/>
      <c r="T665" s="1"/>
      <c r="W665" s="1"/>
      <c r="Y665" s="1"/>
      <c r="AB665" s="3"/>
    </row>
    <row r="666" ht="15.75" customHeight="1">
      <c r="E666" s="1"/>
      <c r="H666" s="1"/>
      <c r="K666" s="1"/>
      <c r="N666" s="1"/>
      <c r="Q666" s="1"/>
      <c r="T666" s="1"/>
      <c r="W666" s="1"/>
      <c r="Y666" s="1"/>
      <c r="AB666" s="3"/>
    </row>
    <row r="667" ht="15.75" customHeight="1">
      <c r="E667" s="1"/>
      <c r="H667" s="1"/>
      <c r="K667" s="1"/>
      <c r="N667" s="1"/>
      <c r="Q667" s="1"/>
      <c r="T667" s="1"/>
      <c r="W667" s="1"/>
      <c r="Y667" s="1"/>
      <c r="AB667" s="3"/>
    </row>
    <row r="668" ht="15.75" customHeight="1">
      <c r="E668" s="1"/>
      <c r="H668" s="1"/>
      <c r="K668" s="1"/>
      <c r="N668" s="1"/>
      <c r="Q668" s="1"/>
      <c r="T668" s="1"/>
      <c r="W668" s="1"/>
      <c r="Y668" s="1"/>
      <c r="AB668" s="3"/>
    </row>
    <row r="669" ht="15.75" customHeight="1">
      <c r="E669" s="1"/>
      <c r="H669" s="1"/>
      <c r="K669" s="1"/>
      <c r="N669" s="1"/>
      <c r="Q669" s="1"/>
      <c r="T669" s="1"/>
      <c r="W669" s="1"/>
      <c r="Y669" s="1"/>
      <c r="AB669" s="3"/>
    </row>
    <row r="670" ht="15.75" customHeight="1">
      <c r="E670" s="1"/>
      <c r="H670" s="1"/>
      <c r="K670" s="1"/>
      <c r="N670" s="1"/>
      <c r="Q670" s="1"/>
      <c r="T670" s="1"/>
      <c r="W670" s="1"/>
      <c r="Y670" s="1"/>
      <c r="AB670" s="3"/>
    </row>
    <row r="671" ht="15.75" customHeight="1">
      <c r="E671" s="1"/>
      <c r="H671" s="1"/>
      <c r="K671" s="1"/>
      <c r="N671" s="1"/>
      <c r="Q671" s="1"/>
      <c r="T671" s="1"/>
      <c r="W671" s="1"/>
      <c r="Y671" s="1"/>
      <c r="AB671" s="3"/>
    </row>
    <row r="672" ht="15.75" customHeight="1">
      <c r="E672" s="1"/>
      <c r="H672" s="1"/>
      <c r="K672" s="1"/>
      <c r="N672" s="1"/>
      <c r="Q672" s="1"/>
      <c r="T672" s="1"/>
      <c r="W672" s="1"/>
      <c r="Y672" s="1"/>
      <c r="AB672" s="3"/>
    </row>
    <row r="673" ht="15.75" customHeight="1">
      <c r="E673" s="1"/>
      <c r="H673" s="1"/>
      <c r="K673" s="1"/>
      <c r="N673" s="1"/>
      <c r="Q673" s="1"/>
      <c r="T673" s="1"/>
      <c r="W673" s="1"/>
      <c r="Y673" s="1"/>
      <c r="AB673" s="3"/>
    </row>
    <row r="674" ht="15.75" customHeight="1">
      <c r="E674" s="1"/>
      <c r="H674" s="1"/>
      <c r="K674" s="1"/>
      <c r="N674" s="1"/>
      <c r="Q674" s="1"/>
      <c r="T674" s="1"/>
      <c r="W674" s="1"/>
      <c r="Y674" s="1"/>
      <c r="AB674" s="3"/>
    </row>
    <row r="675" ht="15.75" customHeight="1">
      <c r="E675" s="1"/>
      <c r="H675" s="1"/>
      <c r="K675" s="1"/>
      <c r="N675" s="1"/>
      <c r="Q675" s="1"/>
      <c r="T675" s="1"/>
      <c r="W675" s="1"/>
      <c r="Y675" s="1"/>
      <c r="AB675" s="3"/>
    </row>
    <row r="676" ht="15.75" customHeight="1">
      <c r="E676" s="1"/>
      <c r="H676" s="1"/>
      <c r="K676" s="1"/>
      <c r="N676" s="1"/>
      <c r="Q676" s="1"/>
      <c r="T676" s="1"/>
      <c r="W676" s="1"/>
      <c r="Y676" s="1"/>
      <c r="AB676" s="3"/>
    </row>
    <row r="677" ht="15.75" customHeight="1">
      <c r="E677" s="1"/>
      <c r="H677" s="1"/>
      <c r="K677" s="1"/>
      <c r="N677" s="1"/>
      <c r="Q677" s="1"/>
      <c r="T677" s="1"/>
      <c r="W677" s="1"/>
      <c r="Y677" s="1"/>
      <c r="AB677" s="3"/>
    </row>
    <row r="678" ht="15.75" customHeight="1">
      <c r="E678" s="1"/>
      <c r="H678" s="1"/>
      <c r="K678" s="1"/>
      <c r="N678" s="1"/>
      <c r="Q678" s="1"/>
      <c r="T678" s="1"/>
      <c r="W678" s="1"/>
      <c r="Y678" s="1"/>
      <c r="AB678" s="3"/>
    </row>
    <row r="679" ht="15.75" customHeight="1">
      <c r="E679" s="1"/>
      <c r="H679" s="1"/>
      <c r="K679" s="1"/>
      <c r="N679" s="1"/>
      <c r="Q679" s="1"/>
      <c r="T679" s="1"/>
      <c r="W679" s="1"/>
      <c r="Y679" s="1"/>
      <c r="AB679" s="3"/>
    </row>
    <row r="680" ht="15.75" customHeight="1">
      <c r="E680" s="1"/>
      <c r="H680" s="1"/>
      <c r="K680" s="1"/>
      <c r="N680" s="1"/>
      <c r="Q680" s="1"/>
      <c r="T680" s="1"/>
      <c r="W680" s="1"/>
      <c r="Y680" s="1"/>
      <c r="AB680" s="3"/>
    </row>
    <row r="681" ht="15.75" customHeight="1">
      <c r="E681" s="1"/>
      <c r="H681" s="1"/>
      <c r="K681" s="1"/>
      <c r="N681" s="1"/>
      <c r="Q681" s="1"/>
      <c r="T681" s="1"/>
      <c r="W681" s="1"/>
      <c r="Y681" s="1"/>
      <c r="AB681" s="3"/>
    </row>
    <row r="682" ht="15.75" customHeight="1">
      <c r="E682" s="1"/>
      <c r="H682" s="1"/>
      <c r="K682" s="1"/>
      <c r="N682" s="1"/>
      <c r="Q682" s="1"/>
      <c r="T682" s="1"/>
      <c r="W682" s="1"/>
      <c r="Y682" s="1"/>
      <c r="AB682" s="3"/>
    </row>
    <row r="683" ht="15.75" customHeight="1">
      <c r="E683" s="1"/>
      <c r="H683" s="1"/>
      <c r="K683" s="1"/>
      <c r="N683" s="1"/>
      <c r="Q683" s="1"/>
      <c r="T683" s="1"/>
      <c r="W683" s="1"/>
      <c r="Y683" s="1"/>
      <c r="AB683" s="3"/>
    </row>
    <row r="684" ht="15.75" customHeight="1">
      <c r="E684" s="1"/>
      <c r="H684" s="1"/>
      <c r="K684" s="1"/>
      <c r="N684" s="1"/>
      <c r="Q684" s="1"/>
      <c r="T684" s="1"/>
      <c r="W684" s="1"/>
      <c r="Y684" s="1"/>
      <c r="AB684" s="3"/>
    </row>
    <row r="685" ht="15.75" customHeight="1">
      <c r="E685" s="1"/>
      <c r="H685" s="1"/>
      <c r="K685" s="1"/>
      <c r="N685" s="1"/>
      <c r="Q685" s="1"/>
      <c r="T685" s="1"/>
      <c r="W685" s="1"/>
      <c r="Y685" s="1"/>
      <c r="AB685" s="3"/>
    </row>
    <row r="686" ht="15.75" customHeight="1">
      <c r="E686" s="1"/>
      <c r="H686" s="1"/>
      <c r="K686" s="1"/>
      <c r="N686" s="1"/>
      <c r="Q686" s="1"/>
      <c r="T686" s="1"/>
      <c r="W686" s="1"/>
      <c r="Y686" s="1"/>
      <c r="AB686" s="3"/>
    </row>
    <row r="687" ht="15.75" customHeight="1">
      <c r="E687" s="1"/>
      <c r="H687" s="1"/>
      <c r="K687" s="1"/>
      <c r="N687" s="1"/>
      <c r="Q687" s="1"/>
      <c r="T687" s="1"/>
      <c r="W687" s="1"/>
      <c r="Y687" s="1"/>
      <c r="AB687" s="3"/>
    </row>
    <row r="688" ht="15.75" customHeight="1">
      <c r="E688" s="1"/>
      <c r="H688" s="1"/>
      <c r="K688" s="1"/>
      <c r="N688" s="1"/>
      <c r="Q688" s="1"/>
      <c r="T688" s="1"/>
      <c r="W688" s="1"/>
      <c r="Y688" s="1"/>
      <c r="AB688" s="3"/>
    </row>
    <row r="689" ht="15.75" customHeight="1">
      <c r="E689" s="1"/>
      <c r="H689" s="1"/>
      <c r="K689" s="1"/>
      <c r="N689" s="1"/>
      <c r="Q689" s="1"/>
      <c r="T689" s="1"/>
      <c r="W689" s="1"/>
      <c r="Y689" s="1"/>
      <c r="AB689" s="3"/>
    </row>
    <row r="690" ht="15.75" customHeight="1">
      <c r="E690" s="1"/>
      <c r="H690" s="1"/>
      <c r="K690" s="1"/>
      <c r="N690" s="1"/>
      <c r="Q690" s="1"/>
      <c r="T690" s="1"/>
      <c r="W690" s="1"/>
      <c r="Y690" s="1"/>
      <c r="AB690" s="3"/>
    </row>
    <row r="691" ht="15.75" customHeight="1">
      <c r="E691" s="1"/>
      <c r="H691" s="1"/>
      <c r="K691" s="1"/>
      <c r="N691" s="1"/>
      <c r="Q691" s="1"/>
      <c r="T691" s="1"/>
      <c r="W691" s="1"/>
      <c r="Y691" s="1"/>
      <c r="AB691" s="3"/>
    </row>
    <row r="692" ht="15.75" customHeight="1">
      <c r="E692" s="1"/>
      <c r="H692" s="1"/>
      <c r="K692" s="1"/>
      <c r="N692" s="1"/>
      <c r="Q692" s="1"/>
      <c r="T692" s="1"/>
      <c r="W692" s="1"/>
      <c r="Y692" s="1"/>
      <c r="AB692" s="3"/>
    </row>
    <row r="693" ht="15.75" customHeight="1">
      <c r="E693" s="1"/>
      <c r="H693" s="1"/>
      <c r="K693" s="1"/>
      <c r="N693" s="1"/>
      <c r="Q693" s="1"/>
      <c r="T693" s="1"/>
      <c r="W693" s="1"/>
      <c r="Y693" s="1"/>
      <c r="AB693" s="3"/>
    </row>
    <row r="694" ht="15.75" customHeight="1">
      <c r="E694" s="1"/>
      <c r="H694" s="1"/>
      <c r="K694" s="1"/>
      <c r="N694" s="1"/>
      <c r="Q694" s="1"/>
      <c r="T694" s="1"/>
      <c r="W694" s="1"/>
      <c r="Y694" s="1"/>
      <c r="AB694" s="3"/>
    </row>
    <row r="695" ht="15.75" customHeight="1">
      <c r="E695" s="1"/>
      <c r="H695" s="1"/>
      <c r="K695" s="1"/>
      <c r="N695" s="1"/>
      <c r="Q695" s="1"/>
      <c r="T695" s="1"/>
      <c r="W695" s="1"/>
      <c r="Y695" s="1"/>
      <c r="AB695" s="3"/>
    </row>
    <row r="696" ht="15.75" customHeight="1">
      <c r="E696" s="1"/>
      <c r="H696" s="1"/>
      <c r="K696" s="1"/>
      <c r="N696" s="1"/>
      <c r="Q696" s="1"/>
      <c r="T696" s="1"/>
      <c r="W696" s="1"/>
      <c r="Y696" s="1"/>
      <c r="AB696" s="3"/>
    </row>
    <row r="697" ht="15.75" customHeight="1">
      <c r="E697" s="1"/>
      <c r="H697" s="1"/>
      <c r="K697" s="1"/>
      <c r="N697" s="1"/>
      <c r="Q697" s="1"/>
      <c r="T697" s="1"/>
      <c r="W697" s="1"/>
      <c r="Y697" s="1"/>
      <c r="AB697" s="3"/>
    </row>
    <row r="698" ht="15.75" customHeight="1">
      <c r="E698" s="1"/>
      <c r="H698" s="1"/>
      <c r="K698" s="1"/>
      <c r="N698" s="1"/>
      <c r="Q698" s="1"/>
      <c r="T698" s="1"/>
      <c r="W698" s="1"/>
      <c r="Y698" s="1"/>
      <c r="AB698" s="3"/>
    </row>
    <row r="699" ht="15.75" customHeight="1">
      <c r="E699" s="1"/>
      <c r="H699" s="1"/>
      <c r="K699" s="1"/>
      <c r="N699" s="1"/>
      <c r="Q699" s="1"/>
      <c r="T699" s="1"/>
      <c r="W699" s="1"/>
      <c r="Y699" s="1"/>
      <c r="AB699" s="3"/>
    </row>
    <row r="700" ht="15.75" customHeight="1">
      <c r="E700" s="1"/>
      <c r="H700" s="1"/>
      <c r="K700" s="1"/>
      <c r="N700" s="1"/>
      <c r="Q700" s="1"/>
      <c r="T700" s="1"/>
      <c r="W700" s="1"/>
      <c r="Y700" s="1"/>
      <c r="AB700" s="3"/>
    </row>
    <row r="701" ht="15.75" customHeight="1">
      <c r="E701" s="1"/>
      <c r="H701" s="1"/>
      <c r="K701" s="1"/>
      <c r="N701" s="1"/>
      <c r="Q701" s="1"/>
      <c r="T701" s="1"/>
      <c r="W701" s="1"/>
      <c r="Y701" s="1"/>
      <c r="AB701" s="3"/>
    </row>
    <row r="702" ht="15.75" customHeight="1">
      <c r="E702" s="1"/>
      <c r="H702" s="1"/>
      <c r="K702" s="1"/>
      <c r="N702" s="1"/>
      <c r="Q702" s="1"/>
      <c r="T702" s="1"/>
      <c r="W702" s="1"/>
      <c r="Y702" s="1"/>
      <c r="AB702" s="3"/>
    </row>
    <row r="703" ht="15.75" customHeight="1">
      <c r="E703" s="1"/>
      <c r="H703" s="1"/>
      <c r="K703" s="1"/>
      <c r="N703" s="1"/>
      <c r="Q703" s="1"/>
      <c r="T703" s="1"/>
      <c r="W703" s="1"/>
      <c r="Y703" s="1"/>
      <c r="AB703" s="3"/>
    </row>
    <row r="704" ht="15.75" customHeight="1">
      <c r="E704" s="1"/>
      <c r="H704" s="1"/>
      <c r="K704" s="1"/>
      <c r="N704" s="1"/>
      <c r="Q704" s="1"/>
      <c r="T704" s="1"/>
      <c r="W704" s="1"/>
      <c r="Y704" s="1"/>
      <c r="AB704" s="3"/>
    </row>
    <row r="705" ht="15.75" customHeight="1">
      <c r="E705" s="1"/>
      <c r="H705" s="1"/>
      <c r="K705" s="1"/>
      <c r="N705" s="1"/>
      <c r="Q705" s="1"/>
      <c r="T705" s="1"/>
      <c r="W705" s="1"/>
      <c r="Y705" s="1"/>
      <c r="AB705" s="3"/>
    </row>
    <row r="706" ht="15.75" customHeight="1">
      <c r="E706" s="1"/>
      <c r="H706" s="1"/>
      <c r="K706" s="1"/>
      <c r="N706" s="1"/>
      <c r="Q706" s="1"/>
      <c r="T706" s="1"/>
      <c r="W706" s="1"/>
      <c r="Y706" s="1"/>
      <c r="AB706" s="3"/>
    </row>
    <row r="707" ht="15.75" customHeight="1">
      <c r="E707" s="1"/>
      <c r="H707" s="1"/>
      <c r="K707" s="1"/>
      <c r="N707" s="1"/>
      <c r="Q707" s="1"/>
      <c r="T707" s="1"/>
      <c r="W707" s="1"/>
      <c r="Y707" s="1"/>
      <c r="AB707" s="3"/>
    </row>
    <row r="708" ht="15.75" customHeight="1">
      <c r="E708" s="1"/>
      <c r="H708" s="1"/>
      <c r="K708" s="1"/>
      <c r="N708" s="1"/>
      <c r="Q708" s="1"/>
      <c r="T708" s="1"/>
      <c r="W708" s="1"/>
      <c r="Y708" s="1"/>
      <c r="AB708" s="3"/>
    </row>
    <row r="709" ht="15.75" customHeight="1">
      <c r="E709" s="1"/>
      <c r="H709" s="1"/>
      <c r="K709" s="1"/>
      <c r="N709" s="1"/>
      <c r="Q709" s="1"/>
      <c r="T709" s="1"/>
      <c r="W709" s="1"/>
      <c r="Y709" s="1"/>
      <c r="AB709" s="3"/>
    </row>
    <row r="710" ht="15.75" customHeight="1">
      <c r="E710" s="1"/>
      <c r="H710" s="1"/>
      <c r="K710" s="1"/>
      <c r="N710" s="1"/>
      <c r="Q710" s="1"/>
      <c r="T710" s="1"/>
      <c r="W710" s="1"/>
      <c r="Y710" s="1"/>
      <c r="AB710" s="3"/>
    </row>
    <row r="711" ht="15.75" customHeight="1">
      <c r="E711" s="1"/>
      <c r="H711" s="1"/>
      <c r="K711" s="1"/>
      <c r="N711" s="1"/>
      <c r="Q711" s="1"/>
      <c r="T711" s="1"/>
      <c r="W711" s="1"/>
      <c r="Y711" s="1"/>
      <c r="AB711" s="3"/>
    </row>
    <row r="712" ht="15.75" customHeight="1">
      <c r="E712" s="1"/>
      <c r="H712" s="1"/>
      <c r="K712" s="1"/>
      <c r="N712" s="1"/>
      <c r="Q712" s="1"/>
      <c r="T712" s="1"/>
      <c r="W712" s="1"/>
      <c r="Y712" s="1"/>
      <c r="AB712" s="3"/>
    </row>
    <row r="713" ht="15.75" customHeight="1">
      <c r="E713" s="1"/>
      <c r="H713" s="1"/>
      <c r="K713" s="1"/>
      <c r="N713" s="1"/>
      <c r="Q713" s="1"/>
      <c r="T713" s="1"/>
      <c r="W713" s="1"/>
      <c r="Y713" s="1"/>
      <c r="AB713" s="3"/>
    </row>
    <row r="714" ht="15.75" customHeight="1">
      <c r="E714" s="1"/>
      <c r="H714" s="1"/>
      <c r="K714" s="1"/>
      <c r="N714" s="1"/>
      <c r="Q714" s="1"/>
      <c r="T714" s="1"/>
      <c r="W714" s="1"/>
      <c r="Y714" s="1"/>
      <c r="AB714" s="3"/>
    </row>
    <row r="715" ht="15.75" customHeight="1">
      <c r="E715" s="1"/>
      <c r="H715" s="1"/>
      <c r="K715" s="1"/>
      <c r="N715" s="1"/>
      <c r="Q715" s="1"/>
      <c r="T715" s="1"/>
      <c r="W715" s="1"/>
      <c r="Y715" s="1"/>
      <c r="AB715" s="3"/>
    </row>
    <row r="716" ht="15.75" customHeight="1">
      <c r="E716" s="1"/>
      <c r="H716" s="1"/>
      <c r="K716" s="1"/>
      <c r="N716" s="1"/>
      <c r="Q716" s="1"/>
      <c r="T716" s="1"/>
      <c r="W716" s="1"/>
      <c r="Y716" s="1"/>
      <c r="AB716" s="3"/>
    </row>
    <row r="717" ht="15.75" customHeight="1">
      <c r="E717" s="1"/>
      <c r="H717" s="1"/>
      <c r="K717" s="1"/>
      <c r="N717" s="1"/>
      <c r="Q717" s="1"/>
      <c r="T717" s="1"/>
      <c r="W717" s="1"/>
      <c r="Y717" s="1"/>
      <c r="AB717" s="3"/>
    </row>
    <row r="718" ht="15.75" customHeight="1">
      <c r="E718" s="1"/>
      <c r="H718" s="1"/>
      <c r="K718" s="1"/>
      <c r="N718" s="1"/>
      <c r="Q718" s="1"/>
      <c r="T718" s="1"/>
      <c r="W718" s="1"/>
      <c r="Y718" s="1"/>
      <c r="AB718" s="3"/>
    </row>
    <row r="719" ht="15.75" customHeight="1">
      <c r="E719" s="1"/>
      <c r="H719" s="1"/>
      <c r="K719" s="1"/>
      <c r="N719" s="1"/>
      <c r="Q719" s="1"/>
      <c r="T719" s="1"/>
      <c r="W719" s="1"/>
      <c r="Y719" s="1"/>
      <c r="AB719" s="3"/>
    </row>
    <row r="720" ht="15.75" customHeight="1">
      <c r="E720" s="1"/>
      <c r="H720" s="1"/>
      <c r="K720" s="1"/>
      <c r="N720" s="1"/>
      <c r="Q720" s="1"/>
      <c r="T720" s="1"/>
      <c r="W720" s="1"/>
      <c r="Y720" s="1"/>
      <c r="AB720" s="3"/>
    </row>
    <row r="721" ht="15.75" customHeight="1">
      <c r="E721" s="1"/>
      <c r="H721" s="1"/>
      <c r="K721" s="1"/>
      <c r="N721" s="1"/>
      <c r="Q721" s="1"/>
      <c r="T721" s="1"/>
      <c r="W721" s="1"/>
      <c r="Y721" s="1"/>
      <c r="AB721" s="3"/>
    </row>
    <row r="722" ht="15.75" customHeight="1">
      <c r="E722" s="1"/>
      <c r="H722" s="1"/>
      <c r="K722" s="1"/>
      <c r="N722" s="1"/>
      <c r="Q722" s="1"/>
      <c r="T722" s="1"/>
      <c r="W722" s="1"/>
      <c r="Y722" s="1"/>
      <c r="AB722" s="3"/>
    </row>
    <row r="723" ht="15.75" customHeight="1">
      <c r="E723" s="1"/>
      <c r="H723" s="1"/>
      <c r="K723" s="1"/>
      <c r="N723" s="1"/>
      <c r="Q723" s="1"/>
      <c r="T723" s="1"/>
      <c r="W723" s="1"/>
      <c r="Y723" s="1"/>
      <c r="AB723" s="3"/>
    </row>
    <row r="724" ht="15.75" customHeight="1">
      <c r="E724" s="1"/>
      <c r="H724" s="1"/>
      <c r="K724" s="1"/>
      <c r="N724" s="1"/>
      <c r="Q724" s="1"/>
      <c r="T724" s="1"/>
      <c r="W724" s="1"/>
      <c r="Y724" s="1"/>
      <c r="AB724" s="3"/>
    </row>
    <row r="725" ht="15.75" customHeight="1">
      <c r="E725" s="1"/>
      <c r="H725" s="1"/>
      <c r="K725" s="1"/>
      <c r="N725" s="1"/>
      <c r="Q725" s="1"/>
      <c r="T725" s="1"/>
      <c r="W725" s="1"/>
      <c r="Y725" s="1"/>
      <c r="AB725" s="3"/>
    </row>
    <row r="726" ht="15.75" customHeight="1">
      <c r="E726" s="1"/>
      <c r="H726" s="1"/>
      <c r="K726" s="1"/>
      <c r="N726" s="1"/>
      <c r="Q726" s="1"/>
      <c r="T726" s="1"/>
      <c r="W726" s="1"/>
      <c r="Y726" s="1"/>
      <c r="AB726" s="3"/>
    </row>
    <row r="727" ht="15.75" customHeight="1">
      <c r="E727" s="1"/>
      <c r="H727" s="1"/>
      <c r="K727" s="1"/>
      <c r="N727" s="1"/>
      <c r="Q727" s="1"/>
      <c r="T727" s="1"/>
      <c r="W727" s="1"/>
      <c r="Y727" s="1"/>
      <c r="AB727" s="3"/>
    </row>
    <row r="728" ht="15.75" customHeight="1">
      <c r="E728" s="1"/>
      <c r="H728" s="1"/>
      <c r="K728" s="1"/>
      <c r="N728" s="1"/>
      <c r="Q728" s="1"/>
      <c r="T728" s="1"/>
      <c r="W728" s="1"/>
      <c r="Y728" s="1"/>
      <c r="AB728" s="3"/>
    </row>
    <row r="729" ht="15.75" customHeight="1">
      <c r="E729" s="1"/>
      <c r="H729" s="1"/>
      <c r="K729" s="1"/>
      <c r="N729" s="1"/>
      <c r="Q729" s="1"/>
      <c r="T729" s="1"/>
      <c r="W729" s="1"/>
      <c r="Y729" s="1"/>
      <c r="AB729" s="3"/>
    </row>
    <row r="730" ht="15.75" customHeight="1">
      <c r="E730" s="1"/>
      <c r="H730" s="1"/>
      <c r="K730" s="1"/>
      <c r="N730" s="1"/>
      <c r="Q730" s="1"/>
      <c r="T730" s="1"/>
      <c r="W730" s="1"/>
      <c r="Y730" s="1"/>
      <c r="AB730" s="3"/>
    </row>
    <row r="731" ht="15.75" customHeight="1">
      <c r="E731" s="1"/>
      <c r="H731" s="1"/>
      <c r="K731" s="1"/>
      <c r="N731" s="1"/>
      <c r="Q731" s="1"/>
      <c r="T731" s="1"/>
      <c r="W731" s="1"/>
      <c r="Y731" s="1"/>
      <c r="AB731" s="3"/>
    </row>
    <row r="732" ht="15.75" customHeight="1">
      <c r="E732" s="1"/>
      <c r="H732" s="1"/>
      <c r="K732" s="1"/>
      <c r="N732" s="1"/>
      <c r="Q732" s="1"/>
      <c r="T732" s="1"/>
      <c r="W732" s="1"/>
      <c r="Y732" s="1"/>
      <c r="AB732" s="3"/>
    </row>
    <row r="733" ht="15.75" customHeight="1">
      <c r="E733" s="1"/>
      <c r="H733" s="1"/>
      <c r="K733" s="1"/>
      <c r="N733" s="1"/>
      <c r="Q733" s="1"/>
      <c r="T733" s="1"/>
      <c r="W733" s="1"/>
      <c r="Y733" s="1"/>
      <c r="AB733" s="3"/>
    </row>
    <row r="734" ht="15.75" customHeight="1">
      <c r="E734" s="1"/>
      <c r="H734" s="1"/>
      <c r="K734" s="1"/>
      <c r="N734" s="1"/>
      <c r="Q734" s="1"/>
      <c r="T734" s="1"/>
      <c r="W734" s="1"/>
      <c r="Y734" s="1"/>
      <c r="AB734" s="3"/>
    </row>
    <row r="735" ht="15.75" customHeight="1">
      <c r="E735" s="1"/>
      <c r="H735" s="1"/>
      <c r="K735" s="1"/>
      <c r="N735" s="1"/>
      <c r="Q735" s="1"/>
      <c r="T735" s="1"/>
      <c r="W735" s="1"/>
      <c r="Y735" s="1"/>
      <c r="AB735" s="3"/>
    </row>
    <row r="736" ht="15.75" customHeight="1">
      <c r="E736" s="1"/>
      <c r="H736" s="1"/>
      <c r="K736" s="1"/>
      <c r="N736" s="1"/>
      <c r="Q736" s="1"/>
      <c r="T736" s="1"/>
      <c r="W736" s="1"/>
      <c r="Y736" s="1"/>
      <c r="AB736" s="3"/>
    </row>
    <row r="737" ht="15.75" customHeight="1">
      <c r="E737" s="1"/>
      <c r="H737" s="1"/>
      <c r="K737" s="1"/>
      <c r="N737" s="1"/>
      <c r="Q737" s="1"/>
      <c r="T737" s="1"/>
      <c r="W737" s="1"/>
      <c r="Y737" s="1"/>
      <c r="AB737" s="3"/>
    </row>
    <row r="738" ht="15.75" customHeight="1">
      <c r="E738" s="1"/>
      <c r="H738" s="1"/>
      <c r="K738" s="1"/>
      <c r="N738" s="1"/>
      <c r="Q738" s="1"/>
      <c r="T738" s="1"/>
      <c r="W738" s="1"/>
      <c r="Y738" s="1"/>
      <c r="AB738" s="3"/>
    </row>
    <row r="739" ht="15.75" customHeight="1">
      <c r="E739" s="1"/>
      <c r="H739" s="1"/>
      <c r="K739" s="1"/>
      <c r="N739" s="1"/>
      <c r="Q739" s="1"/>
      <c r="T739" s="1"/>
      <c r="W739" s="1"/>
      <c r="Y739" s="1"/>
      <c r="AB739" s="3"/>
    </row>
    <row r="740" ht="15.75" customHeight="1">
      <c r="E740" s="1"/>
      <c r="H740" s="1"/>
      <c r="K740" s="1"/>
      <c r="N740" s="1"/>
      <c r="Q740" s="1"/>
      <c r="T740" s="1"/>
      <c r="W740" s="1"/>
      <c r="Y740" s="1"/>
      <c r="AB740" s="3"/>
    </row>
    <row r="741" ht="15.75" customHeight="1">
      <c r="E741" s="1"/>
      <c r="H741" s="1"/>
      <c r="K741" s="1"/>
      <c r="N741" s="1"/>
      <c r="Q741" s="1"/>
      <c r="T741" s="1"/>
      <c r="W741" s="1"/>
      <c r="Y741" s="1"/>
      <c r="AB741" s="3"/>
    </row>
    <row r="742" ht="15.75" customHeight="1">
      <c r="E742" s="1"/>
      <c r="H742" s="1"/>
      <c r="K742" s="1"/>
      <c r="N742" s="1"/>
      <c r="Q742" s="1"/>
      <c r="T742" s="1"/>
      <c r="W742" s="1"/>
      <c r="Y742" s="1"/>
      <c r="AB742" s="3"/>
    </row>
    <row r="743" ht="15.75" customHeight="1">
      <c r="E743" s="1"/>
      <c r="H743" s="1"/>
      <c r="K743" s="1"/>
      <c r="N743" s="1"/>
      <c r="Q743" s="1"/>
      <c r="T743" s="1"/>
      <c r="W743" s="1"/>
      <c r="Y743" s="1"/>
      <c r="AB743" s="3"/>
    </row>
    <row r="744" ht="15.75" customHeight="1">
      <c r="E744" s="1"/>
      <c r="H744" s="1"/>
      <c r="K744" s="1"/>
      <c r="N744" s="1"/>
      <c r="Q744" s="1"/>
      <c r="T744" s="1"/>
      <c r="W744" s="1"/>
      <c r="Y744" s="1"/>
      <c r="AB744" s="3"/>
    </row>
    <row r="745" ht="15.75" customHeight="1">
      <c r="E745" s="1"/>
      <c r="H745" s="1"/>
      <c r="K745" s="1"/>
      <c r="N745" s="1"/>
      <c r="Q745" s="1"/>
      <c r="T745" s="1"/>
      <c r="W745" s="1"/>
      <c r="Y745" s="1"/>
      <c r="AB745" s="3"/>
    </row>
    <row r="746" ht="15.75" customHeight="1">
      <c r="E746" s="1"/>
      <c r="H746" s="1"/>
      <c r="K746" s="1"/>
      <c r="N746" s="1"/>
      <c r="Q746" s="1"/>
      <c r="T746" s="1"/>
      <c r="W746" s="1"/>
      <c r="Y746" s="1"/>
      <c r="AB746" s="3"/>
    </row>
    <row r="747" ht="15.75" customHeight="1">
      <c r="E747" s="1"/>
      <c r="H747" s="1"/>
      <c r="K747" s="1"/>
      <c r="N747" s="1"/>
      <c r="Q747" s="1"/>
      <c r="T747" s="1"/>
      <c r="W747" s="1"/>
      <c r="Y747" s="1"/>
      <c r="AB747" s="3"/>
    </row>
    <row r="748" ht="15.75" customHeight="1">
      <c r="E748" s="1"/>
      <c r="H748" s="1"/>
      <c r="K748" s="1"/>
      <c r="N748" s="1"/>
      <c r="Q748" s="1"/>
      <c r="T748" s="1"/>
      <c r="W748" s="1"/>
      <c r="Y748" s="1"/>
      <c r="AB748" s="3"/>
    </row>
    <row r="749" ht="15.75" customHeight="1">
      <c r="E749" s="1"/>
      <c r="H749" s="1"/>
      <c r="K749" s="1"/>
      <c r="N749" s="1"/>
      <c r="Q749" s="1"/>
      <c r="T749" s="1"/>
      <c r="W749" s="1"/>
      <c r="Y749" s="1"/>
      <c r="AB749" s="3"/>
    </row>
    <row r="750" ht="15.75" customHeight="1">
      <c r="E750" s="1"/>
      <c r="H750" s="1"/>
      <c r="K750" s="1"/>
      <c r="N750" s="1"/>
      <c r="Q750" s="1"/>
      <c r="T750" s="1"/>
      <c r="W750" s="1"/>
      <c r="Y750" s="1"/>
      <c r="AB750" s="3"/>
    </row>
    <row r="751" ht="15.75" customHeight="1">
      <c r="E751" s="1"/>
      <c r="H751" s="1"/>
      <c r="K751" s="1"/>
      <c r="N751" s="1"/>
      <c r="Q751" s="1"/>
      <c r="T751" s="1"/>
      <c r="W751" s="1"/>
      <c r="Y751" s="1"/>
      <c r="AB751" s="3"/>
    </row>
    <row r="752" ht="15.75" customHeight="1">
      <c r="E752" s="1"/>
      <c r="H752" s="1"/>
      <c r="K752" s="1"/>
      <c r="N752" s="1"/>
      <c r="Q752" s="1"/>
      <c r="T752" s="1"/>
      <c r="W752" s="1"/>
      <c r="Y752" s="1"/>
      <c r="AB752" s="3"/>
    </row>
    <row r="753" ht="15.75" customHeight="1">
      <c r="E753" s="1"/>
      <c r="H753" s="1"/>
      <c r="K753" s="1"/>
      <c r="N753" s="1"/>
      <c r="Q753" s="1"/>
      <c r="T753" s="1"/>
      <c r="W753" s="1"/>
      <c r="Y753" s="1"/>
      <c r="AB753" s="3"/>
    </row>
    <row r="754" ht="15.75" customHeight="1">
      <c r="E754" s="1"/>
      <c r="H754" s="1"/>
      <c r="K754" s="1"/>
      <c r="N754" s="1"/>
      <c r="Q754" s="1"/>
      <c r="T754" s="1"/>
      <c r="W754" s="1"/>
      <c r="Y754" s="1"/>
      <c r="AB754" s="3"/>
    </row>
    <row r="755" ht="15.75" customHeight="1">
      <c r="E755" s="1"/>
      <c r="H755" s="1"/>
      <c r="K755" s="1"/>
      <c r="N755" s="1"/>
      <c r="Q755" s="1"/>
      <c r="T755" s="1"/>
      <c r="W755" s="1"/>
      <c r="Y755" s="1"/>
      <c r="AB755" s="3"/>
    </row>
    <row r="756" ht="15.75" customHeight="1">
      <c r="E756" s="1"/>
      <c r="H756" s="1"/>
      <c r="K756" s="1"/>
      <c r="N756" s="1"/>
      <c r="Q756" s="1"/>
      <c r="T756" s="1"/>
      <c r="W756" s="1"/>
      <c r="Y756" s="1"/>
      <c r="AB756" s="3"/>
    </row>
    <row r="757" ht="15.75" customHeight="1">
      <c r="E757" s="1"/>
      <c r="H757" s="1"/>
      <c r="K757" s="1"/>
      <c r="N757" s="1"/>
      <c r="Q757" s="1"/>
      <c r="T757" s="1"/>
      <c r="W757" s="1"/>
      <c r="Y757" s="1"/>
      <c r="AB757" s="3"/>
    </row>
    <row r="758" ht="15.75" customHeight="1">
      <c r="E758" s="1"/>
      <c r="H758" s="1"/>
      <c r="K758" s="1"/>
      <c r="N758" s="1"/>
      <c r="Q758" s="1"/>
      <c r="T758" s="1"/>
      <c r="W758" s="1"/>
      <c r="Y758" s="1"/>
      <c r="AB758" s="3"/>
    </row>
    <row r="759" ht="15.75" customHeight="1">
      <c r="E759" s="1"/>
      <c r="H759" s="1"/>
      <c r="K759" s="1"/>
      <c r="N759" s="1"/>
      <c r="Q759" s="1"/>
      <c r="T759" s="1"/>
      <c r="W759" s="1"/>
      <c r="Y759" s="1"/>
      <c r="AB759" s="3"/>
    </row>
    <row r="760" ht="15.75" customHeight="1">
      <c r="E760" s="1"/>
      <c r="H760" s="1"/>
      <c r="K760" s="1"/>
      <c r="N760" s="1"/>
      <c r="Q760" s="1"/>
      <c r="T760" s="1"/>
      <c r="W760" s="1"/>
      <c r="Y760" s="1"/>
      <c r="AB760" s="3"/>
    </row>
    <row r="761" ht="15.75" customHeight="1">
      <c r="E761" s="1"/>
      <c r="H761" s="1"/>
      <c r="K761" s="1"/>
      <c r="N761" s="1"/>
      <c r="Q761" s="1"/>
      <c r="T761" s="1"/>
      <c r="W761" s="1"/>
      <c r="Y761" s="1"/>
      <c r="AB761" s="3"/>
    </row>
    <row r="762" ht="15.75" customHeight="1">
      <c r="E762" s="1"/>
      <c r="H762" s="1"/>
      <c r="K762" s="1"/>
      <c r="N762" s="1"/>
      <c r="Q762" s="1"/>
      <c r="T762" s="1"/>
      <c r="W762" s="1"/>
      <c r="Y762" s="1"/>
      <c r="AB762" s="3"/>
    </row>
    <row r="763" ht="15.75" customHeight="1">
      <c r="E763" s="1"/>
      <c r="H763" s="1"/>
      <c r="K763" s="1"/>
      <c r="N763" s="1"/>
      <c r="Q763" s="1"/>
      <c r="T763" s="1"/>
      <c r="W763" s="1"/>
      <c r="Y763" s="1"/>
      <c r="AB763" s="3"/>
    </row>
    <row r="764" ht="15.75" customHeight="1">
      <c r="E764" s="1"/>
      <c r="H764" s="1"/>
      <c r="K764" s="1"/>
      <c r="N764" s="1"/>
      <c r="Q764" s="1"/>
      <c r="T764" s="1"/>
      <c r="W764" s="1"/>
      <c r="Y764" s="1"/>
      <c r="AB764" s="3"/>
    </row>
    <row r="765" ht="15.75" customHeight="1">
      <c r="E765" s="1"/>
      <c r="H765" s="1"/>
      <c r="K765" s="1"/>
      <c r="N765" s="1"/>
      <c r="Q765" s="1"/>
      <c r="T765" s="1"/>
      <c r="W765" s="1"/>
      <c r="Y765" s="1"/>
      <c r="AB765" s="3"/>
    </row>
    <row r="766" ht="15.75" customHeight="1">
      <c r="E766" s="1"/>
      <c r="H766" s="1"/>
      <c r="K766" s="1"/>
      <c r="N766" s="1"/>
      <c r="Q766" s="1"/>
      <c r="T766" s="1"/>
      <c r="W766" s="1"/>
      <c r="Y766" s="1"/>
      <c r="AB766" s="3"/>
    </row>
    <row r="767" ht="15.75" customHeight="1">
      <c r="E767" s="1"/>
      <c r="H767" s="1"/>
      <c r="K767" s="1"/>
      <c r="N767" s="1"/>
      <c r="Q767" s="1"/>
      <c r="T767" s="1"/>
      <c r="W767" s="1"/>
      <c r="Y767" s="1"/>
      <c r="AB767" s="3"/>
    </row>
    <row r="768" ht="15.75" customHeight="1">
      <c r="E768" s="1"/>
      <c r="H768" s="1"/>
      <c r="K768" s="1"/>
      <c r="N768" s="1"/>
      <c r="Q768" s="1"/>
      <c r="T768" s="1"/>
      <c r="W768" s="1"/>
      <c r="Y768" s="1"/>
      <c r="AB768" s="3"/>
    </row>
    <row r="769" ht="15.75" customHeight="1">
      <c r="E769" s="1"/>
      <c r="H769" s="1"/>
      <c r="K769" s="1"/>
      <c r="N769" s="1"/>
      <c r="Q769" s="1"/>
      <c r="T769" s="1"/>
      <c r="W769" s="1"/>
      <c r="Y769" s="1"/>
      <c r="AB769" s="3"/>
    </row>
    <row r="770" ht="15.75" customHeight="1">
      <c r="E770" s="1"/>
      <c r="H770" s="1"/>
      <c r="K770" s="1"/>
      <c r="N770" s="1"/>
      <c r="Q770" s="1"/>
      <c r="T770" s="1"/>
      <c r="W770" s="1"/>
      <c r="Y770" s="1"/>
      <c r="AB770" s="3"/>
    </row>
    <row r="771" ht="15.75" customHeight="1">
      <c r="E771" s="1"/>
      <c r="H771" s="1"/>
      <c r="K771" s="1"/>
      <c r="N771" s="1"/>
      <c r="Q771" s="1"/>
      <c r="T771" s="1"/>
      <c r="W771" s="1"/>
      <c r="Y771" s="1"/>
      <c r="AB771" s="3"/>
    </row>
    <row r="772" ht="15.75" customHeight="1">
      <c r="E772" s="1"/>
      <c r="H772" s="1"/>
      <c r="K772" s="1"/>
      <c r="N772" s="1"/>
      <c r="Q772" s="1"/>
      <c r="T772" s="1"/>
      <c r="W772" s="1"/>
      <c r="Y772" s="1"/>
      <c r="AB772" s="3"/>
    </row>
    <row r="773" ht="15.75" customHeight="1">
      <c r="E773" s="1"/>
      <c r="H773" s="1"/>
      <c r="K773" s="1"/>
      <c r="N773" s="1"/>
      <c r="Q773" s="1"/>
      <c r="T773" s="1"/>
      <c r="W773" s="1"/>
      <c r="Y773" s="1"/>
      <c r="AB773" s="3"/>
    </row>
    <row r="774" ht="15.75" customHeight="1">
      <c r="E774" s="1"/>
      <c r="H774" s="1"/>
      <c r="K774" s="1"/>
      <c r="N774" s="1"/>
      <c r="Q774" s="1"/>
      <c r="T774" s="1"/>
      <c r="W774" s="1"/>
      <c r="Y774" s="1"/>
      <c r="AB774" s="3"/>
    </row>
    <row r="775" ht="15.75" customHeight="1">
      <c r="E775" s="1"/>
      <c r="H775" s="1"/>
      <c r="K775" s="1"/>
      <c r="N775" s="1"/>
      <c r="Q775" s="1"/>
      <c r="T775" s="1"/>
      <c r="W775" s="1"/>
      <c r="Y775" s="1"/>
      <c r="AB775" s="3"/>
    </row>
    <row r="776" ht="15.75" customHeight="1">
      <c r="E776" s="1"/>
      <c r="H776" s="1"/>
      <c r="K776" s="1"/>
      <c r="N776" s="1"/>
      <c r="Q776" s="1"/>
      <c r="T776" s="1"/>
      <c r="W776" s="1"/>
      <c r="Y776" s="1"/>
      <c r="AB776" s="3"/>
    </row>
    <row r="777" ht="15.75" customHeight="1">
      <c r="E777" s="1"/>
      <c r="H777" s="1"/>
      <c r="K777" s="1"/>
      <c r="N777" s="1"/>
      <c r="Q777" s="1"/>
      <c r="T777" s="1"/>
      <c r="W777" s="1"/>
      <c r="Y777" s="1"/>
      <c r="AB777" s="3"/>
    </row>
    <row r="778" ht="15.75" customHeight="1">
      <c r="E778" s="1"/>
      <c r="H778" s="1"/>
      <c r="K778" s="1"/>
      <c r="N778" s="1"/>
      <c r="Q778" s="1"/>
      <c r="T778" s="1"/>
      <c r="W778" s="1"/>
      <c r="Y778" s="1"/>
      <c r="AB778" s="3"/>
    </row>
    <row r="779" ht="15.75" customHeight="1">
      <c r="E779" s="1"/>
      <c r="H779" s="1"/>
      <c r="K779" s="1"/>
      <c r="N779" s="1"/>
      <c r="Q779" s="1"/>
      <c r="T779" s="1"/>
      <c r="W779" s="1"/>
      <c r="Y779" s="1"/>
      <c r="AB779" s="3"/>
    </row>
    <row r="780" ht="15.75" customHeight="1">
      <c r="E780" s="1"/>
      <c r="H780" s="1"/>
      <c r="K780" s="1"/>
      <c r="N780" s="1"/>
      <c r="Q780" s="1"/>
      <c r="T780" s="1"/>
      <c r="W780" s="1"/>
      <c r="Y780" s="1"/>
      <c r="AB780" s="3"/>
    </row>
    <row r="781" ht="15.75" customHeight="1">
      <c r="E781" s="1"/>
      <c r="H781" s="1"/>
      <c r="K781" s="1"/>
      <c r="N781" s="1"/>
      <c r="Q781" s="1"/>
      <c r="T781" s="1"/>
      <c r="W781" s="1"/>
      <c r="Y781" s="1"/>
      <c r="AB781" s="3"/>
    </row>
    <row r="782" ht="15.75" customHeight="1">
      <c r="E782" s="1"/>
      <c r="H782" s="1"/>
      <c r="K782" s="1"/>
      <c r="N782" s="1"/>
      <c r="Q782" s="1"/>
      <c r="T782" s="1"/>
      <c r="W782" s="1"/>
      <c r="Y782" s="1"/>
      <c r="AB782" s="3"/>
    </row>
    <row r="783" ht="15.75" customHeight="1">
      <c r="E783" s="1"/>
      <c r="H783" s="1"/>
      <c r="K783" s="1"/>
      <c r="N783" s="1"/>
      <c r="Q783" s="1"/>
      <c r="T783" s="1"/>
      <c r="W783" s="1"/>
      <c r="Y783" s="1"/>
      <c r="AB783" s="3"/>
    </row>
    <row r="784" ht="15.75" customHeight="1">
      <c r="E784" s="1"/>
      <c r="H784" s="1"/>
      <c r="K784" s="1"/>
      <c r="N784" s="1"/>
      <c r="Q784" s="1"/>
      <c r="T784" s="1"/>
      <c r="W784" s="1"/>
      <c r="Y784" s="1"/>
      <c r="AB784" s="3"/>
    </row>
    <row r="785" ht="15.75" customHeight="1">
      <c r="E785" s="1"/>
      <c r="H785" s="1"/>
      <c r="K785" s="1"/>
      <c r="N785" s="1"/>
      <c r="Q785" s="1"/>
      <c r="T785" s="1"/>
      <c r="W785" s="1"/>
      <c r="Y785" s="1"/>
      <c r="AB785" s="3"/>
    </row>
    <row r="786" ht="15.75" customHeight="1">
      <c r="E786" s="1"/>
      <c r="H786" s="1"/>
      <c r="K786" s="1"/>
      <c r="N786" s="1"/>
      <c r="Q786" s="1"/>
      <c r="T786" s="1"/>
      <c r="W786" s="1"/>
      <c r="Y786" s="1"/>
      <c r="AB786" s="3"/>
    </row>
    <row r="787" ht="15.75" customHeight="1">
      <c r="E787" s="1"/>
      <c r="H787" s="1"/>
      <c r="K787" s="1"/>
      <c r="N787" s="1"/>
      <c r="Q787" s="1"/>
      <c r="T787" s="1"/>
      <c r="W787" s="1"/>
      <c r="Y787" s="1"/>
      <c r="AB787" s="3"/>
    </row>
    <row r="788" ht="15.75" customHeight="1">
      <c r="E788" s="1"/>
      <c r="H788" s="1"/>
      <c r="K788" s="1"/>
      <c r="N788" s="1"/>
      <c r="Q788" s="1"/>
      <c r="T788" s="1"/>
      <c r="W788" s="1"/>
      <c r="Y788" s="1"/>
      <c r="AB788" s="3"/>
    </row>
    <row r="789" ht="15.75" customHeight="1">
      <c r="E789" s="1"/>
      <c r="H789" s="1"/>
      <c r="K789" s="1"/>
      <c r="N789" s="1"/>
      <c r="Q789" s="1"/>
      <c r="T789" s="1"/>
      <c r="W789" s="1"/>
      <c r="Y789" s="1"/>
      <c r="AB789" s="3"/>
    </row>
    <row r="790" ht="15.75" customHeight="1">
      <c r="E790" s="1"/>
      <c r="H790" s="1"/>
      <c r="K790" s="1"/>
      <c r="N790" s="1"/>
      <c r="Q790" s="1"/>
      <c r="T790" s="1"/>
      <c r="W790" s="1"/>
      <c r="Y790" s="1"/>
      <c r="AB790" s="3"/>
    </row>
    <row r="791" ht="15.75" customHeight="1">
      <c r="E791" s="1"/>
      <c r="H791" s="1"/>
      <c r="K791" s="1"/>
      <c r="N791" s="1"/>
      <c r="Q791" s="1"/>
      <c r="T791" s="1"/>
      <c r="W791" s="1"/>
      <c r="Y791" s="1"/>
      <c r="AB791" s="3"/>
    </row>
    <row r="792" ht="15.75" customHeight="1">
      <c r="E792" s="1"/>
      <c r="H792" s="1"/>
      <c r="K792" s="1"/>
      <c r="N792" s="1"/>
      <c r="Q792" s="1"/>
      <c r="T792" s="1"/>
      <c r="W792" s="1"/>
      <c r="Y792" s="1"/>
      <c r="AB792" s="3"/>
    </row>
    <row r="793" ht="15.75" customHeight="1">
      <c r="E793" s="1"/>
      <c r="H793" s="1"/>
      <c r="K793" s="1"/>
      <c r="N793" s="1"/>
      <c r="Q793" s="1"/>
      <c r="T793" s="1"/>
      <c r="W793" s="1"/>
      <c r="Y793" s="1"/>
      <c r="AB793" s="3"/>
    </row>
    <row r="794" ht="15.75" customHeight="1">
      <c r="E794" s="1"/>
      <c r="H794" s="1"/>
      <c r="K794" s="1"/>
      <c r="N794" s="1"/>
      <c r="Q794" s="1"/>
      <c r="T794" s="1"/>
      <c r="W794" s="1"/>
      <c r="Y794" s="1"/>
      <c r="AB794" s="3"/>
    </row>
    <row r="795" ht="15.75" customHeight="1">
      <c r="E795" s="1"/>
      <c r="H795" s="1"/>
      <c r="K795" s="1"/>
      <c r="N795" s="1"/>
      <c r="Q795" s="1"/>
      <c r="T795" s="1"/>
      <c r="W795" s="1"/>
      <c r="Y795" s="1"/>
      <c r="AB795" s="3"/>
    </row>
    <row r="796" ht="15.75" customHeight="1">
      <c r="E796" s="1"/>
      <c r="H796" s="1"/>
      <c r="K796" s="1"/>
      <c r="N796" s="1"/>
      <c r="Q796" s="1"/>
      <c r="T796" s="1"/>
      <c r="W796" s="1"/>
      <c r="Y796" s="1"/>
      <c r="AB796" s="3"/>
    </row>
    <row r="797" ht="15.75" customHeight="1">
      <c r="E797" s="1"/>
      <c r="H797" s="1"/>
      <c r="K797" s="1"/>
      <c r="N797" s="1"/>
      <c r="Q797" s="1"/>
      <c r="T797" s="1"/>
      <c r="W797" s="1"/>
      <c r="Y797" s="1"/>
      <c r="AB797" s="3"/>
    </row>
    <row r="798" ht="15.75" customHeight="1">
      <c r="E798" s="1"/>
      <c r="H798" s="1"/>
      <c r="K798" s="1"/>
      <c r="N798" s="1"/>
      <c r="Q798" s="1"/>
      <c r="T798" s="1"/>
      <c r="W798" s="1"/>
      <c r="Y798" s="1"/>
      <c r="AB798" s="3"/>
    </row>
    <row r="799" ht="15.75" customHeight="1">
      <c r="E799" s="1"/>
      <c r="H799" s="1"/>
      <c r="K799" s="1"/>
      <c r="N799" s="1"/>
      <c r="Q799" s="1"/>
      <c r="T799" s="1"/>
      <c r="W799" s="1"/>
      <c r="Y799" s="1"/>
      <c r="AB799" s="3"/>
    </row>
    <row r="800" ht="15.75" customHeight="1">
      <c r="E800" s="1"/>
      <c r="H800" s="1"/>
      <c r="K800" s="1"/>
      <c r="N800" s="1"/>
      <c r="Q800" s="1"/>
      <c r="T800" s="1"/>
      <c r="W800" s="1"/>
      <c r="Y800" s="1"/>
      <c r="AB800" s="3"/>
    </row>
    <row r="801" ht="15.75" customHeight="1">
      <c r="E801" s="1"/>
      <c r="H801" s="1"/>
      <c r="K801" s="1"/>
      <c r="N801" s="1"/>
      <c r="Q801" s="1"/>
      <c r="T801" s="1"/>
      <c r="W801" s="1"/>
      <c r="Y801" s="1"/>
      <c r="AB801" s="3"/>
    </row>
    <row r="802" ht="15.75" customHeight="1">
      <c r="E802" s="1"/>
      <c r="H802" s="1"/>
      <c r="K802" s="1"/>
      <c r="N802" s="1"/>
      <c r="Q802" s="1"/>
      <c r="T802" s="1"/>
      <c r="W802" s="1"/>
      <c r="Y802" s="1"/>
      <c r="AB802" s="3"/>
    </row>
    <row r="803" ht="15.75" customHeight="1">
      <c r="E803" s="1"/>
      <c r="H803" s="1"/>
      <c r="K803" s="1"/>
      <c r="N803" s="1"/>
      <c r="Q803" s="1"/>
      <c r="T803" s="1"/>
      <c r="W803" s="1"/>
      <c r="Y803" s="1"/>
      <c r="AB803" s="3"/>
    </row>
    <row r="804" ht="15.75" customHeight="1">
      <c r="E804" s="1"/>
      <c r="H804" s="1"/>
      <c r="K804" s="1"/>
      <c r="N804" s="1"/>
      <c r="Q804" s="1"/>
      <c r="T804" s="1"/>
      <c r="W804" s="1"/>
      <c r="Y804" s="1"/>
      <c r="AB804" s="3"/>
    </row>
    <row r="805" ht="15.75" customHeight="1">
      <c r="E805" s="1"/>
      <c r="H805" s="1"/>
      <c r="K805" s="1"/>
      <c r="N805" s="1"/>
      <c r="Q805" s="1"/>
      <c r="T805" s="1"/>
      <c r="W805" s="1"/>
      <c r="Y805" s="1"/>
      <c r="AB805" s="3"/>
    </row>
    <row r="806" ht="15.75" customHeight="1">
      <c r="E806" s="1"/>
      <c r="H806" s="1"/>
      <c r="K806" s="1"/>
      <c r="N806" s="1"/>
      <c r="Q806" s="1"/>
      <c r="T806" s="1"/>
      <c r="W806" s="1"/>
      <c r="Y806" s="1"/>
      <c r="AB806" s="3"/>
    </row>
    <row r="807" ht="15.75" customHeight="1">
      <c r="E807" s="1"/>
      <c r="H807" s="1"/>
      <c r="K807" s="1"/>
      <c r="N807" s="1"/>
      <c r="Q807" s="1"/>
      <c r="T807" s="1"/>
      <c r="W807" s="1"/>
      <c r="Y807" s="1"/>
      <c r="AB807" s="3"/>
    </row>
    <row r="808" ht="15.75" customHeight="1">
      <c r="E808" s="1"/>
      <c r="H808" s="1"/>
      <c r="K808" s="1"/>
      <c r="N808" s="1"/>
      <c r="Q808" s="1"/>
      <c r="T808" s="1"/>
      <c r="W808" s="1"/>
      <c r="Y808" s="1"/>
      <c r="AB808" s="3"/>
    </row>
    <row r="809" ht="15.75" customHeight="1">
      <c r="E809" s="1"/>
      <c r="H809" s="1"/>
      <c r="K809" s="1"/>
      <c r="N809" s="1"/>
      <c r="Q809" s="1"/>
      <c r="T809" s="1"/>
      <c r="W809" s="1"/>
      <c r="Y809" s="1"/>
      <c r="AB809" s="3"/>
    </row>
    <row r="810" ht="15.75" customHeight="1">
      <c r="E810" s="1"/>
      <c r="H810" s="1"/>
      <c r="K810" s="1"/>
      <c r="N810" s="1"/>
      <c r="Q810" s="1"/>
      <c r="T810" s="1"/>
      <c r="W810" s="1"/>
      <c r="Y810" s="1"/>
      <c r="AB810" s="3"/>
    </row>
    <row r="811" ht="15.75" customHeight="1">
      <c r="E811" s="1"/>
      <c r="H811" s="1"/>
      <c r="K811" s="1"/>
      <c r="N811" s="1"/>
      <c r="Q811" s="1"/>
      <c r="T811" s="1"/>
      <c r="W811" s="1"/>
      <c r="Y811" s="1"/>
      <c r="AB811" s="3"/>
    </row>
    <row r="812" ht="15.75" customHeight="1">
      <c r="E812" s="1"/>
      <c r="H812" s="1"/>
      <c r="K812" s="1"/>
      <c r="N812" s="1"/>
      <c r="Q812" s="1"/>
      <c r="T812" s="1"/>
      <c r="W812" s="1"/>
      <c r="Y812" s="1"/>
      <c r="AB812" s="3"/>
    </row>
    <row r="813" ht="15.75" customHeight="1">
      <c r="E813" s="1"/>
      <c r="H813" s="1"/>
      <c r="K813" s="1"/>
      <c r="N813" s="1"/>
      <c r="Q813" s="1"/>
      <c r="T813" s="1"/>
      <c r="W813" s="1"/>
      <c r="Y813" s="1"/>
      <c r="AB813" s="3"/>
    </row>
    <row r="814" ht="15.75" customHeight="1">
      <c r="E814" s="1"/>
      <c r="H814" s="1"/>
      <c r="K814" s="1"/>
      <c r="N814" s="1"/>
      <c r="Q814" s="1"/>
      <c r="T814" s="1"/>
      <c r="W814" s="1"/>
      <c r="Y814" s="1"/>
      <c r="AB814" s="3"/>
    </row>
    <row r="815" ht="15.75" customHeight="1">
      <c r="E815" s="1"/>
      <c r="H815" s="1"/>
      <c r="K815" s="1"/>
      <c r="N815" s="1"/>
      <c r="Q815" s="1"/>
      <c r="T815" s="1"/>
      <c r="W815" s="1"/>
      <c r="Y815" s="1"/>
      <c r="AB815" s="3"/>
    </row>
    <row r="816" ht="15.75" customHeight="1">
      <c r="E816" s="1"/>
      <c r="H816" s="1"/>
      <c r="K816" s="1"/>
      <c r="N816" s="1"/>
      <c r="Q816" s="1"/>
      <c r="T816" s="1"/>
      <c r="W816" s="1"/>
      <c r="Y816" s="1"/>
      <c r="AB816" s="3"/>
    </row>
    <row r="817" ht="15.75" customHeight="1">
      <c r="E817" s="1"/>
      <c r="H817" s="1"/>
      <c r="K817" s="1"/>
      <c r="N817" s="1"/>
      <c r="Q817" s="1"/>
      <c r="T817" s="1"/>
      <c r="W817" s="1"/>
      <c r="Y817" s="1"/>
      <c r="AB817" s="3"/>
    </row>
    <row r="818" ht="15.75" customHeight="1">
      <c r="E818" s="1"/>
      <c r="H818" s="1"/>
      <c r="K818" s="1"/>
      <c r="N818" s="1"/>
      <c r="Q818" s="1"/>
      <c r="T818" s="1"/>
      <c r="W818" s="1"/>
      <c r="Y818" s="1"/>
      <c r="AB818" s="3"/>
    </row>
    <row r="819" ht="15.75" customHeight="1">
      <c r="E819" s="1"/>
      <c r="H819" s="1"/>
      <c r="K819" s="1"/>
      <c r="N819" s="1"/>
      <c r="Q819" s="1"/>
      <c r="T819" s="1"/>
      <c r="W819" s="1"/>
      <c r="Y819" s="1"/>
      <c r="AB819" s="3"/>
    </row>
    <row r="820" ht="15.75" customHeight="1">
      <c r="E820" s="1"/>
      <c r="H820" s="1"/>
      <c r="K820" s="1"/>
      <c r="N820" s="1"/>
      <c r="Q820" s="1"/>
      <c r="T820" s="1"/>
      <c r="W820" s="1"/>
      <c r="Y820" s="1"/>
      <c r="AB820" s="3"/>
    </row>
    <row r="821" ht="15.75" customHeight="1">
      <c r="E821" s="1"/>
      <c r="H821" s="1"/>
      <c r="K821" s="1"/>
      <c r="N821" s="1"/>
      <c r="Q821" s="1"/>
      <c r="T821" s="1"/>
      <c r="W821" s="1"/>
      <c r="Y821" s="1"/>
      <c r="AB821" s="3"/>
    </row>
    <row r="822" ht="15.75" customHeight="1">
      <c r="E822" s="1"/>
      <c r="H822" s="1"/>
      <c r="K822" s="1"/>
      <c r="N822" s="1"/>
      <c r="Q822" s="1"/>
      <c r="T822" s="1"/>
      <c r="W822" s="1"/>
      <c r="Y822" s="1"/>
      <c r="AB822" s="3"/>
    </row>
    <row r="823" ht="15.75" customHeight="1">
      <c r="E823" s="1"/>
      <c r="H823" s="1"/>
      <c r="K823" s="1"/>
      <c r="N823" s="1"/>
      <c r="Q823" s="1"/>
      <c r="T823" s="1"/>
      <c r="W823" s="1"/>
      <c r="Y823" s="1"/>
      <c r="AB823" s="3"/>
    </row>
    <row r="824" ht="15.75" customHeight="1">
      <c r="E824" s="1"/>
      <c r="H824" s="1"/>
      <c r="K824" s="1"/>
      <c r="N824" s="1"/>
      <c r="Q824" s="1"/>
      <c r="T824" s="1"/>
      <c r="W824" s="1"/>
      <c r="Y824" s="1"/>
      <c r="AB824" s="3"/>
    </row>
    <row r="825" ht="15.75" customHeight="1">
      <c r="E825" s="1"/>
      <c r="H825" s="1"/>
      <c r="K825" s="1"/>
      <c r="N825" s="1"/>
      <c r="Q825" s="1"/>
      <c r="T825" s="1"/>
      <c r="W825" s="1"/>
      <c r="Y825" s="1"/>
      <c r="AB825" s="3"/>
    </row>
    <row r="826" ht="15.75" customHeight="1">
      <c r="E826" s="1"/>
      <c r="H826" s="1"/>
      <c r="K826" s="1"/>
      <c r="N826" s="1"/>
      <c r="Q826" s="1"/>
      <c r="T826" s="1"/>
      <c r="W826" s="1"/>
      <c r="Y826" s="1"/>
      <c r="AB826" s="3"/>
    </row>
    <row r="827" ht="15.75" customHeight="1">
      <c r="E827" s="1"/>
      <c r="H827" s="1"/>
      <c r="K827" s="1"/>
      <c r="N827" s="1"/>
      <c r="Q827" s="1"/>
      <c r="T827" s="1"/>
      <c r="W827" s="1"/>
      <c r="Y827" s="1"/>
      <c r="AB827" s="3"/>
    </row>
    <row r="828" ht="15.75" customHeight="1">
      <c r="E828" s="1"/>
      <c r="H828" s="1"/>
      <c r="K828" s="1"/>
      <c r="N828" s="1"/>
      <c r="Q828" s="1"/>
      <c r="T828" s="1"/>
      <c r="W828" s="1"/>
      <c r="Y828" s="1"/>
      <c r="AB828" s="3"/>
    </row>
    <row r="829" ht="15.75" customHeight="1">
      <c r="E829" s="1"/>
      <c r="H829" s="1"/>
      <c r="K829" s="1"/>
      <c r="N829" s="1"/>
      <c r="Q829" s="1"/>
      <c r="T829" s="1"/>
      <c r="W829" s="1"/>
      <c r="Y829" s="1"/>
      <c r="AB829" s="3"/>
    </row>
    <row r="830" ht="15.75" customHeight="1">
      <c r="E830" s="1"/>
      <c r="H830" s="1"/>
      <c r="K830" s="1"/>
      <c r="N830" s="1"/>
      <c r="Q830" s="1"/>
      <c r="T830" s="1"/>
      <c r="W830" s="1"/>
      <c r="Y830" s="1"/>
      <c r="AB830" s="3"/>
    </row>
    <row r="831" ht="15.75" customHeight="1">
      <c r="E831" s="1"/>
      <c r="H831" s="1"/>
      <c r="K831" s="1"/>
      <c r="N831" s="1"/>
      <c r="Q831" s="1"/>
      <c r="T831" s="1"/>
      <c r="W831" s="1"/>
      <c r="Y831" s="1"/>
      <c r="AB831" s="3"/>
    </row>
    <row r="832" ht="15.75" customHeight="1">
      <c r="E832" s="1"/>
      <c r="H832" s="1"/>
      <c r="K832" s="1"/>
      <c r="N832" s="1"/>
      <c r="Q832" s="1"/>
      <c r="T832" s="1"/>
      <c r="W832" s="1"/>
      <c r="Y832" s="1"/>
      <c r="AB832" s="3"/>
    </row>
    <row r="833" ht="15.75" customHeight="1">
      <c r="E833" s="1"/>
      <c r="H833" s="1"/>
      <c r="K833" s="1"/>
      <c r="N833" s="1"/>
      <c r="Q833" s="1"/>
      <c r="T833" s="1"/>
      <c r="W833" s="1"/>
      <c r="Y833" s="1"/>
      <c r="AB833" s="3"/>
    </row>
    <row r="834" ht="15.75" customHeight="1">
      <c r="E834" s="1"/>
      <c r="H834" s="1"/>
      <c r="K834" s="1"/>
      <c r="N834" s="1"/>
      <c r="Q834" s="1"/>
      <c r="T834" s="1"/>
      <c r="W834" s="1"/>
      <c r="Y834" s="1"/>
      <c r="AB834" s="3"/>
    </row>
    <row r="835" ht="15.75" customHeight="1">
      <c r="E835" s="1"/>
      <c r="H835" s="1"/>
      <c r="K835" s="1"/>
      <c r="N835" s="1"/>
      <c r="Q835" s="1"/>
      <c r="T835" s="1"/>
      <c r="W835" s="1"/>
      <c r="Y835" s="1"/>
      <c r="AB835" s="3"/>
    </row>
    <row r="836" ht="15.75" customHeight="1">
      <c r="E836" s="1"/>
      <c r="H836" s="1"/>
      <c r="K836" s="1"/>
      <c r="N836" s="1"/>
      <c r="Q836" s="1"/>
      <c r="T836" s="1"/>
      <c r="W836" s="1"/>
      <c r="Y836" s="1"/>
      <c r="AB836" s="3"/>
    </row>
    <row r="837" ht="15.75" customHeight="1">
      <c r="E837" s="1"/>
      <c r="H837" s="1"/>
      <c r="K837" s="1"/>
      <c r="N837" s="1"/>
      <c r="Q837" s="1"/>
      <c r="T837" s="1"/>
      <c r="W837" s="1"/>
      <c r="Y837" s="1"/>
      <c r="AB837" s="3"/>
    </row>
    <row r="838" ht="15.75" customHeight="1">
      <c r="E838" s="1"/>
      <c r="H838" s="1"/>
      <c r="K838" s="1"/>
      <c r="N838" s="1"/>
      <c r="Q838" s="1"/>
      <c r="T838" s="1"/>
      <c r="W838" s="1"/>
      <c r="Y838" s="1"/>
      <c r="AB838" s="3"/>
    </row>
    <row r="839" ht="15.75" customHeight="1">
      <c r="E839" s="1"/>
      <c r="H839" s="1"/>
      <c r="K839" s="1"/>
      <c r="N839" s="1"/>
      <c r="Q839" s="1"/>
      <c r="T839" s="1"/>
      <c r="W839" s="1"/>
      <c r="Y839" s="1"/>
      <c r="AB839" s="3"/>
    </row>
    <row r="840" ht="15.75" customHeight="1">
      <c r="E840" s="1"/>
      <c r="H840" s="1"/>
      <c r="K840" s="1"/>
      <c r="N840" s="1"/>
      <c r="Q840" s="1"/>
      <c r="T840" s="1"/>
      <c r="W840" s="1"/>
      <c r="Y840" s="1"/>
      <c r="AB840" s="3"/>
    </row>
    <row r="841" ht="15.75" customHeight="1">
      <c r="E841" s="1"/>
      <c r="H841" s="1"/>
      <c r="K841" s="1"/>
      <c r="N841" s="1"/>
      <c r="Q841" s="1"/>
      <c r="T841" s="1"/>
      <c r="W841" s="1"/>
      <c r="Y841" s="1"/>
      <c r="AB841" s="3"/>
    </row>
    <row r="842" ht="15.75" customHeight="1">
      <c r="E842" s="1"/>
      <c r="H842" s="1"/>
      <c r="K842" s="1"/>
      <c r="N842" s="1"/>
      <c r="Q842" s="1"/>
      <c r="T842" s="1"/>
      <c r="W842" s="1"/>
      <c r="Y842" s="1"/>
      <c r="AB842" s="3"/>
    </row>
    <row r="843" ht="15.75" customHeight="1">
      <c r="E843" s="1"/>
      <c r="H843" s="1"/>
      <c r="K843" s="1"/>
      <c r="N843" s="1"/>
      <c r="Q843" s="1"/>
      <c r="T843" s="1"/>
      <c r="W843" s="1"/>
      <c r="Y843" s="1"/>
      <c r="AB843" s="3"/>
    </row>
    <row r="844" ht="15.75" customHeight="1">
      <c r="E844" s="1"/>
      <c r="H844" s="1"/>
      <c r="K844" s="1"/>
      <c r="N844" s="1"/>
      <c r="Q844" s="1"/>
      <c r="T844" s="1"/>
      <c r="W844" s="1"/>
      <c r="Y844" s="1"/>
      <c r="AB844" s="3"/>
    </row>
    <row r="845" ht="15.75" customHeight="1">
      <c r="E845" s="1"/>
      <c r="H845" s="1"/>
      <c r="K845" s="1"/>
      <c r="N845" s="1"/>
      <c r="Q845" s="1"/>
      <c r="T845" s="1"/>
      <c r="W845" s="1"/>
      <c r="Y845" s="1"/>
      <c r="AB845" s="3"/>
    </row>
    <row r="846" ht="15.75" customHeight="1">
      <c r="E846" s="1"/>
      <c r="H846" s="1"/>
      <c r="K846" s="1"/>
      <c r="N846" s="1"/>
      <c r="Q846" s="1"/>
      <c r="T846" s="1"/>
      <c r="W846" s="1"/>
      <c r="Y846" s="1"/>
      <c r="AB846" s="3"/>
    </row>
    <row r="847" ht="15.75" customHeight="1">
      <c r="E847" s="1"/>
      <c r="H847" s="1"/>
      <c r="K847" s="1"/>
      <c r="N847" s="1"/>
      <c r="Q847" s="1"/>
      <c r="T847" s="1"/>
      <c r="W847" s="1"/>
      <c r="Y847" s="1"/>
      <c r="AB847" s="3"/>
    </row>
    <row r="848" ht="15.75" customHeight="1">
      <c r="E848" s="1"/>
      <c r="H848" s="1"/>
      <c r="K848" s="1"/>
      <c r="N848" s="1"/>
      <c r="Q848" s="1"/>
      <c r="T848" s="1"/>
      <c r="W848" s="1"/>
      <c r="Y848" s="1"/>
      <c r="AB848" s="3"/>
    </row>
    <row r="849" ht="15.75" customHeight="1">
      <c r="E849" s="1"/>
      <c r="H849" s="1"/>
      <c r="K849" s="1"/>
      <c r="N849" s="1"/>
      <c r="Q849" s="1"/>
      <c r="T849" s="1"/>
      <c r="W849" s="1"/>
      <c r="Y849" s="1"/>
      <c r="AB849" s="3"/>
    </row>
    <row r="850" ht="15.75" customHeight="1">
      <c r="E850" s="1"/>
      <c r="H850" s="1"/>
      <c r="K850" s="1"/>
      <c r="N850" s="1"/>
      <c r="Q850" s="1"/>
      <c r="T850" s="1"/>
      <c r="W850" s="1"/>
      <c r="Y850" s="1"/>
      <c r="AB850" s="3"/>
    </row>
    <row r="851" ht="15.75" customHeight="1">
      <c r="E851" s="1"/>
      <c r="H851" s="1"/>
      <c r="K851" s="1"/>
      <c r="N851" s="1"/>
      <c r="Q851" s="1"/>
      <c r="T851" s="1"/>
      <c r="W851" s="1"/>
      <c r="Y851" s="1"/>
      <c r="AB851" s="3"/>
    </row>
    <row r="852" ht="15.75" customHeight="1">
      <c r="E852" s="1"/>
      <c r="H852" s="1"/>
      <c r="K852" s="1"/>
      <c r="N852" s="1"/>
      <c r="Q852" s="1"/>
      <c r="T852" s="1"/>
      <c r="W852" s="1"/>
      <c r="Y852" s="1"/>
      <c r="AB852" s="3"/>
    </row>
    <row r="853" ht="15.75" customHeight="1">
      <c r="E853" s="1"/>
      <c r="H853" s="1"/>
      <c r="K853" s="1"/>
      <c r="N853" s="1"/>
      <c r="Q853" s="1"/>
      <c r="T853" s="1"/>
      <c r="W853" s="1"/>
      <c r="Y853" s="1"/>
      <c r="AB853" s="3"/>
    </row>
    <row r="854" ht="15.75" customHeight="1">
      <c r="E854" s="1"/>
      <c r="H854" s="1"/>
      <c r="K854" s="1"/>
      <c r="N854" s="1"/>
      <c r="Q854" s="1"/>
      <c r="T854" s="1"/>
      <c r="W854" s="1"/>
      <c r="Y854" s="1"/>
      <c r="AB854" s="3"/>
    </row>
    <row r="855" ht="15.75" customHeight="1">
      <c r="E855" s="1"/>
      <c r="H855" s="1"/>
      <c r="K855" s="1"/>
      <c r="N855" s="1"/>
      <c r="Q855" s="1"/>
      <c r="T855" s="1"/>
      <c r="W855" s="1"/>
      <c r="Y855" s="1"/>
      <c r="AB855" s="3"/>
    </row>
    <row r="856" ht="15.75" customHeight="1">
      <c r="E856" s="1"/>
      <c r="H856" s="1"/>
      <c r="K856" s="1"/>
      <c r="N856" s="1"/>
      <c r="Q856" s="1"/>
      <c r="T856" s="1"/>
      <c r="W856" s="1"/>
      <c r="Y856" s="1"/>
      <c r="AB856" s="3"/>
    </row>
    <row r="857" ht="15.75" customHeight="1">
      <c r="E857" s="1"/>
      <c r="H857" s="1"/>
      <c r="K857" s="1"/>
      <c r="N857" s="1"/>
      <c r="Q857" s="1"/>
      <c r="T857" s="1"/>
      <c r="W857" s="1"/>
      <c r="Y857" s="1"/>
      <c r="AB857" s="3"/>
    </row>
    <row r="858" ht="15.75" customHeight="1">
      <c r="E858" s="1"/>
      <c r="H858" s="1"/>
      <c r="K858" s="1"/>
      <c r="N858" s="1"/>
      <c r="Q858" s="1"/>
      <c r="T858" s="1"/>
      <c r="W858" s="1"/>
      <c r="Y858" s="1"/>
      <c r="AB858" s="3"/>
    </row>
    <row r="859" ht="15.75" customHeight="1">
      <c r="E859" s="1"/>
      <c r="H859" s="1"/>
      <c r="K859" s="1"/>
      <c r="N859" s="1"/>
      <c r="Q859" s="1"/>
      <c r="T859" s="1"/>
      <c r="W859" s="1"/>
      <c r="Y859" s="1"/>
      <c r="AB859" s="3"/>
    </row>
    <row r="860" ht="15.75" customHeight="1">
      <c r="E860" s="1"/>
      <c r="H860" s="1"/>
      <c r="K860" s="1"/>
      <c r="N860" s="1"/>
      <c r="Q860" s="1"/>
      <c r="T860" s="1"/>
      <c r="W860" s="1"/>
      <c r="Y860" s="1"/>
      <c r="AB860" s="3"/>
    </row>
    <row r="861" ht="15.75" customHeight="1">
      <c r="E861" s="1"/>
      <c r="H861" s="1"/>
      <c r="K861" s="1"/>
      <c r="N861" s="1"/>
      <c r="Q861" s="1"/>
      <c r="T861" s="1"/>
      <c r="W861" s="1"/>
      <c r="Y861" s="1"/>
      <c r="AB861" s="3"/>
    </row>
    <row r="862" ht="15.75" customHeight="1">
      <c r="E862" s="1"/>
      <c r="H862" s="1"/>
      <c r="K862" s="1"/>
      <c r="N862" s="1"/>
      <c r="Q862" s="1"/>
      <c r="T862" s="1"/>
      <c r="W862" s="1"/>
      <c r="Y862" s="1"/>
      <c r="AB862" s="3"/>
    </row>
    <row r="863" ht="15.75" customHeight="1">
      <c r="E863" s="1"/>
      <c r="H863" s="1"/>
      <c r="K863" s="1"/>
      <c r="N863" s="1"/>
      <c r="Q863" s="1"/>
      <c r="T863" s="1"/>
      <c r="W863" s="1"/>
      <c r="Y863" s="1"/>
      <c r="AB863" s="3"/>
    </row>
    <row r="864" ht="15.75" customHeight="1">
      <c r="E864" s="1"/>
      <c r="H864" s="1"/>
      <c r="K864" s="1"/>
      <c r="N864" s="1"/>
      <c r="Q864" s="1"/>
      <c r="T864" s="1"/>
      <c r="W864" s="1"/>
      <c r="Y864" s="1"/>
      <c r="AB864" s="3"/>
    </row>
    <row r="865" ht="15.75" customHeight="1">
      <c r="E865" s="1"/>
      <c r="H865" s="1"/>
      <c r="K865" s="1"/>
      <c r="N865" s="1"/>
      <c r="Q865" s="1"/>
      <c r="T865" s="1"/>
      <c r="W865" s="1"/>
      <c r="Y865" s="1"/>
      <c r="AB865" s="3"/>
    </row>
    <row r="866" ht="15.75" customHeight="1">
      <c r="E866" s="1"/>
      <c r="H866" s="1"/>
      <c r="K866" s="1"/>
      <c r="N866" s="1"/>
      <c r="Q866" s="1"/>
      <c r="T866" s="1"/>
      <c r="W866" s="1"/>
      <c r="Y866" s="1"/>
      <c r="AB866" s="3"/>
    </row>
    <row r="867" ht="15.75" customHeight="1">
      <c r="E867" s="1"/>
      <c r="H867" s="1"/>
      <c r="K867" s="1"/>
      <c r="N867" s="1"/>
      <c r="Q867" s="1"/>
      <c r="T867" s="1"/>
      <c r="W867" s="1"/>
      <c r="Y867" s="1"/>
      <c r="AB867" s="3"/>
    </row>
    <row r="868" ht="15.75" customHeight="1">
      <c r="E868" s="1"/>
      <c r="H868" s="1"/>
      <c r="K868" s="1"/>
      <c r="N868" s="1"/>
      <c r="Q868" s="1"/>
      <c r="T868" s="1"/>
      <c r="W868" s="1"/>
      <c r="Y868" s="1"/>
      <c r="AB868" s="3"/>
    </row>
    <row r="869" ht="15.75" customHeight="1">
      <c r="E869" s="1"/>
      <c r="H869" s="1"/>
      <c r="K869" s="1"/>
      <c r="N869" s="1"/>
      <c r="Q869" s="1"/>
      <c r="T869" s="1"/>
      <c r="W869" s="1"/>
      <c r="Y869" s="1"/>
      <c r="AB869" s="3"/>
    </row>
    <row r="870" ht="15.75" customHeight="1">
      <c r="E870" s="1"/>
      <c r="H870" s="1"/>
      <c r="K870" s="1"/>
      <c r="N870" s="1"/>
      <c r="Q870" s="1"/>
      <c r="T870" s="1"/>
      <c r="W870" s="1"/>
      <c r="Y870" s="1"/>
      <c r="AB870" s="3"/>
    </row>
    <row r="871" ht="15.75" customHeight="1">
      <c r="E871" s="1"/>
      <c r="H871" s="1"/>
      <c r="K871" s="1"/>
      <c r="N871" s="1"/>
      <c r="Q871" s="1"/>
      <c r="T871" s="1"/>
      <c r="W871" s="1"/>
      <c r="Y871" s="1"/>
      <c r="AB871" s="3"/>
    </row>
    <row r="872" ht="15.75" customHeight="1">
      <c r="E872" s="1"/>
      <c r="H872" s="1"/>
      <c r="K872" s="1"/>
      <c r="N872" s="1"/>
      <c r="Q872" s="1"/>
      <c r="T872" s="1"/>
      <c r="W872" s="1"/>
      <c r="Y872" s="1"/>
      <c r="AB872" s="3"/>
    </row>
    <row r="873" ht="15.75" customHeight="1">
      <c r="E873" s="1"/>
      <c r="H873" s="1"/>
      <c r="K873" s="1"/>
      <c r="N873" s="1"/>
      <c r="Q873" s="1"/>
      <c r="T873" s="1"/>
      <c r="W873" s="1"/>
      <c r="Y873" s="1"/>
      <c r="AB873" s="3"/>
    </row>
    <row r="874" ht="15.75" customHeight="1">
      <c r="E874" s="1"/>
      <c r="H874" s="1"/>
      <c r="K874" s="1"/>
      <c r="N874" s="1"/>
      <c r="Q874" s="1"/>
      <c r="T874" s="1"/>
      <c r="W874" s="1"/>
      <c r="Y874" s="1"/>
      <c r="AB874" s="3"/>
    </row>
    <row r="875" ht="15.75" customHeight="1">
      <c r="E875" s="1"/>
      <c r="H875" s="1"/>
      <c r="K875" s="1"/>
      <c r="N875" s="1"/>
      <c r="Q875" s="1"/>
      <c r="T875" s="1"/>
      <c r="W875" s="1"/>
      <c r="Y875" s="1"/>
      <c r="AB875" s="3"/>
    </row>
    <row r="876" ht="15.75" customHeight="1">
      <c r="E876" s="1"/>
      <c r="H876" s="1"/>
      <c r="K876" s="1"/>
      <c r="N876" s="1"/>
      <c r="Q876" s="1"/>
      <c r="T876" s="1"/>
      <c r="W876" s="1"/>
      <c r="Y876" s="1"/>
      <c r="AB876" s="3"/>
    </row>
    <row r="877" ht="15.75" customHeight="1">
      <c r="E877" s="1"/>
      <c r="H877" s="1"/>
      <c r="K877" s="1"/>
      <c r="N877" s="1"/>
      <c r="Q877" s="1"/>
      <c r="T877" s="1"/>
      <c r="W877" s="1"/>
      <c r="Y877" s="1"/>
      <c r="AB877" s="3"/>
    </row>
    <row r="878" ht="15.75" customHeight="1">
      <c r="E878" s="1"/>
      <c r="H878" s="1"/>
      <c r="K878" s="1"/>
      <c r="N878" s="1"/>
      <c r="Q878" s="1"/>
      <c r="T878" s="1"/>
      <c r="W878" s="1"/>
      <c r="Y878" s="1"/>
      <c r="AB878" s="3"/>
    </row>
    <row r="879" ht="15.75" customHeight="1">
      <c r="E879" s="1"/>
      <c r="H879" s="1"/>
      <c r="K879" s="1"/>
      <c r="N879" s="1"/>
      <c r="Q879" s="1"/>
      <c r="T879" s="1"/>
      <c r="W879" s="1"/>
      <c r="Y879" s="1"/>
      <c r="AB879" s="3"/>
    </row>
    <row r="880" ht="15.75" customHeight="1">
      <c r="E880" s="1"/>
      <c r="H880" s="1"/>
      <c r="K880" s="1"/>
      <c r="N880" s="1"/>
      <c r="Q880" s="1"/>
      <c r="T880" s="1"/>
      <c r="W880" s="1"/>
      <c r="Y880" s="1"/>
      <c r="AB880" s="3"/>
    </row>
    <row r="881" ht="15.75" customHeight="1">
      <c r="E881" s="1"/>
      <c r="H881" s="1"/>
      <c r="K881" s="1"/>
      <c r="N881" s="1"/>
      <c r="Q881" s="1"/>
      <c r="T881" s="1"/>
      <c r="W881" s="1"/>
      <c r="Y881" s="1"/>
      <c r="AB881" s="3"/>
    </row>
    <row r="882" ht="15.75" customHeight="1">
      <c r="E882" s="1"/>
      <c r="H882" s="1"/>
      <c r="K882" s="1"/>
      <c r="N882" s="1"/>
      <c r="Q882" s="1"/>
      <c r="T882" s="1"/>
      <c r="W882" s="1"/>
      <c r="Y882" s="1"/>
      <c r="AB882" s="3"/>
    </row>
    <row r="883" ht="15.75" customHeight="1">
      <c r="E883" s="1"/>
      <c r="H883" s="1"/>
      <c r="K883" s="1"/>
      <c r="N883" s="1"/>
      <c r="Q883" s="1"/>
      <c r="T883" s="1"/>
      <c r="W883" s="1"/>
      <c r="Y883" s="1"/>
      <c r="AB883" s="3"/>
    </row>
    <row r="884" ht="15.75" customHeight="1">
      <c r="E884" s="1"/>
      <c r="H884" s="1"/>
      <c r="K884" s="1"/>
      <c r="N884" s="1"/>
      <c r="Q884" s="1"/>
      <c r="T884" s="1"/>
      <c r="W884" s="1"/>
      <c r="Y884" s="1"/>
      <c r="AB884" s="3"/>
    </row>
    <row r="885" ht="15.75" customHeight="1">
      <c r="E885" s="1"/>
      <c r="H885" s="1"/>
      <c r="K885" s="1"/>
      <c r="N885" s="1"/>
      <c r="Q885" s="1"/>
      <c r="T885" s="1"/>
      <c r="W885" s="1"/>
      <c r="Y885" s="1"/>
      <c r="AB885" s="3"/>
    </row>
    <row r="886" ht="15.75" customHeight="1">
      <c r="E886" s="1"/>
      <c r="H886" s="1"/>
      <c r="K886" s="1"/>
      <c r="N886" s="1"/>
      <c r="Q886" s="1"/>
      <c r="T886" s="1"/>
      <c r="W886" s="1"/>
      <c r="Y886" s="1"/>
      <c r="AB886" s="3"/>
    </row>
    <row r="887" ht="15.75" customHeight="1">
      <c r="E887" s="1"/>
      <c r="H887" s="1"/>
      <c r="K887" s="1"/>
      <c r="N887" s="1"/>
      <c r="Q887" s="1"/>
      <c r="T887" s="1"/>
      <c r="W887" s="1"/>
      <c r="Y887" s="1"/>
      <c r="AB887" s="3"/>
    </row>
    <row r="888" ht="15.75" customHeight="1">
      <c r="E888" s="1"/>
      <c r="H888" s="1"/>
      <c r="K888" s="1"/>
      <c r="N888" s="1"/>
      <c r="Q888" s="1"/>
      <c r="T888" s="1"/>
      <c r="W888" s="1"/>
      <c r="Y888" s="1"/>
      <c r="AB888" s="3"/>
    </row>
    <row r="889" ht="15.75" customHeight="1">
      <c r="E889" s="1"/>
      <c r="H889" s="1"/>
      <c r="K889" s="1"/>
      <c r="N889" s="1"/>
      <c r="Q889" s="1"/>
      <c r="T889" s="1"/>
      <c r="W889" s="1"/>
      <c r="Y889" s="1"/>
      <c r="AB889" s="3"/>
    </row>
    <row r="890" ht="15.75" customHeight="1">
      <c r="E890" s="1"/>
      <c r="H890" s="1"/>
      <c r="K890" s="1"/>
      <c r="N890" s="1"/>
      <c r="Q890" s="1"/>
      <c r="T890" s="1"/>
      <c r="W890" s="1"/>
      <c r="Y890" s="1"/>
      <c r="AB890" s="3"/>
    </row>
    <row r="891" ht="15.75" customHeight="1">
      <c r="E891" s="1"/>
      <c r="H891" s="1"/>
      <c r="K891" s="1"/>
      <c r="N891" s="1"/>
      <c r="Q891" s="1"/>
      <c r="T891" s="1"/>
      <c r="W891" s="1"/>
      <c r="Y891" s="1"/>
      <c r="AB891" s="3"/>
    </row>
    <row r="892" ht="15.75" customHeight="1">
      <c r="E892" s="1"/>
      <c r="H892" s="1"/>
      <c r="K892" s="1"/>
      <c r="N892" s="1"/>
      <c r="Q892" s="1"/>
      <c r="T892" s="1"/>
      <c r="W892" s="1"/>
      <c r="Y892" s="1"/>
      <c r="AB892" s="3"/>
    </row>
    <row r="893" ht="15.75" customHeight="1">
      <c r="E893" s="1"/>
      <c r="H893" s="1"/>
      <c r="K893" s="1"/>
      <c r="N893" s="1"/>
      <c r="Q893" s="1"/>
      <c r="T893" s="1"/>
      <c r="W893" s="1"/>
      <c r="Y893" s="1"/>
      <c r="AB893" s="3"/>
    </row>
    <row r="894" ht="15.75" customHeight="1">
      <c r="E894" s="1"/>
      <c r="H894" s="1"/>
      <c r="K894" s="1"/>
      <c r="N894" s="1"/>
      <c r="Q894" s="1"/>
      <c r="T894" s="1"/>
      <c r="W894" s="1"/>
      <c r="Y894" s="1"/>
      <c r="AB894" s="3"/>
    </row>
    <row r="895" ht="15.75" customHeight="1">
      <c r="E895" s="1"/>
      <c r="H895" s="1"/>
      <c r="K895" s="1"/>
      <c r="N895" s="1"/>
      <c r="Q895" s="1"/>
      <c r="T895" s="1"/>
      <c r="W895" s="1"/>
      <c r="Y895" s="1"/>
      <c r="AB895" s="3"/>
    </row>
    <row r="896" ht="15.75" customHeight="1">
      <c r="E896" s="1"/>
      <c r="H896" s="1"/>
      <c r="K896" s="1"/>
      <c r="N896" s="1"/>
      <c r="Q896" s="1"/>
      <c r="T896" s="1"/>
      <c r="W896" s="1"/>
      <c r="Y896" s="1"/>
      <c r="AB896" s="3"/>
    </row>
    <row r="897" ht="15.75" customHeight="1">
      <c r="E897" s="1"/>
      <c r="H897" s="1"/>
      <c r="K897" s="1"/>
      <c r="N897" s="1"/>
      <c r="Q897" s="1"/>
      <c r="T897" s="1"/>
      <c r="W897" s="1"/>
      <c r="Y897" s="1"/>
      <c r="AB897" s="3"/>
    </row>
    <row r="898" ht="15.75" customHeight="1">
      <c r="E898" s="1"/>
      <c r="H898" s="1"/>
      <c r="K898" s="1"/>
      <c r="N898" s="1"/>
      <c r="Q898" s="1"/>
      <c r="T898" s="1"/>
      <c r="W898" s="1"/>
      <c r="Y898" s="1"/>
      <c r="AB898" s="3"/>
    </row>
    <row r="899" ht="15.75" customHeight="1">
      <c r="E899" s="1"/>
      <c r="H899" s="1"/>
      <c r="K899" s="1"/>
      <c r="N899" s="1"/>
      <c r="Q899" s="1"/>
      <c r="T899" s="1"/>
      <c r="W899" s="1"/>
      <c r="Y899" s="1"/>
      <c r="AB899" s="3"/>
    </row>
    <row r="900" ht="15.75" customHeight="1">
      <c r="E900" s="1"/>
      <c r="H900" s="1"/>
      <c r="K900" s="1"/>
      <c r="N900" s="1"/>
      <c r="Q900" s="1"/>
      <c r="T900" s="1"/>
      <c r="W900" s="1"/>
      <c r="Y900" s="1"/>
      <c r="AB900" s="3"/>
    </row>
    <row r="901" ht="15.75" customHeight="1">
      <c r="E901" s="1"/>
      <c r="H901" s="1"/>
      <c r="K901" s="1"/>
      <c r="N901" s="1"/>
      <c r="Q901" s="1"/>
      <c r="T901" s="1"/>
      <c r="W901" s="1"/>
      <c r="Y901" s="1"/>
      <c r="AB901" s="3"/>
    </row>
    <row r="902" ht="15.75" customHeight="1">
      <c r="E902" s="1"/>
      <c r="H902" s="1"/>
      <c r="K902" s="1"/>
      <c r="N902" s="1"/>
      <c r="Q902" s="1"/>
      <c r="T902" s="1"/>
      <c r="W902" s="1"/>
      <c r="Y902" s="1"/>
      <c r="AB902" s="3"/>
    </row>
    <row r="903" ht="15.75" customHeight="1">
      <c r="E903" s="1"/>
      <c r="H903" s="1"/>
      <c r="K903" s="1"/>
      <c r="N903" s="1"/>
      <c r="Q903" s="1"/>
      <c r="T903" s="1"/>
      <c r="W903" s="1"/>
      <c r="Y903" s="1"/>
      <c r="AB903" s="3"/>
    </row>
    <row r="904" ht="15.75" customHeight="1">
      <c r="E904" s="1"/>
      <c r="H904" s="1"/>
      <c r="K904" s="1"/>
      <c r="N904" s="1"/>
      <c r="Q904" s="1"/>
      <c r="T904" s="1"/>
      <c r="W904" s="1"/>
      <c r="Y904" s="1"/>
      <c r="AB904" s="3"/>
    </row>
    <row r="905" ht="15.75" customHeight="1">
      <c r="E905" s="1"/>
      <c r="H905" s="1"/>
      <c r="K905" s="1"/>
      <c r="N905" s="1"/>
      <c r="Q905" s="1"/>
      <c r="T905" s="1"/>
      <c r="W905" s="1"/>
      <c r="Y905" s="1"/>
      <c r="AB905" s="3"/>
    </row>
    <row r="906" ht="15.75" customHeight="1">
      <c r="E906" s="1"/>
      <c r="H906" s="1"/>
      <c r="K906" s="1"/>
      <c r="N906" s="1"/>
      <c r="Q906" s="1"/>
      <c r="T906" s="1"/>
      <c r="W906" s="1"/>
      <c r="Y906" s="1"/>
      <c r="AB906" s="3"/>
    </row>
    <row r="907" ht="15.75" customHeight="1">
      <c r="E907" s="1"/>
      <c r="H907" s="1"/>
      <c r="K907" s="1"/>
      <c r="N907" s="1"/>
      <c r="Q907" s="1"/>
      <c r="T907" s="1"/>
      <c r="W907" s="1"/>
      <c r="Y907" s="1"/>
      <c r="AB907" s="3"/>
    </row>
    <row r="908" ht="15.75" customHeight="1">
      <c r="E908" s="1"/>
      <c r="H908" s="1"/>
      <c r="K908" s="1"/>
      <c r="N908" s="1"/>
      <c r="Q908" s="1"/>
      <c r="T908" s="1"/>
      <c r="W908" s="1"/>
      <c r="Y908" s="1"/>
      <c r="AB908" s="3"/>
    </row>
    <row r="909" ht="15.75" customHeight="1">
      <c r="E909" s="1"/>
      <c r="H909" s="1"/>
      <c r="K909" s="1"/>
      <c r="N909" s="1"/>
      <c r="Q909" s="1"/>
      <c r="T909" s="1"/>
      <c r="W909" s="1"/>
      <c r="Y909" s="1"/>
      <c r="AB909" s="3"/>
    </row>
    <row r="910" ht="15.75" customHeight="1">
      <c r="E910" s="1"/>
      <c r="H910" s="1"/>
      <c r="K910" s="1"/>
      <c r="N910" s="1"/>
      <c r="Q910" s="1"/>
      <c r="T910" s="1"/>
      <c r="W910" s="1"/>
      <c r="Y910" s="1"/>
      <c r="AB910" s="3"/>
    </row>
    <row r="911" ht="15.75" customHeight="1">
      <c r="E911" s="1"/>
      <c r="H911" s="1"/>
      <c r="K911" s="1"/>
      <c r="N911" s="1"/>
      <c r="Q911" s="1"/>
      <c r="T911" s="1"/>
      <c r="W911" s="1"/>
      <c r="Y911" s="1"/>
      <c r="AB911" s="3"/>
    </row>
    <row r="912" ht="15.75" customHeight="1">
      <c r="E912" s="1"/>
      <c r="H912" s="1"/>
      <c r="K912" s="1"/>
      <c r="N912" s="1"/>
      <c r="Q912" s="1"/>
      <c r="T912" s="1"/>
      <c r="W912" s="1"/>
      <c r="Y912" s="1"/>
      <c r="AB912" s="3"/>
    </row>
    <row r="913" ht="15.75" customHeight="1">
      <c r="E913" s="1"/>
      <c r="H913" s="1"/>
      <c r="K913" s="1"/>
      <c r="N913" s="1"/>
      <c r="Q913" s="1"/>
      <c r="T913" s="1"/>
      <c r="W913" s="1"/>
      <c r="Y913" s="1"/>
      <c r="AB913" s="3"/>
    </row>
    <row r="914" ht="15.75" customHeight="1">
      <c r="E914" s="1"/>
      <c r="H914" s="1"/>
      <c r="K914" s="1"/>
      <c r="N914" s="1"/>
      <c r="Q914" s="1"/>
      <c r="T914" s="1"/>
      <c r="W914" s="1"/>
      <c r="Y914" s="1"/>
      <c r="AB914" s="3"/>
    </row>
    <row r="915" ht="15.75" customHeight="1">
      <c r="E915" s="1"/>
      <c r="H915" s="1"/>
      <c r="K915" s="1"/>
      <c r="N915" s="1"/>
      <c r="Q915" s="1"/>
      <c r="T915" s="1"/>
      <c r="W915" s="1"/>
      <c r="Y915" s="1"/>
      <c r="AB915" s="3"/>
    </row>
    <row r="916" ht="15.75" customHeight="1">
      <c r="E916" s="1"/>
      <c r="H916" s="1"/>
      <c r="K916" s="1"/>
      <c r="N916" s="1"/>
      <c r="Q916" s="1"/>
      <c r="T916" s="1"/>
      <c r="W916" s="1"/>
      <c r="Y916" s="1"/>
      <c r="AB916" s="3"/>
    </row>
    <row r="917" ht="15.75" customHeight="1">
      <c r="E917" s="1"/>
      <c r="H917" s="1"/>
      <c r="K917" s="1"/>
      <c r="N917" s="1"/>
      <c r="Q917" s="1"/>
      <c r="T917" s="1"/>
      <c r="W917" s="1"/>
      <c r="Y917" s="1"/>
      <c r="AB917" s="3"/>
    </row>
    <row r="918" ht="15.75" customHeight="1">
      <c r="E918" s="1"/>
      <c r="H918" s="1"/>
      <c r="K918" s="1"/>
      <c r="N918" s="1"/>
      <c r="Q918" s="1"/>
      <c r="T918" s="1"/>
      <c r="W918" s="1"/>
      <c r="Y918" s="1"/>
      <c r="AB918" s="3"/>
    </row>
    <row r="919" ht="15.75" customHeight="1">
      <c r="E919" s="1"/>
      <c r="H919" s="1"/>
      <c r="K919" s="1"/>
      <c r="N919" s="1"/>
      <c r="Q919" s="1"/>
      <c r="T919" s="1"/>
      <c r="W919" s="1"/>
      <c r="Y919" s="1"/>
      <c r="AB919" s="3"/>
    </row>
    <row r="920" ht="15.75" customHeight="1">
      <c r="E920" s="1"/>
      <c r="H920" s="1"/>
      <c r="K920" s="1"/>
      <c r="N920" s="1"/>
      <c r="Q920" s="1"/>
      <c r="T920" s="1"/>
      <c r="W920" s="1"/>
      <c r="Y920" s="1"/>
      <c r="AB920" s="3"/>
    </row>
    <row r="921" ht="15.75" customHeight="1">
      <c r="E921" s="1"/>
      <c r="H921" s="1"/>
      <c r="K921" s="1"/>
      <c r="N921" s="1"/>
      <c r="Q921" s="1"/>
      <c r="T921" s="1"/>
      <c r="W921" s="1"/>
      <c r="Y921" s="1"/>
      <c r="AB921" s="3"/>
    </row>
    <row r="922" ht="15.75" customHeight="1">
      <c r="E922" s="1"/>
      <c r="H922" s="1"/>
      <c r="K922" s="1"/>
      <c r="N922" s="1"/>
      <c r="Q922" s="1"/>
      <c r="T922" s="1"/>
      <c r="W922" s="1"/>
      <c r="Y922" s="1"/>
      <c r="AB922" s="3"/>
    </row>
    <row r="923" ht="15.75" customHeight="1">
      <c r="E923" s="1"/>
      <c r="H923" s="1"/>
      <c r="K923" s="1"/>
      <c r="N923" s="1"/>
      <c r="Q923" s="1"/>
      <c r="T923" s="1"/>
      <c r="W923" s="1"/>
      <c r="Y923" s="1"/>
      <c r="AB923" s="3"/>
    </row>
    <row r="924" ht="15.75" customHeight="1">
      <c r="E924" s="1"/>
      <c r="H924" s="1"/>
      <c r="K924" s="1"/>
      <c r="N924" s="1"/>
      <c r="Q924" s="1"/>
      <c r="T924" s="1"/>
      <c r="W924" s="1"/>
      <c r="Y924" s="1"/>
      <c r="AB924" s="3"/>
    </row>
    <row r="925" ht="15.75" customHeight="1">
      <c r="E925" s="1"/>
      <c r="H925" s="1"/>
      <c r="K925" s="1"/>
      <c r="N925" s="1"/>
      <c r="Q925" s="1"/>
      <c r="T925" s="1"/>
      <c r="W925" s="1"/>
      <c r="Y925" s="1"/>
      <c r="AB925" s="3"/>
    </row>
    <row r="926" ht="15.75" customHeight="1">
      <c r="E926" s="1"/>
      <c r="H926" s="1"/>
      <c r="K926" s="1"/>
      <c r="N926" s="1"/>
      <c r="Q926" s="1"/>
      <c r="T926" s="1"/>
      <c r="W926" s="1"/>
      <c r="Y926" s="1"/>
      <c r="AB926" s="3"/>
    </row>
    <row r="927" ht="15.75" customHeight="1">
      <c r="E927" s="1"/>
      <c r="H927" s="1"/>
      <c r="K927" s="1"/>
      <c r="N927" s="1"/>
      <c r="Q927" s="1"/>
      <c r="T927" s="1"/>
      <c r="W927" s="1"/>
      <c r="Y927" s="1"/>
      <c r="AB927" s="3"/>
    </row>
    <row r="928" ht="15.75" customHeight="1">
      <c r="E928" s="1"/>
      <c r="H928" s="1"/>
      <c r="K928" s="1"/>
      <c r="N928" s="1"/>
      <c r="Q928" s="1"/>
      <c r="T928" s="1"/>
      <c r="W928" s="1"/>
      <c r="Y928" s="1"/>
      <c r="AB928" s="3"/>
    </row>
    <row r="929" ht="15.75" customHeight="1">
      <c r="E929" s="1"/>
      <c r="H929" s="1"/>
      <c r="K929" s="1"/>
      <c r="N929" s="1"/>
      <c r="Q929" s="1"/>
      <c r="T929" s="1"/>
      <c r="W929" s="1"/>
      <c r="Y929" s="1"/>
      <c r="AB929" s="3"/>
    </row>
    <row r="930" ht="15.75" customHeight="1">
      <c r="E930" s="1"/>
      <c r="H930" s="1"/>
      <c r="K930" s="1"/>
      <c r="N930" s="1"/>
      <c r="Q930" s="1"/>
      <c r="T930" s="1"/>
      <c r="W930" s="1"/>
      <c r="Y930" s="1"/>
      <c r="AB930" s="3"/>
    </row>
    <row r="931" ht="15.75" customHeight="1">
      <c r="E931" s="1"/>
      <c r="H931" s="1"/>
      <c r="K931" s="1"/>
      <c r="N931" s="1"/>
      <c r="Q931" s="1"/>
      <c r="T931" s="1"/>
      <c r="W931" s="1"/>
      <c r="Y931" s="1"/>
      <c r="AB931" s="3"/>
    </row>
    <row r="932" ht="15.75" customHeight="1">
      <c r="E932" s="1"/>
      <c r="H932" s="1"/>
      <c r="K932" s="1"/>
      <c r="N932" s="1"/>
      <c r="Q932" s="1"/>
      <c r="T932" s="1"/>
      <c r="W932" s="1"/>
      <c r="Y932" s="1"/>
      <c r="AB932" s="3"/>
    </row>
    <row r="933" ht="15.75" customHeight="1">
      <c r="E933" s="1"/>
      <c r="H933" s="1"/>
      <c r="K933" s="1"/>
      <c r="N933" s="1"/>
      <c r="Q933" s="1"/>
      <c r="T933" s="1"/>
      <c r="W933" s="1"/>
      <c r="Y933" s="1"/>
      <c r="AB933" s="3"/>
    </row>
    <row r="934" ht="15.75" customHeight="1">
      <c r="E934" s="1"/>
      <c r="H934" s="1"/>
      <c r="K934" s="1"/>
      <c r="N934" s="1"/>
      <c r="Q934" s="1"/>
      <c r="T934" s="1"/>
      <c r="W934" s="1"/>
      <c r="Y934" s="1"/>
      <c r="AB934" s="3"/>
    </row>
    <row r="935" ht="15.75" customHeight="1">
      <c r="E935" s="1"/>
      <c r="H935" s="1"/>
      <c r="K935" s="1"/>
      <c r="N935" s="1"/>
      <c r="Q935" s="1"/>
      <c r="T935" s="1"/>
      <c r="W935" s="1"/>
      <c r="Y935" s="1"/>
      <c r="AB935" s="3"/>
    </row>
    <row r="936" ht="15.75" customHeight="1">
      <c r="E936" s="1"/>
      <c r="H936" s="1"/>
      <c r="K936" s="1"/>
      <c r="N936" s="1"/>
      <c r="Q936" s="1"/>
      <c r="T936" s="1"/>
      <c r="W936" s="1"/>
      <c r="Y936" s="1"/>
      <c r="AB936" s="3"/>
    </row>
    <row r="937" ht="15.75" customHeight="1">
      <c r="E937" s="1"/>
      <c r="H937" s="1"/>
      <c r="K937" s="1"/>
      <c r="N937" s="1"/>
      <c r="Q937" s="1"/>
      <c r="T937" s="1"/>
      <c r="W937" s="1"/>
      <c r="Y937" s="1"/>
      <c r="AB937" s="3"/>
    </row>
    <row r="938" ht="15.75" customHeight="1">
      <c r="E938" s="1"/>
      <c r="H938" s="1"/>
      <c r="K938" s="1"/>
      <c r="N938" s="1"/>
      <c r="Q938" s="1"/>
      <c r="T938" s="1"/>
      <c r="W938" s="1"/>
      <c r="Y938" s="1"/>
      <c r="AB938" s="3"/>
    </row>
    <row r="939" ht="15.75" customHeight="1">
      <c r="E939" s="1"/>
      <c r="H939" s="1"/>
      <c r="K939" s="1"/>
      <c r="N939" s="1"/>
      <c r="Q939" s="1"/>
      <c r="T939" s="1"/>
      <c r="W939" s="1"/>
      <c r="Y939" s="1"/>
      <c r="AB939" s="3"/>
    </row>
    <row r="940" ht="15.75" customHeight="1">
      <c r="E940" s="1"/>
      <c r="H940" s="1"/>
      <c r="K940" s="1"/>
      <c r="N940" s="1"/>
      <c r="Q940" s="1"/>
      <c r="T940" s="1"/>
      <c r="W940" s="1"/>
      <c r="Y940" s="1"/>
      <c r="AB940" s="3"/>
    </row>
    <row r="941" ht="15.75" customHeight="1">
      <c r="E941" s="1"/>
      <c r="H941" s="1"/>
      <c r="K941" s="1"/>
      <c r="N941" s="1"/>
      <c r="Q941" s="1"/>
      <c r="T941" s="1"/>
      <c r="W941" s="1"/>
      <c r="Y941" s="1"/>
      <c r="AB941" s="3"/>
    </row>
    <row r="942" ht="15.75" customHeight="1">
      <c r="E942" s="1"/>
      <c r="H942" s="1"/>
      <c r="K942" s="1"/>
      <c r="N942" s="1"/>
      <c r="Q942" s="1"/>
      <c r="T942" s="1"/>
      <c r="W942" s="1"/>
      <c r="Y942" s="1"/>
      <c r="AB942" s="3"/>
    </row>
    <row r="943" ht="15.75" customHeight="1">
      <c r="E943" s="1"/>
      <c r="H943" s="1"/>
      <c r="K943" s="1"/>
      <c r="N943" s="1"/>
      <c r="Q943" s="1"/>
      <c r="T943" s="1"/>
      <c r="W943" s="1"/>
      <c r="Y943" s="1"/>
      <c r="AB943" s="3"/>
    </row>
    <row r="944" ht="15.75" customHeight="1">
      <c r="E944" s="1"/>
      <c r="H944" s="1"/>
      <c r="K944" s="1"/>
      <c r="N944" s="1"/>
      <c r="Q944" s="1"/>
      <c r="T944" s="1"/>
      <c r="W944" s="1"/>
      <c r="Y944" s="1"/>
      <c r="AB944" s="3"/>
    </row>
    <row r="945" ht="15.75" customHeight="1">
      <c r="E945" s="1"/>
      <c r="H945" s="1"/>
      <c r="K945" s="1"/>
      <c r="N945" s="1"/>
      <c r="Q945" s="1"/>
      <c r="T945" s="1"/>
      <c r="W945" s="1"/>
      <c r="Y945" s="1"/>
      <c r="AB945" s="3"/>
    </row>
    <row r="946" ht="15.75" customHeight="1">
      <c r="E946" s="1"/>
      <c r="H946" s="1"/>
      <c r="K946" s="1"/>
      <c r="N946" s="1"/>
      <c r="Q946" s="1"/>
      <c r="T946" s="1"/>
      <c r="W946" s="1"/>
      <c r="Y946" s="1"/>
      <c r="AB946" s="3"/>
    </row>
    <row r="947" ht="15.75" customHeight="1">
      <c r="E947" s="1"/>
      <c r="H947" s="1"/>
      <c r="K947" s="1"/>
      <c r="N947" s="1"/>
      <c r="Q947" s="1"/>
      <c r="T947" s="1"/>
      <c r="W947" s="1"/>
      <c r="Y947" s="1"/>
      <c r="AB947" s="3"/>
    </row>
    <row r="948" ht="15.75" customHeight="1">
      <c r="E948" s="1"/>
      <c r="H948" s="1"/>
      <c r="K948" s="1"/>
      <c r="N948" s="1"/>
      <c r="Q948" s="1"/>
      <c r="T948" s="1"/>
      <c r="W948" s="1"/>
      <c r="Y948" s="1"/>
      <c r="AB948" s="3"/>
    </row>
    <row r="949" ht="15.75" customHeight="1">
      <c r="E949" s="1"/>
      <c r="H949" s="1"/>
      <c r="K949" s="1"/>
      <c r="N949" s="1"/>
      <c r="Q949" s="1"/>
      <c r="T949" s="1"/>
      <c r="W949" s="1"/>
      <c r="Y949" s="1"/>
      <c r="AB949" s="3"/>
    </row>
    <row r="950" ht="15.75" customHeight="1">
      <c r="E950" s="1"/>
      <c r="H950" s="1"/>
      <c r="K950" s="1"/>
      <c r="N950" s="1"/>
      <c r="Q950" s="1"/>
      <c r="T950" s="1"/>
      <c r="W950" s="1"/>
      <c r="Y950" s="1"/>
      <c r="AB950" s="3"/>
    </row>
    <row r="951" ht="15.75" customHeight="1">
      <c r="E951" s="1"/>
      <c r="H951" s="1"/>
      <c r="K951" s="1"/>
      <c r="N951" s="1"/>
      <c r="Q951" s="1"/>
      <c r="T951" s="1"/>
      <c r="W951" s="1"/>
      <c r="Y951" s="1"/>
      <c r="AB951" s="3"/>
    </row>
    <row r="952" ht="15.75" customHeight="1">
      <c r="E952" s="1"/>
      <c r="H952" s="1"/>
      <c r="K952" s="1"/>
      <c r="N952" s="1"/>
      <c r="Q952" s="1"/>
      <c r="T952" s="1"/>
      <c r="W952" s="1"/>
      <c r="Y952" s="1"/>
      <c r="AB952" s="3"/>
    </row>
    <row r="953" ht="15.75" customHeight="1">
      <c r="E953" s="1"/>
      <c r="H953" s="1"/>
      <c r="K953" s="1"/>
      <c r="N953" s="1"/>
      <c r="Q953" s="1"/>
      <c r="T953" s="1"/>
      <c r="W953" s="1"/>
      <c r="Y953" s="1"/>
      <c r="AB953" s="3"/>
    </row>
    <row r="954" ht="15.75" customHeight="1">
      <c r="E954" s="1"/>
      <c r="H954" s="1"/>
      <c r="K954" s="1"/>
      <c r="N954" s="1"/>
      <c r="Q954" s="1"/>
      <c r="T954" s="1"/>
      <c r="W954" s="1"/>
      <c r="Y954" s="1"/>
      <c r="AB954" s="3"/>
    </row>
    <row r="955" ht="15.75" customHeight="1">
      <c r="E955" s="1"/>
      <c r="H955" s="1"/>
      <c r="K955" s="1"/>
      <c r="N955" s="1"/>
      <c r="Q955" s="1"/>
      <c r="T955" s="1"/>
      <c r="W955" s="1"/>
      <c r="Y955" s="1"/>
      <c r="AB955" s="3"/>
    </row>
    <row r="956" ht="15.75" customHeight="1">
      <c r="E956" s="1"/>
      <c r="H956" s="1"/>
      <c r="K956" s="1"/>
      <c r="N956" s="1"/>
      <c r="Q956" s="1"/>
      <c r="T956" s="1"/>
      <c r="W956" s="1"/>
      <c r="Y956" s="1"/>
      <c r="AB956" s="3"/>
    </row>
    <row r="957" ht="15.75" customHeight="1">
      <c r="E957" s="1"/>
      <c r="H957" s="1"/>
      <c r="K957" s="1"/>
      <c r="N957" s="1"/>
      <c r="Q957" s="1"/>
      <c r="T957" s="1"/>
      <c r="W957" s="1"/>
      <c r="Y957" s="1"/>
      <c r="AB957" s="3"/>
    </row>
    <row r="958" ht="15.75" customHeight="1">
      <c r="E958" s="1"/>
      <c r="H958" s="1"/>
      <c r="K958" s="1"/>
      <c r="N958" s="1"/>
      <c r="Q958" s="1"/>
      <c r="T958" s="1"/>
      <c r="W958" s="1"/>
      <c r="Y958" s="1"/>
      <c r="AB958" s="3"/>
    </row>
    <row r="959" ht="15.75" customHeight="1">
      <c r="E959" s="1"/>
      <c r="H959" s="1"/>
      <c r="K959" s="1"/>
      <c r="N959" s="1"/>
      <c r="Q959" s="1"/>
      <c r="T959" s="1"/>
      <c r="W959" s="1"/>
      <c r="Y959" s="1"/>
      <c r="AB959" s="3"/>
    </row>
    <row r="960" ht="15.75" customHeight="1">
      <c r="E960" s="1"/>
      <c r="H960" s="1"/>
      <c r="K960" s="1"/>
      <c r="N960" s="1"/>
      <c r="Q960" s="1"/>
      <c r="T960" s="1"/>
      <c r="W960" s="1"/>
      <c r="Y960" s="1"/>
      <c r="AB960" s="3"/>
    </row>
    <row r="961" ht="15.75" customHeight="1">
      <c r="E961" s="1"/>
      <c r="H961" s="1"/>
      <c r="K961" s="1"/>
      <c r="N961" s="1"/>
      <c r="Q961" s="1"/>
      <c r="T961" s="1"/>
      <c r="W961" s="1"/>
      <c r="Y961" s="1"/>
      <c r="AB961" s="3"/>
    </row>
    <row r="962" ht="15.75" customHeight="1">
      <c r="E962" s="1"/>
      <c r="H962" s="1"/>
      <c r="K962" s="1"/>
      <c r="N962" s="1"/>
      <c r="Q962" s="1"/>
      <c r="T962" s="1"/>
      <c r="W962" s="1"/>
      <c r="Y962" s="1"/>
      <c r="AB962" s="3"/>
    </row>
    <row r="963" ht="15.75" customHeight="1">
      <c r="E963" s="1"/>
      <c r="H963" s="1"/>
      <c r="K963" s="1"/>
      <c r="N963" s="1"/>
      <c r="Q963" s="1"/>
      <c r="T963" s="1"/>
      <c r="W963" s="1"/>
      <c r="Y963" s="1"/>
      <c r="AB963" s="3"/>
    </row>
    <row r="964" ht="15.75" customHeight="1">
      <c r="E964" s="1"/>
      <c r="H964" s="1"/>
      <c r="K964" s="1"/>
      <c r="N964" s="1"/>
      <c r="Q964" s="1"/>
      <c r="T964" s="1"/>
      <c r="W964" s="1"/>
      <c r="Y964" s="1"/>
      <c r="AB964" s="3"/>
    </row>
    <row r="965" ht="15.75" customHeight="1">
      <c r="E965" s="1"/>
      <c r="H965" s="1"/>
      <c r="K965" s="1"/>
      <c r="N965" s="1"/>
      <c r="Q965" s="1"/>
      <c r="T965" s="1"/>
      <c r="W965" s="1"/>
      <c r="Y965" s="1"/>
      <c r="AB965" s="3"/>
    </row>
    <row r="966" ht="15.75" customHeight="1">
      <c r="E966" s="1"/>
      <c r="H966" s="1"/>
      <c r="K966" s="1"/>
      <c r="N966" s="1"/>
      <c r="Q966" s="1"/>
      <c r="T966" s="1"/>
      <c r="W966" s="1"/>
      <c r="Y966" s="1"/>
      <c r="AB966" s="3"/>
    </row>
    <row r="967" ht="15.75" customHeight="1">
      <c r="E967" s="1"/>
      <c r="H967" s="1"/>
      <c r="K967" s="1"/>
      <c r="N967" s="1"/>
      <c r="Q967" s="1"/>
      <c r="T967" s="1"/>
      <c r="W967" s="1"/>
      <c r="Y967" s="1"/>
      <c r="AB967" s="3"/>
    </row>
    <row r="968" ht="15.75" customHeight="1">
      <c r="E968" s="1"/>
      <c r="H968" s="1"/>
      <c r="K968" s="1"/>
      <c r="N968" s="1"/>
      <c r="Q968" s="1"/>
      <c r="T968" s="1"/>
      <c r="W968" s="1"/>
      <c r="Y968" s="1"/>
      <c r="AB968" s="3"/>
    </row>
    <row r="969" ht="15.75" customHeight="1">
      <c r="E969" s="1"/>
      <c r="H969" s="1"/>
      <c r="K969" s="1"/>
      <c r="N969" s="1"/>
      <c r="Q969" s="1"/>
      <c r="T969" s="1"/>
      <c r="W969" s="1"/>
      <c r="Y969" s="1"/>
      <c r="AB969" s="3"/>
    </row>
    <row r="970" ht="15.75" customHeight="1">
      <c r="E970" s="1"/>
      <c r="H970" s="1"/>
      <c r="K970" s="1"/>
      <c r="N970" s="1"/>
      <c r="Q970" s="1"/>
      <c r="T970" s="1"/>
      <c r="W970" s="1"/>
      <c r="Y970" s="1"/>
      <c r="AB970" s="3"/>
    </row>
    <row r="971" ht="15.75" customHeight="1">
      <c r="E971" s="1"/>
      <c r="H971" s="1"/>
      <c r="K971" s="1"/>
      <c r="N971" s="1"/>
      <c r="Q971" s="1"/>
      <c r="T971" s="1"/>
      <c r="W971" s="1"/>
      <c r="Y971" s="1"/>
      <c r="AB971" s="3"/>
    </row>
    <row r="972" ht="15.75" customHeight="1">
      <c r="E972" s="1"/>
      <c r="H972" s="1"/>
      <c r="K972" s="1"/>
      <c r="N972" s="1"/>
      <c r="Q972" s="1"/>
      <c r="T972" s="1"/>
      <c r="W972" s="1"/>
      <c r="Y972" s="1"/>
      <c r="AB972" s="3"/>
    </row>
    <row r="973" ht="15.75" customHeight="1">
      <c r="E973" s="1"/>
      <c r="H973" s="1"/>
      <c r="K973" s="1"/>
      <c r="N973" s="1"/>
      <c r="Q973" s="1"/>
      <c r="T973" s="1"/>
      <c r="W973" s="1"/>
      <c r="Y973" s="1"/>
      <c r="AB973" s="3"/>
    </row>
    <row r="974" ht="15.75" customHeight="1">
      <c r="E974" s="1"/>
      <c r="H974" s="1"/>
      <c r="K974" s="1"/>
      <c r="N974" s="1"/>
      <c r="Q974" s="1"/>
      <c r="T974" s="1"/>
      <c r="W974" s="1"/>
      <c r="Y974" s="1"/>
      <c r="AB974" s="3"/>
    </row>
    <row r="975" ht="15.75" customHeight="1">
      <c r="E975" s="1"/>
      <c r="H975" s="1"/>
      <c r="K975" s="1"/>
      <c r="N975" s="1"/>
      <c r="Q975" s="1"/>
      <c r="T975" s="1"/>
      <c r="W975" s="1"/>
      <c r="Y975" s="1"/>
      <c r="AB975" s="3"/>
    </row>
    <row r="976" ht="15.75" customHeight="1">
      <c r="E976" s="1"/>
      <c r="H976" s="1"/>
      <c r="K976" s="1"/>
      <c r="N976" s="1"/>
      <c r="Q976" s="1"/>
      <c r="T976" s="1"/>
      <c r="W976" s="1"/>
      <c r="Y976" s="1"/>
      <c r="AB976" s="3"/>
    </row>
    <row r="977" ht="15.75" customHeight="1">
      <c r="E977" s="1"/>
      <c r="H977" s="1"/>
      <c r="K977" s="1"/>
      <c r="N977" s="1"/>
      <c r="Q977" s="1"/>
      <c r="T977" s="1"/>
      <c r="W977" s="1"/>
      <c r="Y977" s="1"/>
      <c r="AB977" s="3"/>
    </row>
    <row r="978" ht="15.75" customHeight="1">
      <c r="E978" s="1"/>
      <c r="H978" s="1"/>
      <c r="K978" s="1"/>
      <c r="N978" s="1"/>
      <c r="Q978" s="1"/>
      <c r="T978" s="1"/>
      <c r="W978" s="1"/>
      <c r="Y978" s="1"/>
      <c r="AB978" s="3"/>
    </row>
    <row r="979" ht="15.75" customHeight="1">
      <c r="E979" s="1"/>
      <c r="H979" s="1"/>
      <c r="K979" s="1"/>
      <c r="N979" s="1"/>
      <c r="Q979" s="1"/>
      <c r="T979" s="1"/>
      <c r="W979" s="1"/>
      <c r="Y979" s="1"/>
      <c r="AB979" s="3"/>
    </row>
    <row r="980" ht="15.75" customHeight="1">
      <c r="E980" s="1"/>
      <c r="H980" s="1"/>
      <c r="K980" s="1"/>
      <c r="N980" s="1"/>
      <c r="Q980" s="1"/>
      <c r="T980" s="1"/>
      <c r="W980" s="1"/>
      <c r="Y980" s="1"/>
      <c r="AB980" s="3"/>
    </row>
    <row r="981" ht="15.75" customHeight="1">
      <c r="E981" s="1"/>
      <c r="H981" s="1"/>
      <c r="K981" s="1"/>
      <c r="N981" s="1"/>
      <c r="Q981" s="1"/>
      <c r="T981" s="1"/>
      <c r="W981" s="1"/>
      <c r="Y981" s="1"/>
      <c r="AB981" s="3"/>
    </row>
    <row r="982" ht="15.75" customHeight="1">
      <c r="E982" s="1"/>
      <c r="H982" s="1"/>
      <c r="K982" s="1"/>
      <c r="N982" s="1"/>
      <c r="Q982" s="1"/>
      <c r="T982" s="1"/>
      <c r="W982" s="1"/>
      <c r="Y982" s="1"/>
      <c r="AB982" s="3"/>
    </row>
    <row r="983" ht="15.75" customHeight="1">
      <c r="E983" s="1"/>
      <c r="H983" s="1"/>
      <c r="K983" s="1"/>
      <c r="N983" s="1"/>
      <c r="Q983" s="1"/>
      <c r="T983" s="1"/>
      <c r="W983" s="1"/>
      <c r="Y983" s="1"/>
      <c r="AB983" s="3"/>
    </row>
    <row r="984" ht="15.75" customHeight="1">
      <c r="E984" s="1"/>
      <c r="H984" s="1"/>
      <c r="K984" s="1"/>
      <c r="N984" s="1"/>
      <c r="Q984" s="1"/>
      <c r="T984" s="1"/>
      <c r="W984" s="1"/>
      <c r="Y984" s="1"/>
      <c r="AB984" s="3"/>
    </row>
    <row r="985" ht="15.75" customHeight="1">
      <c r="E985" s="1"/>
      <c r="H985" s="1"/>
      <c r="K985" s="1"/>
      <c r="N985" s="1"/>
      <c r="Q985" s="1"/>
      <c r="T985" s="1"/>
      <c r="W985" s="1"/>
      <c r="Y985" s="1"/>
      <c r="AB985" s="3"/>
    </row>
    <row r="986" ht="15.75" customHeight="1">
      <c r="E986" s="1"/>
      <c r="H986" s="1"/>
      <c r="K986" s="1"/>
      <c r="N986" s="1"/>
      <c r="Q986" s="1"/>
      <c r="T986" s="1"/>
      <c r="W986" s="1"/>
      <c r="Y986" s="1"/>
      <c r="AB986" s="3"/>
    </row>
    <row r="987" ht="15.75" customHeight="1">
      <c r="E987" s="1"/>
      <c r="H987" s="1"/>
      <c r="K987" s="1"/>
      <c r="N987" s="1"/>
      <c r="Q987" s="1"/>
      <c r="T987" s="1"/>
      <c r="W987" s="1"/>
      <c r="Y987" s="1"/>
      <c r="AB987" s="3"/>
    </row>
    <row r="988" ht="15.75" customHeight="1">
      <c r="E988" s="1"/>
      <c r="H988" s="1"/>
      <c r="K988" s="1"/>
      <c r="N988" s="1"/>
      <c r="Q988" s="1"/>
      <c r="T988" s="1"/>
      <c r="W988" s="1"/>
      <c r="Y988" s="1"/>
      <c r="AB988" s="3"/>
    </row>
    <row r="989" ht="15.75" customHeight="1">
      <c r="E989" s="1"/>
      <c r="H989" s="1"/>
      <c r="K989" s="1"/>
      <c r="N989" s="1"/>
      <c r="Q989" s="1"/>
      <c r="T989" s="1"/>
      <c r="W989" s="1"/>
      <c r="Y989" s="1"/>
      <c r="AB989" s="3"/>
    </row>
    <row r="990" ht="15.75" customHeight="1">
      <c r="E990" s="1"/>
      <c r="H990" s="1"/>
      <c r="K990" s="1"/>
      <c r="N990" s="1"/>
      <c r="Q990" s="1"/>
      <c r="T990" s="1"/>
      <c r="W990" s="1"/>
      <c r="Y990" s="1"/>
      <c r="AB990" s="3"/>
    </row>
    <row r="991" ht="15.75" customHeight="1">
      <c r="E991" s="1"/>
      <c r="H991" s="1"/>
      <c r="K991" s="1"/>
      <c r="N991" s="1"/>
      <c r="Q991" s="1"/>
      <c r="T991" s="1"/>
      <c r="W991" s="1"/>
      <c r="Y991" s="1"/>
      <c r="AB991" s="3"/>
    </row>
    <row r="992" ht="15.75" customHeight="1">
      <c r="E992" s="1"/>
      <c r="H992" s="1"/>
      <c r="K992" s="1"/>
      <c r="N992" s="1"/>
      <c r="Q992" s="1"/>
      <c r="T992" s="1"/>
      <c r="W992" s="1"/>
      <c r="Y992" s="1"/>
      <c r="AB992" s="3"/>
    </row>
    <row r="993" ht="15.75" customHeight="1">
      <c r="E993" s="1"/>
      <c r="H993" s="1"/>
      <c r="K993" s="1"/>
      <c r="N993" s="1"/>
      <c r="Q993" s="1"/>
      <c r="T993" s="1"/>
      <c r="W993" s="1"/>
      <c r="Y993" s="1"/>
      <c r="AB993" s="3"/>
    </row>
    <row r="994" ht="15.75" customHeight="1">
      <c r="E994" s="1"/>
      <c r="H994" s="1"/>
      <c r="K994" s="1"/>
      <c r="N994" s="1"/>
      <c r="Q994" s="1"/>
      <c r="T994" s="1"/>
      <c r="W994" s="1"/>
      <c r="Y994" s="1"/>
      <c r="AB994" s="3"/>
    </row>
    <row r="995" ht="15.75" customHeight="1">
      <c r="E995" s="1"/>
      <c r="H995" s="1"/>
      <c r="K995" s="1"/>
      <c r="N995" s="1"/>
      <c r="Q995" s="1"/>
      <c r="T995" s="1"/>
      <c r="W995" s="1"/>
      <c r="Y995" s="1"/>
      <c r="AB995" s="3"/>
    </row>
    <row r="996" ht="15.75" customHeight="1">
      <c r="E996" s="1"/>
      <c r="H996" s="1"/>
      <c r="K996" s="1"/>
      <c r="N996" s="1"/>
      <c r="Q996" s="1"/>
      <c r="T996" s="1"/>
      <c r="W996" s="1"/>
      <c r="Y996" s="1"/>
      <c r="AB996" s="3"/>
    </row>
    <row r="997" ht="15.75" customHeight="1">
      <c r="E997" s="1"/>
      <c r="H997" s="1"/>
      <c r="K997" s="1"/>
      <c r="N997" s="1"/>
      <c r="Q997" s="1"/>
      <c r="T997" s="1"/>
      <c r="W997" s="1"/>
      <c r="Y997" s="1"/>
      <c r="AB997" s="3"/>
    </row>
    <row r="998" ht="15.75" customHeight="1">
      <c r="E998" s="1"/>
      <c r="H998" s="1"/>
      <c r="K998" s="1"/>
      <c r="N998" s="1"/>
      <c r="Q998" s="1"/>
      <c r="T998" s="1"/>
      <c r="W998" s="1"/>
      <c r="Y998" s="1"/>
      <c r="AB998" s="3"/>
    </row>
    <row r="999" ht="15.75" customHeight="1">
      <c r="E999" s="1"/>
      <c r="H999" s="1"/>
      <c r="K999" s="1"/>
      <c r="N999" s="1"/>
      <c r="Q999" s="1"/>
      <c r="T999" s="1"/>
      <c r="W999" s="1"/>
      <c r="Y999" s="1"/>
      <c r="AB999" s="3"/>
    </row>
    <row r="1000" ht="15.75" customHeight="1">
      <c r="E1000" s="1"/>
      <c r="H1000" s="1"/>
      <c r="K1000" s="1"/>
      <c r="N1000" s="1"/>
      <c r="Q1000" s="1"/>
      <c r="T1000" s="1"/>
      <c r="W1000" s="1"/>
      <c r="Y1000" s="1"/>
      <c r="AB1000" s="3"/>
    </row>
    <row r="1001" ht="15.75" customHeight="1">
      <c r="E1001" s="1"/>
      <c r="H1001" s="1"/>
      <c r="K1001" s="1"/>
      <c r="N1001" s="1"/>
      <c r="Q1001" s="1"/>
      <c r="T1001" s="1"/>
      <c r="W1001" s="1"/>
      <c r="Y1001" s="1"/>
      <c r="AB1001" s="3"/>
    </row>
    <row r="1002" ht="15.75" customHeight="1">
      <c r="E1002" s="1"/>
      <c r="H1002" s="1"/>
      <c r="K1002" s="1"/>
      <c r="N1002" s="1"/>
      <c r="Q1002" s="1"/>
      <c r="T1002" s="1"/>
      <c r="W1002" s="1"/>
      <c r="Y1002" s="1"/>
      <c r="AB1002" s="3"/>
    </row>
    <row r="1003" ht="15.75" customHeight="1">
      <c r="E1003" s="1"/>
      <c r="H1003" s="1"/>
      <c r="K1003" s="1"/>
      <c r="N1003" s="1"/>
      <c r="Q1003" s="1"/>
      <c r="T1003" s="1"/>
      <c r="W1003" s="1"/>
      <c r="Y1003" s="1"/>
      <c r="AB1003" s="3"/>
    </row>
    <row r="1004" ht="15.75" customHeight="1">
      <c r="E1004" s="1"/>
      <c r="H1004" s="1"/>
      <c r="K1004" s="1"/>
      <c r="N1004" s="1"/>
      <c r="Q1004" s="1"/>
      <c r="T1004" s="1"/>
      <c r="W1004" s="1"/>
      <c r="Y1004" s="1"/>
      <c r="AB1004" s="3"/>
    </row>
    <row r="1005" ht="15.75" customHeight="1">
      <c r="E1005" s="1"/>
      <c r="H1005" s="1"/>
      <c r="K1005" s="1"/>
      <c r="N1005" s="1"/>
      <c r="Q1005" s="1"/>
      <c r="T1005" s="1"/>
      <c r="W1005" s="1"/>
      <c r="Y1005" s="1"/>
      <c r="AB1005" s="3"/>
    </row>
    <row r="1006" ht="15.75" customHeight="1">
      <c r="E1006" s="1"/>
      <c r="H1006" s="1"/>
      <c r="K1006" s="1"/>
      <c r="N1006" s="1"/>
      <c r="Q1006" s="1"/>
      <c r="T1006" s="1"/>
      <c r="W1006" s="1"/>
      <c r="Y1006" s="1"/>
      <c r="AB1006" s="3"/>
    </row>
    <row r="1007" ht="15.75" customHeight="1">
      <c r="E1007" s="1"/>
      <c r="H1007" s="1"/>
      <c r="K1007" s="1"/>
      <c r="N1007" s="1"/>
      <c r="Q1007" s="1"/>
      <c r="T1007" s="1"/>
      <c r="W1007" s="1"/>
      <c r="Y1007" s="1"/>
      <c r="AB1007" s="3"/>
    </row>
    <row r="1008" ht="15.75" customHeight="1">
      <c r="E1008" s="1"/>
      <c r="H1008" s="1"/>
      <c r="K1008" s="1"/>
      <c r="N1008" s="1"/>
      <c r="Q1008" s="1"/>
      <c r="T1008" s="1"/>
      <c r="W1008" s="1"/>
      <c r="Y1008" s="1"/>
      <c r="AB1008" s="3"/>
    </row>
    <row r="1009" ht="15.75" customHeight="1">
      <c r="E1009" s="1"/>
      <c r="H1009" s="1"/>
      <c r="K1009" s="1"/>
      <c r="N1009" s="1"/>
      <c r="Q1009" s="1"/>
      <c r="T1009" s="1"/>
      <c r="W1009" s="1"/>
      <c r="Y1009" s="1"/>
      <c r="AB1009" s="3"/>
    </row>
    <row r="1010" ht="15.75" customHeight="1">
      <c r="E1010" s="1"/>
      <c r="H1010" s="1"/>
      <c r="K1010" s="1"/>
      <c r="N1010" s="1"/>
      <c r="Q1010" s="1"/>
      <c r="T1010" s="1"/>
      <c r="W1010" s="1"/>
      <c r="Y1010" s="1"/>
      <c r="AB1010" s="3"/>
    </row>
    <row r="1011" ht="15.75" customHeight="1">
      <c r="E1011" s="1"/>
      <c r="H1011" s="1"/>
      <c r="K1011" s="1"/>
      <c r="N1011" s="1"/>
      <c r="Q1011" s="1"/>
      <c r="T1011" s="1"/>
      <c r="W1011" s="1"/>
      <c r="Y1011" s="1"/>
      <c r="AB1011" s="3"/>
    </row>
    <row r="1012" ht="15.75" customHeight="1">
      <c r="E1012" s="1"/>
      <c r="H1012" s="1"/>
      <c r="K1012" s="1"/>
      <c r="N1012" s="1"/>
      <c r="Q1012" s="1"/>
      <c r="T1012" s="1"/>
      <c r="W1012" s="1"/>
      <c r="Y1012" s="1"/>
      <c r="AB1012" s="3"/>
    </row>
    <row r="1013" ht="15.75" customHeight="1">
      <c r="E1013" s="1"/>
      <c r="H1013" s="1"/>
      <c r="K1013" s="1"/>
      <c r="N1013" s="1"/>
      <c r="Q1013" s="1"/>
      <c r="T1013" s="1"/>
      <c r="W1013" s="1"/>
      <c r="Y1013" s="1"/>
      <c r="AB1013" s="3"/>
    </row>
    <row r="1014" ht="15.75" customHeight="1">
      <c r="E1014" s="1"/>
      <c r="H1014" s="1"/>
      <c r="K1014" s="1"/>
      <c r="N1014" s="1"/>
      <c r="Q1014" s="1"/>
      <c r="T1014" s="1"/>
      <c r="W1014" s="1"/>
      <c r="Y1014" s="1"/>
      <c r="AB1014" s="3"/>
    </row>
    <row r="1015" ht="15.75" customHeight="1">
      <c r="E1015" s="1"/>
      <c r="H1015" s="1"/>
      <c r="K1015" s="1"/>
      <c r="N1015" s="1"/>
      <c r="Q1015" s="1"/>
      <c r="T1015" s="1"/>
      <c r="W1015" s="1"/>
      <c r="Y1015" s="1"/>
      <c r="AB1015" s="3"/>
    </row>
    <row r="1016" ht="15.75" customHeight="1">
      <c r="E1016" s="1"/>
      <c r="H1016" s="1"/>
      <c r="K1016" s="1"/>
      <c r="N1016" s="1"/>
      <c r="Q1016" s="1"/>
      <c r="T1016" s="1"/>
      <c r="W1016" s="1"/>
      <c r="Y1016" s="1"/>
      <c r="AB1016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3.29"/>
    <col customWidth="1" min="4" max="4" width="12.57"/>
    <col customWidth="1" min="5" max="5" width="7.14"/>
    <col customWidth="1" min="6" max="6" width="13.86"/>
    <col customWidth="1" min="7" max="7" width="12.43"/>
    <col customWidth="1" min="8" max="8" width="7.14"/>
    <col customWidth="1" min="9" max="9" width="13.86"/>
    <col customWidth="1" min="10" max="10" width="12.43"/>
    <col customWidth="1" min="11" max="11" width="7.14"/>
    <col customWidth="1" min="12" max="12" width="13.86"/>
    <col customWidth="1" min="13" max="13" width="12.43"/>
    <col customWidth="1" min="14" max="14" width="7.14"/>
    <col customWidth="1" min="15" max="15" width="13.86"/>
    <col customWidth="1" min="16" max="16" width="12.43"/>
    <col customWidth="1" min="17" max="17" width="7.14"/>
    <col customWidth="1" min="18" max="18" width="13.86"/>
    <col customWidth="1" min="19" max="19" width="12.43"/>
    <col customWidth="1" min="20" max="20" width="7.14"/>
    <col customWidth="1" min="21" max="21" width="13.86"/>
    <col customWidth="1" min="22" max="22" width="12.43"/>
    <col customWidth="1" min="23" max="23" width="8.71"/>
    <col customWidth="1" min="24" max="24" width="17.0"/>
    <col customWidth="1" min="25" max="25" width="7.14"/>
    <col customWidth="1" min="26" max="26" width="13.86"/>
    <col customWidth="1" min="27" max="27" width="12.43"/>
    <col customWidth="1" min="28" max="28" width="17.29"/>
    <col customWidth="1" min="29" max="29" width="15.86"/>
    <col customWidth="1" min="30" max="30" width="63.29"/>
    <col customWidth="1" min="31" max="31" width="8.71"/>
  </cols>
  <sheetData>
    <row r="1">
      <c r="E1" s="1"/>
      <c r="H1" s="1"/>
      <c r="K1" s="1"/>
      <c r="N1" s="1"/>
      <c r="Q1" s="1"/>
      <c r="T1" s="1"/>
      <c r="W1" s="1"/>
      <c r="Y1" s="1"/>
      <c r="AB1" s="3"/>
    </row>
    <row r="2">
      <c r="A2" s="4"/>
      <c r="B2" s="4"/>
      <c r="C2" s="5" t="s">
        <v>0</v>
      </c>
      <c r="D2" s="6"/>
      <c r="E2" s="7"/>
      <c r="F2" s="4"/>
      <c r="G2" s="4"/>
      <c r="H2" s="7"/>
      <c r="I2" s="4"/>
      <c r="J2" s="4"/>
      <c r="K2" s="7"/>
      <c r="L2" s="4"/>
      <c r="M2" s="4"/>
      <c r="N2" s="7"/>
      <c r="O2" s="4"/>
      <c r="P2" s="4"/>
      <c r="Q2" s="7"/>
      <c r="R2" s="4"/>
      <c r="S2" s="4"/>
      <c r="T2" s="7"/>
      <c r="U2" s="4"/>
      <c r="V2" s="4"/>
      <c r="W2" s="7"/>
      <c r="X2" s="4"/>
      <c r="Y2" s="7"/>
      <c r="Z2" s="4"/>
      <c r="AA2" s="4"/>
      <c r="AB2" s="4"/>
      <c r="AC2" s="4"/>
      <c r="AD2" s="4"/>
    </row>
    <row r="3">
      <c r="A3" s="4" t="s">
        <v>1</v>
      </c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  <c r="G3" s="4" t="s">
        <v>7</v>
      </c>
      <c r="H3" s="9" t="s">
        <v>8</v>
      </c>
      <c r="I3" s="4" t="s">
        <v>6</v>
      </c>
      <c r="J3" s="4" t="s">
        <v>7</v>
      </c>
      <c r="K3" s="9" t="s">
        <v>9</v>
      </c>
      <c r="L3" s="4" t="s">
        <v>6</v>
      </c>
      <c r="M3" s="4" t="s">
        <v>7</v>
      </c>
      <c r="N3" s="9" t="s">
        <v>10</v>
      </c>
      <c r="O3" s="4" t="s">
        <v>6</v>
      </c>
      <c r="P3" s="4" t="s">
        <v>7</v>
      </c>
      <c r="Q3" s="9" t="s">
        <v>11</v>
      </c>
      <c r="R3" s="4" t="s">
        <v>6</v>
      </c>
      <c r="S3" s="4" t="s">
        <v>7</v>
      </c>
      <c r="T3" s="88" t="s">
        <v>13</v>
      </c>
      <c r="U3" s="4" t="s">
        <v>6</v>
      </c>
      <c r="V3" s="4" t="s">
        <v>7</v>
      </c>
      <c r="W3" s="88" t="s">
        <v>12</v>
      </c>
      <c r="X3" s="4" t="s">
        <v>6</v>
      </c>
      <c r="Y3" s="12" t="s">
        <v>14</v>
      </c>
      <c r="Z3" s="4" t="s">
        <v>6</v>
      </c>
      <c r="AA3" s="4" t="s">
        <v>7</v>
      </c>
      <c r="AB3" s="38" t="s">
        <v>15</v>
      </c>
      <c r="AC3" s="4" t="s">
        <v>16</v>
      </c>
      <c r="AD3" s="4" t="s">
        <v>17</v>
      </c>
    </row>
    <row r="4">
      <c r="A4" s="61" t="s">
        <v>20</v>
      </c>
      <c r="B4" s="61" t="s">
        <v>21</v>
      </c>
      <c r="C4" s="71"/>
      <c r="D4" s="71"/>
      <c r="E4" s="57"/>
      <c r="F4" s="17">
        <f t="shared" ref="F4:F52" si="1">PRODUCT(E4)*214.22</f>
        <v>0</v>
      </c>
      <c r="G4" s="47"/>
      <c r="H4" s="57"/>
      <c r="I4" s="17">
        <f t="shared" ref="I4:I39" si="2">PRODUCT(H4)*316.77</f>
        <v>0</v>
      </c>
      <c r="J4" s="17"/>
      <c r="K4" s="57"/>
      <c r="L4" s="17">
        <f t="shared" ref="L4:L52" si="3">PRODUCT(K4)*188.57</f>
        <v>0</v>
      </c>
      <c r="M4" s="47"/>
      <c r="N4" s="57"/>
      <c r="O4" s="17">
        <f t="shared" ref="O4:O16" si="4">PRODUCT(N4)*58.85</f>
        <v>0</v>
      </c>
      <c r="P4" s="17"/>
      <c r="Q4" s="16"/>
      <c r="R4" s="17">
        <f t="shared" ref="R4:R52" si="5">PRODUCT(Q4)*30.16</f>
        <v>0</v>
      </c>
      <c r="S4" s="17"/>
      <c r="T4" s="57"/>
      <c r="U4" s="17">
        <f t="shared" ref="U4:U52" si="6">PRODUCT(T4)*5.07</f>
        <v>0</v>
      </c>
      <c r="V4" s="47"/>
      <c r="W4" s="57"/>
      <c r="X4" s="17">
        <f t="shared" ref="X4:X52" si="7">PRODUCT(W4)*18.22</f>
        <v>0</v>
      </c>
      <c r="Y4" s="63"/>
      <c r="Z4" s="17">
        <f t="shared" ref="Z4:Z52" si="8">PRODUCT(Y4)*33.37</f>
        <v>0</v>
      </c>
      <c r="AA4" s="17"/>
      <c r="AB4" s="48">
        <v>0.0</v>
      </c>
      <c r="AC4" s="50"/>
      <c r="AD4" s="23"/>
    </row>
    <row r="5">
      <c r="A5" s="61" t="s">
        <v>248</v>
      </c>
      <c r="B5" s="61" t="s">
        <v>249</v>
      </c>
      <c r="C5" s="62">
        <v>45435.0</v>
      </c>
      <c r="D5" s="62">
        <v>45442.0</v>
      </c>
      <c r="E5" s="57"/>
      <c r="F5" s="17">
        <f t="shared" si="1"/>
        <v>0</v>
      </c>
      <c r="G5" s="17"/>
      <c r="H5" s="57"/>
      <c r="I5" s="17">
        <f t="shared" si="2"/>
        <v>0</v>
      </c>
      <c r="J5" s="47"/>
      <c r="K5" s="57">
        <v>4.0</v>
      </c>
      <c r="L5" s="17">
        <f t="shared" si="3"/>
        <v>754.28</v>
      </c>
      <c r="M5" s="17"/>
      <c r="N5" s="57"/>
      <c r="O5" s="17">
        <f t="shared" si="4"/>
        <v>0</v>
      </c>
      <c r="P5" s="17"/>
      <c r="Q5" s="16"/>
      <c r="R5" s="17">
        <f t="shared" si="5"/>
        <v>0</v>
      </c>
      <c r="S5" s="17"/>
      <c r="T5" s="57"/>
      <c r="U5" s="17">
        <f t="shared" si="6"/>
        <v>0</v>
      </c>
      <c r="V5" s="17"/>
      <c r="W5" s="57">
        <v>50.0</v>
      </c>
      <c r="X5" s="17">
        <f t="shared" si="7"/>
        <v>911</v>
      </c>
      <c r="Y5" s="20"/>
      <c r="Z5" s="17">
        <f t="shared" si="8"/>
        <v>0</v>
      </c>
      <c r="AA5" s="17"/>
      <c r="AB5" s="21">
        <f t="shared" ref="AB5:AB6" si="9">SUM(F5+I5+L5+O5+R5)</f>
        <v>754.28</v>
      </c>
      <c r="AC5" s="50"/>
      <c r="AD5" s="24"/>
    </row>
    <row r="6">
      <c r="A6" s="61" t="s">
        <v>203</v>
      </c>
      <c r="B6" s="61" t="s">
        <v>204</v>
      </c>
      <c r="C6" s="71">
        <v>45440.0</v>
      </c>
      <c r="D6" s="62">
        <v>45440.0</v>
      </c>
      <c r="E6" s="57"/>
      <c r="F6" s="17">
        <f t="shared" si="1"/>
        <v>0</v>
      </c>
      <c r="G6" s="47"/>
      <c r="H6" s="57"/>
      <c r="I6" s="17">
        <f t="shared" si="2"/>
        <v>0</v>
      </c>
      <c r="J6" s="17"/>
      <c r="K6" s="57">
        <v>1.0</v>
      </c>
      <c r="L6" s="17">
        <f t="shared" si="3"/>
        <v>188.57</v>
      </c>
      <c r="M6" s="17"/>
      <c r="N6" s="57"/>
      <c r="O6" s="17">
        <f t="shared" si="4"/>
        <v>0</v>
      </c>
      <c r="P6" s="17"/>
      <c r="Q6" s="16"/>
      <c r="R6" s="17">
        <f t="shared" si="5"/>
        <v>0</v>
      </c>
      <c r="S6" s="17"/>
      <c r="T6" s="16"/>
      <c r="U6" s="17">
        <f t="shared" si="6"/>
        <v>0</v>
      </c>
      <c r="V6" s="17"/>
      <c r="W6" s="57"/>
      <c r="X6" s="17">
        <f t="shared" si="7"/>
        <v>0</v>
      </c>
      <c r="Y6" s="63"/>
      <c r="Z6" s="17">
        <f t="shared" si="8"/>
        <v>0</v>
      </c>
      <c r="AA6" s="17"/>
      <c r="AB6" s="21">
        <f t="shared" si="9"/>
        <v>188.57</v>
      </c>
      <c r="AC6" s="26"/>
      <c r="AD6" s="24"/>
    </row>
    <row r="7">
      <c r="A7" s="58" t="s">
        <v>242</v>
      </c>
      <c r="B7" s="58" t="s">
        <v>243</v>
      </c>
      <c r="C7" s="62"/>
      <c r="D7" s="62"/>
      <c r="E7" s="57"/>
      <c r="F7" s="17">
        <f t="shared" si="1"/>
        <v>0</v>
      </c>
      <c r="G7" s="47"/>
      <c r="H7" s="57"/>
      <c r="I7" s="17">
        <f t="shared" si="2"/>
        <v>0</v>
      </c>
      <c r="J7" s="47"/>
      <c r="K7" s="57"/>
      <c r="L7" s="17">
        <f t="shared" si="3"/>
        <v>0</v>
      </c>
      <c r="M7" s="17"/>
      <c r="N7" s="16"/>
      <c r="O7" s="17">
        <f t="shared" si="4"/>
        <v>0</v>
      </c>
      <c r="P7" s="17"/>
      <c r="Q7" s="16"/>
      <c r="R7" s="17">
        <f t="shared" si="5"/>
        <v>0</v>
      </c>
      <c r="S7" s="17"/>
      <c r="T7" s="57"/>
      <c r="U7" s="17">
        <f t="shared" si="6"/>
        <v>0</v>
      </c>
      <c r="V7" s="47"/>
      <c r="W7" s="57"/>
      <c r="X7" s="17">
        <f t="shared" si="7"/>
        <v>0</v>
      </c>
      <c r="Y7" s="63"/>
      <c r="Z7" s="17">
        <f t="shared" si="8"/>
        <v>0</v>
      </c>
      <c r="AA7" s="17"/>
      <c r="AB7" s="48">
        <v>0.0</v>
      </c>
      <c r="AC7" s="50"/>
      <c r="AD7" s="24"/>
    </row>
    <row r="8">
      <c r="A8" s="58" t="s">
        <v>244</v>
      </c>
      <c r="B8" s="58" t="s">
        <v>245</v>
      </c>
      <c r="C8" s="71"/>
      <c r="D8" s="62"/>
      <c r="E8" s="57"/>
      <c r="F8" s="17">
        <f t="shared" si="1"/>
        <v>0</v>
      </c>
      <c r="G8" s="47"/>
      <c r="H8" s="57"/>
      <c r="I8" s="17">
        <f t="shared" si="2"/>
        <v>0</v>
      </c>
      <c r="J8" s="17"/>
      <c r="K8" s="57"/>
      <c r="L8" s="17">
        <f t="shared" si="3"/>
        <v>0</v>
      </c>
      <c r="M8" s="17"/>
      <c r="N8" s="16"/>
      <c r="O8" s="17">
        <f t="shared" si="4"/>
        <v>0</v>
      </c>
      <c r="P8" s="17"/>
      <c r="Q8" s="16"/>
      <c r="R8" s="17">
        <f t="shared" si="5"/>
        <v>0</v>
      </c>
      <c r="S8" s="17"/>
      <c r="T8" s="57"/>
      <c r="U8" s="17">
        <f t="shared" si="6"/>
        <v>0</v>
      </c>
      <c r="V8" s="17"/>
      <c r="W8" s="57"/>
      <c r="X8" s="17">
        <f t="shared" si="7"/>
        <v>0</v>
      </c>
      <c r="Y8" s="20"/>
      <c r="Z8" s="17">
        <f t="shared" si="8"/>
        <v>0</v>
      </c>
      <c r="AA8" s="17"/>
      <c r="AB8" s="48">
        <v>0.0</v>
      </c>
      <c r="AC8" s="49"/>
      <c r="AD8" s="23"/>
    </row>
    <row r="9">
      <c r="A9" s="58" t="s">
        <v>230</v>
      </c>
      <c r="B9" s="58" t="s">
        <v>149</v>
      </c>
      <c r="C9" s="71"/>
      <c r="D9" s="71"/>
      <c r="E9" s="57"/>
      <c r="F9" s="17">
        <f t="shared" si="1"/>
        <v>0</v>
      </c>
      <c r="G9" s="47"/>
      <c r="H9" s="57"/>
      <c r="I9" s="17">
        <f t="shared" si="2"/>
        <v>0</v>
      </c>
      <c r="J9" s="17"/>
      <c r="K9" s="57"/>
      <c r="L9" s="17">
        <f t="shared" si="3"/>
        <v>0</v>
      </c>
      <c r="M9" s="17"/>
      <c r="N9" s="57"/>
      <c r="O9" s="17">
        <f t="shared" si="4"/>
        <v>0</v>
      </c>
      <c r="P9" s="47"/>
      <c r="Q9" s="16"/>
      <c r="R9" s="17">
        <f t="shared" si="5"/>
        <v>0</v>
      </c>
      <c r="S9" s="17"/>
      <c r="T9" s="57"/>
      <c r="U9" s="17">
        <f t="shared" si="6"/>
        <v>0</v>
      </c>
      <c r="V9" s="47"/>
      <c r="W9" s="57"/>
      <c r="X9" s="17">
        <f t="shared" si="7"/>
        <v>0</v>
      </c>
      <c r="Y9" s="20"/>
      <c r="Z9" s="17">
        <f t="shared" si="8"/>
        <v>0</v>
      </c>
      <c r="AA9" s="17"/>
      <c r="AB9" s="48">
        <v>0.0</v>
      </c>
      <c r="AC9" s="76"/>
      <c r="AD9" s="23"/>
    </row>
    <row r="10">
      <c r="A10" s="58" t="s">
        <v>183</v>
      </c>
      <c r="B10" s="58" t="s">
        <v>184</v>
      </c>
      <c r="C10" s="71">
        <v>45440.0</v>
      </c>
      <c r="D10" s="71">
        <v>45441.0</v>
      </c>
      <c r="E10" s="57"/>
      <c r="F10" s="17">
        <f t="shared" si="1"/>
        <v>0</v>
      </c>
      <c r="G10" s="17"/>
      <c r="H10" s="57"/>
      <c r="I10" s="17">
        <f t="shared" si="2"/>
        <v>0</v>
      </c>
      <c r="J10" s="17"/>
      <c r="K10" s="57">
        <v>2.0</v>
      </c>
      <c r="L10" s="17">
        <f t="shared" si="3"/>
        <v>377.14</v>
      </c>
      <c r="M10" s="47"/>
      <c r="N10" s="57"/>
      <c r="O10" s="17">
        <f t="shared" si="4"/>
        <v>0</v>
      </c>
      <c r="P10" s="17"/>
      <c r="Q10" s="16"/>
      <c r="R10" s="17">
        <f t="shared" si="5"/>
        <v>0</v>
      </c>
      <c r="S10" s="17"/>
      <c r="T10" s="57">
        <v>12.0</v>
      </c>
      <c r="U10" s="17">
        <f t="shared" si="6"/>
        <v>60.84</v>
      </c>
      <c r="V10" s="17"/>
      <c r="W10" s="57"/>
      <c r="X10" s="17">
        <f t="shared" si="7"/>
        <v>0</v>
      </c>
      <c r="Y10" s="20"/>
      <c r="Z10" s="17">
        <f t="shared" si="8"/>
        <v>0</v>
      </c>
      <c r="AA10" s="50"/>
      <c r="AB10" s="48">
        <v>0.0</v>
      </c>
      <c r="AC10" s="50"/>
      <c r="AD10" s="23"/>
    </row>
    <row r="11">
      <c r="A11" s="58" t="s">
        <v>55</v>
      </c>
      <c r="B11" s="58" t="s">
        <v>233</v>
      </c>
      <c r="C11" s="71">
        <v>45441.0</v>
      </c>
      <c r="D11" s="62">
        <v>45442.0</v>
      </c>
      <c r="E11" s="16"/>
      <c r="F11" s="17">
        <f t="shared" si="1"/>
        <v>0</v>
      </c>
      <c r="G11" s="17"/>
      <c r="H11" s="57"/>
      <c r="I11" s="17">
        <f t="shared" si="2"/>
        <v>0</v>
      </c>
      <c r="J11" s="47"/>
      <c r="K11" s="57">
        <v>2.0</v>
      </c>
      <c r="L11" s="17">
        <f t="shared" si="3"/>
        <v>377.14</v>
      </c>
      <c r="M11" s="47"/>
      <c r="N11" s="16"/>
      <c r="O11" s="17">
        <f t="shared" si="4"/>
        <v>0</v>
      </c>
      <c r="P11" s="17"/>
      <c r="Q11" s="16"/>
      <c r="R11" s="17">
        <f t="shared" si="5"/>
        <v>0</v>
      </c>
      <c r="S11" s="17"/>
      <c r="T11" s="57"/>
      <c r="U11" s="17">
        <f t="shared" si="6"/>
        <v>0</v>
      </c>
      <c r="V11" s="17"/>
      <c r="W11" s="57"/>
      <c r="X11" s="17">
        <f t="shared" si="7"/>
        <v>0</v>
      </c>
      <c r="Y11" s="63"/>
      <c r="Z11" s="17">
        <f t="shared" si="8"/>
        <v>0</v>
      </c>
      <c r="AA11" s="17"/>
      <c r="AB11" s="48">
        <v>0.0</v>
      </c>
      <c r="AC11" s="49"/>
      <c r="AD11" s="89"/>
    </row>
    <row r="12">
      <c r="A12" s="58" t="s">
        <v>225</v>
      </c>
      <c r="B12" s="58" t="s">
        <v>226</v>
      </c>
      <c r="C12" s="62">
        <v>45440.0</v>
      </c>
      <c r="D12" s="62">
        <v>45442.0</v>
      </c>
      <c r="E12" s="16"/>
      <c r="F12" s="17">
        <f t="shared" si="1"/>
        <v>0</v>
      </c>
      <c r="G12" s="17"/>
      <c r="H12" s="57"/>
      <c r="I12" s="17">
        <f t="shared" si="2"/>
        <v>0</v>
      </c>
      <c r="J12" s="17"/>
      <c r="K12" s="57">
        <v>2.0</v>
      </c>
      <c r="L12" s="17">
        <f t="shared" si="3"/>
        <v>377.14</v>
      </c>
      <c r="M12" s="47"/>
      <c r="N12" s="16"/>
      <c r="O12" s="17">
        <f t="shared" si="4"/>
        <v>0</v>
      </c>
      <c r="P12" s="17"/>
      <c r="Q12" s="16"/>
      <c r="R12" s="17">
        <f t="shared" si="5"/>
        <v>0</v>
      </c>
      <c r="S12" s="17"/>
      <c r="T12" s="57"/>
      <c r="U12" s="17">
        <f t="shared" si="6"/>
        <v>0</v>
      </c>
      <c r="V12" s="17"/>
      <c r="W12" s="57"/>
      <c r="X12" s="17">
        <f t="shared" si="7"/>
        <v>0</v>
      </c>
      <c r="Y12" s="20"/>
      <c r="Z12" s="17">
        <f t="shared" si="8"/>
        <v>0</v>
      </c>
      <c r="AA12" s="17"/>
      <c r="AB12" s="48">
        <v>0.0</v>
      </c>
      <c r="AC12" s="50"/>
      <c r="AD12" s="23"/>
    </row>
    <row r="13">
      <c r="A13" s="58" t="s">
        <v>115</v>
      </c>
      <c r="B13" s="58" t="s">
        <v>150</v>
      </c>
      <c r="C13" s="62"/>
      <c r="D13" s="62"/>
      <c r="E13" s="16"/>
      <c r="F13" s="17">
        <f t="shared" si="1"/>
        <v>0</v>
      </c>
      <c r="G13" s="47"/>
      <c r="H13" s="57"/>
      <c r="I13" s="17">
        <f t="shared" si="2"/>
        <v>0</v>
      </c>
      <c r="J13" s="17"/>
      <c r="K13" s="57"/>
      <c r="L13" s="17">
        <f t="shared" si="3"/>
        <v>0</v>
      </c>
      <c r="M13" s="47"/>
      <c r="N13" s="16"/>
      <c r="O13" s="17">
        <f t="shared" si="4"/>
        <v>0</v>
      </c>
      <c r="P13" s="17"/>
      <c r="Q13" s="57"/>
      <c r="R13" s="17">
        <f t="shared" si="5"/>
        <v>0</v>
      </c>
      <c r="S13" s="17"/>
      <c r="T13" s="57"/>
      <c r="U13" s="17">
        <f t="shared" si="6"/>
        <v>0</v>
      </c>
      <c r="V13" s="47"/>
      <c r="W13" s="57"/>
      <c r="X13" s="17">
        <f t="shared" si="7"/>
        <v>0</v>
      </c>
      <c r="Y13" s="63"/>
      <c r="Z13" s="17">
        <f t="shared" si="8"/>
        <v>0</v>
      </c>
      <c r="AA13" s="17"/>
      <c r="AB13" s="48">
        <v>0.0</v>
      </c>
      <c r="AC13" s="50"/>
      <c r="AD13" s="23"/>
    </row>
    <row r="14">
      <c r="A14" s="58" t="s">
        <v>161</v>
      </c>
      <c r="B14" s="58" t="s">
        <v>47</v>
      </c>
      <c r="C14" s="62">
        <v>45441.0</v>
      </c>
      <c r="D14" s="62">
        <v>45441.0</v>
      </c>
      <c r="E14" s="57"/>
      <c r="F14" s="17">
        <f t="shared" si="1"/>
        <v>0</v>
      </c>
      <c r="G14" s="17"/>
      <c r="H14" s="57"/>
      <c r="I14" s="17">
        <f t="shared" si="2"/>
        <v>0</v>
      </c>
      <c r="J14" s="47"/>
      <c r="K14" s="57">
        <v>1.0</v>
      </c>
      <c r="L14" s="17">
        <f t="shared" si="3"/>
        <v>188.57</v>
      </c>
      <c r="M14" s="17"/>
      <c r="N14" s="16"/>
      <c r="O14" s="17">
        <f t="shared" si="4"/>
        <v>0</v>
      </c>
      <c r="P14" s="17"/>
      <c r="Q14" s="16"/>
      <c r="R14" s="17">
        <f t="shared" si="5"/>
        <v>0</v>
      </c>
      <c r="S14" s="17"/>
      <c r="T14" s="16"/>
      <c r="U14" s="17">
        <f t="shared" si="6"/>
        <v>0</v>
      </c>
      <c r="V14" s="17"/>
      <c r="W14" s="16"/>
      <c r="X14" s="17">
        <f t="shared" si="7"/>
        <v>0</v>
      </c>
      <c r="Y14" s="63"/>
      <c r="Z14" s="17">
        <f t="shared" si="8"/>
        <v>0</v>
      </c>
      <c r="AA14" s="17"/>
      <c r="AB14" s="21">
        <f>SUM(F14+I14+L14+O14+R14)</f>
        <v>188.57</v>
      </c>
      <c r="AC14" s="26"/>
      <c r="AD14" s="23"/>
    </row>
    <row r="15">
      <c r="A15" s="58" t="s">
        <v>207</v>
      </c>
      <c r="B15" s="58" t="s">
        <v>208</v>
      </c>
      <c r="C15" s="62"/>
      <c r="D15" s="62"/>
      <c r="E15" s="57"/>
      <c r="F15" s="17">
        <f t="shared" si="1"/>
        <v>0</v>
      </c>
      <c r="G15" s="17"/>
      <c r="H15" s="57"/>
      <c r="I15" s="17">
        <f t="shared" si="2"/>
        <v>0</v>
      </c>
      <c r="J15" s="17"/>
      <c r="K15" s="57"/>
      <c r="L15" s="17">
        <f t="shared" si="3"/>
        <v>0</v>
      </c>
      <c r="M15" s="47"/>
      <c r="N15" s="16"/>
      <c r="O15" s="17">
        <f t="shared" si="4"/>
        <v>0</v>
      </c>
      <c r="P15" s="17"/>
      <c r="Q15" s="16"/>
      <c r="R15" s="17">
        <f t="shared" si="5"/>
        <v>0</v>
      </c>
      <c r="S15" s="17"/>
      <c r="T15" s="57"/>
      <c r="U15" s="17">
        <f t="shared" si="6"/>
        <v>0</v>
      </c>
      <c r="V15" s="17"/>
      <c r="W15" s="16"/>
      <c r="X15" s="17">
        <f t="shared" si="7"/>
        <v>0</v>
      </c>
      <c r="Y15" s="63"/>
      <c r="Z15" s="17">
        <f t="shared" si="8"/>
        <v>0</v>
      </c>
      <c r="AA15" s="17"/>
      <c r="AB15" s="48">
        <v>0.0</v>
      </c>
      <c r="AC15" s="50"/>
      <c r="AD15" s="23"/>
    </row>
    <row r="16">
      <c r="A16" s="58" t="s">
        <v>109</v>
      </c>
      <c r="B16" s="58" t="s">
        <v>110</v>
      </c>
      <c r="C16" s="62"/>
      <c r="D16" s="62"/>
      <c r="E16" s="16"/>
      <c r="F16" s="17">
        <f t="shared" si="1"/>
        <v>0</v>
      </c>
      <c r="G16" s="17"/>
      <c r="H16" s="57"/>
      <c r="I16" s="17">
        <f t="shared" si="2"/>
        <v>0</v>
      </c>
      <c r="J16" s="17"/>
      <c r="K16" s="57"/>
      <c r="L16" s="17">
        <f t="shared" si="3"/>
        <v>0</v>
      </c>
      <c r="M16" s="47"/>
      <c r="N16" s="16"/>
      <c r="O16" s="17">
        <f t="shared" si="4"/>
        <v>0</v>
      </c>
      <c r="P16" s="17"/>
      <c r="Q16" s="57"/>
      <c r="R16" s="17">
        <f t="shared" si="5"/>
        <v>0</v>
      </c>
      <c r="S16" s="17"/>
      <c r="T16" s="57"/>
      <c r="U16" s="17">
        <f t="shared" si="6"/>
        <v>0</v>
      </c>
      <c r="V16" s="47"/>
      <c r="W16" s="57"/>
      <c r="X16" s="17">
        <f t="shared" si="7"/>
        <v>0</v>
      </c>
      <c r="Y16" s="20"/>
      <c r="Z16" s="17">
        <f t="shared" si="8"/>
        <v>0</v>
      </c>
      <c r="AA16" s="17"/>
      <c r="AB16" s="48">
        <v>0.0</v>
      </c>
      <c r="AC16" s="49"/>
      <c r="AD16" s="23"/>
    </row>
    <row r="17">
      <c r="A17" s="58" t="s">
        <v>53</v>
      </c>
      <c r="B17" s="58" t="s">
        <v>187</v>
      </c>
      <c r="C17" s="62"/>
      <c r="D17" s="62"/>
      <c r="E17" s="57"/>
      <c r="F17" s="17">
        <f t="shared" si="1"/>
        <v>0</v>
      </c>
      <c r="G17" s="17"/>
      <c r="H17" s="57"/>
      <c r="I17" s="17">
        <f t="shared" si="2"/>
        <v>0</v>
      </c>
      <c r="J17" s="17"/>
      <c r="K17" s="57"/>
      <c r="L17" s="17">
        <f t="shared" si="3"/>
        <v>0</v>
      </c>
      <c r="M17" s="47"/>
      <c r="N17" s="16"/>
      <c r="O17" s="17">
        <f t="shared" ref="O17:O20" si="10">PRODUCT(N17)*188.57</f>
        <v>0</v>
      </c>
      <c r="P17" s="17"/>
      <c r="Q17" s="16"/>
      <c r="R17" s="17">
        <f t="shared" si="5"/>
        <v>0</v>
      </c>
      <c r="S17" s="17"/>
      <c r="T17" s="57"/>
      <c r="U17" s="17">
        <f t="shared" si="6"/>
        <v>0</v>
      </c>
      <c r="V17" s="47"/>
      <c r="W17" s="57"/>
      <c r="X17" s="17">
        <f t="shared" si="7"/>
        <v>0</v>
      </c>
      <c r="Y17" s="20"/>
      <c r="Z17" s="17">
        <f t="shared" si="8"/>
        <v>0</v>
      </c>
      <c r="AA17" s="17"/>
      <c r="AB17" s="48">
        <v>0.0</v>
      </c>
      <c r="AC17" s="50"/>
      <c r="AD17" s="23"/>
    </row>
    <row r="18">
      <c r="A18" s="58" t="s">
        <v>119</v>
      </c>
      <c r="B18" s="58" t="s">
        <v>128</v>
      </c>
      <c r="C18" s="71">
        <v>45435.0</v>
      </c>
      <c r="D18" s="62">
        <v>45443.0</v>
      </c>
      <c r="E18" s="57"/>
      <c r="F18" s="17">
        <f t="shared" si="1"/>
        <v>0</v>
      </c>
      <c r="G18" s="17"/>
      <c r="H18" s="57"/>
      <c r="I18" s="17">
        <f t="shared" si="2"/>
        <v>0</v>
      </c>
      <c r="J18" s="17"/>
      <c r="K18" s="57">
        <v>5.0</v>
      </c>
      <c r="L18" s="17">
        <f t="shared" si="3"/>
        <v>942.85</v>
      </c>
      <c r="M18" s="47">
        <v>754.28</v>
      </c>
      <c r="N18" s="16"/>
      <c r="O18" s="17">
        <f t="shared" si="10"/>
        <v>0</v>
      </c>
      <c r="P18" s="17"/>
      <c r="Q18" s="16"/>
      <c r="R18" s="17">
        <f t="shared" si="5"/>
        <v>0</v>
      </c>
      <c r="S18" s="17"/>
      <c r="T18" s="57">
        <v>8.0</v>
      </c>
      <c r="U18" s="17">
        <f t="shared" si="6"/>
        <v>40.56</v>
      </c>
      <c r="V18" s="47"/>
      <c r="W18" s="57"/>
      <c r="X18" s="17">
        <f t="shared" si="7"/>
        <v>0</v>
      </c>
      <c r="Y18" s="63"/>
      <c r="Z18" s="17">
        <f t="shared" si="8"/>
        <v>0</v>
      </c>
      <c r="AA18" s="17"/>
      <c r="AB18" s="48">
        <v>0.0</v>
      </c>
      <c r="AC18" s="50"/>
      <c r="AD18" s="23"/>
    </row>
    <row r="19">
      <c r="A19" s="58" t="s">
        <v>141</v>
      </c>
      <c r="B19" s="58" t="s">
        <v>188</v>
      </c>
      <c r="C19" s="62"/>
      <c r="D19" s="62"/>
      <c r="E19" s="16"/>
      <c r="F19" s="17">
        <f t="shared" si="1"/>
        <v>0</v>
      </c>
      <c r="G19" s="17"/>
      <c r="H19" s="57"/>
      <c r="I19" s="17">
        <f t="shared" si="2"/>
        <v>0</v>
      </c>
      <c r="J19" s="17"/>
      <c r="K19" s="57"/>
      <c r="L19" s="17">
        <f t="shared" si="3"/>
        <v>0</v>
      </c>
      <c r="M19" s="47"/>
      <c r="N19" s="16"/>
      <c r="O19" s="17">
        <f t="shared" si="10"/>
        <v>0</v>
      </c>
      <c r="P19" s="17"/>
      <c r="Q19" s="16"/>
      <c r="R19" s="17">
        <f t="shared" si="5"/>
        <v>0</v>
      </c>
      <c r="S19" s="17"/>
      <c r="T19" s="57"/>
      <c r="U19" s="17">
        <f t="shared" si="6"/>
        <v>0</v>
      </c>
      <c r="V19" s="17"/>
      <c r="W19" s="16"/>
      <c r="X19" s="17">
        <f t="shared" si="7"/>
        <v>0</v>
      </c>
      <c r="Y19" s="20"/>
      <c r="Z19" s="17">
        <f t="shared" si="8"/>
        <v>0</v>
      </c>
      <c r="AA19" s="17"/>
      <c r="AB19" s="48">
        <v>0.0</v>
      </c>
      <c r="AC19" s="50"/>
      <c r="AD19" s="23"/>
    </row>
    <row r="20">
      <c r="A20" s="58" t="s">
        <v>174</v>
      </c>
      <c r="B20" s="58" t="s">
        <v>189</v>
      </c>
      <c r="C20" s="62"/>
      <c r="D20" s="62"/>
      <c r="E20" s="16"/>
      <c r="F20" s="17">
        <f t="shared" si="1"/>
        <v>0</v>
      </c>
      <c r="G20" s="17"/>
      <c r="H20" s="57"/>
      <c r="I20" s="17">
        <f t="shared" si="2"/>
        <v>0</v>
      </c>
      <c r="J20" s="17"/>
      <c r="K20" s="57"/>
      <c r="L20" s="17">
        <f t="shared" si="3"/>
        <v>0</v>
      </c>
      <c r="M20" s="47"/>
      <c r="N20" s="16"/>
      <c r="O20" s="17">
        <f t="shared" si="10"/>
        <v>0</v>
      </c>
      <c r="P20" s="17"/>
      <c r="Q20" s="16"/>
      <c r="R20" s="17">
        <f t="shared" si="5"/>
        <v>0</v>
      </c>
      <c r="S20" s="17"/>
      <c r="T20" s="16"/>
      <c r="U20" s="17">
        <f t="shared" si="6"/>
        <v>0</v>
      </c>
      <c r="V20" s="17"/>
      <c r="W20" s="57"/>
      <c r="X20" s="17">
        <f t="shared" si="7"/>
        <v>0</v>
      </c>
      <c r="Y20" s="63"/>
      <c r="Z20" s="17">
        <f t="shared" si="8"/>
        <v>0</v>
      </c>
      <c r="AA20" s="17"/>
      <c r="AB20" s="48">
        <v>0.0</v>
      </c>
      <c r="AC20" s="49"/>
      <c r="AD20" s="23"/>
    </row>
    <row r="21">
      <c r="A21" s="95" t="s">
        <v>47</v>
      </c>
      <c r="B21" s="96" t="s">
        <v>48</v>
      </c>
      <c r="C21" s="104">
        <v>45435.0</v>
      </c>
      <c r="D21" s="62">
        <v>45442.0</v>
      </c>
      <c r="E21" s="16"/>
      <c r="F21" s="17">
        <f t="shared" si="1"/>
        <v>0</v>
      </c>
      <c r="G21" s="17"/>
      <c r="H21" s="16"/>
      <c r="I21" s="17">
        <f t="shared" si="2"/>
        <v>0</v>
      </c>
      <c r="J21" s="17"/>
      <c r="K21" s="57">
        <v>3.0</v>
      </c>
      <c r="L21" s="17">
        <f t="shared" si="3"/>
        <v>565.71</v>
      </c>
      <c r="M21" s="47"/>
      <c r="N21" s="16"/>
      <c r="O21" s="17">
        <f>PRODUCT(N18)*188.57</f>
        <v>0</v>
      </c>
      <c r="P21" s="17"/>
      <c r="Q21" s="16"/>
      <c r="R21" s="17">
        <f t="shared" si="5"/>
        <v>0</v>
      </c>
      <c r="S21" s="17"/>
      <c r="T21" s="57">
        <v>4.0</v>
      </c>
      <c r="U21" s="17">
        <f t="shared" si="6"/>
        <v>20.28</v>
      </c>
      <c r="V21" s="47"/>
      <c r="W21" s="57"/>
      <c r="X21" s="17">
        <f t="shared" si="7"/>
        <v>0</v>
      </c>
      <c r="Y21" s="20"/>
      <c r="Z21" s="17">
        <f t="shared" si="8"/>
        <v>0</v>
      </c>
      <c r="AA21" s="17"/>
      <c r="AB21" s="48">
        <v>0.0</v>
      </c>
      <c r="AC21" s="50"/>
      <c r="AD21" s="23"/>
    </row>
    <row r="22">
      <c r="A22" s="58" t="s">
        <v>85</v>
      </c>
      <c r="B22" s="58" t="s">
        <v>86</v>
      </c>
      <c r="C22" s="71">
        <v>45436.0</v>
      </c>
      <c r="D22" s="71">
        <v>45436.0</v>
      </c>
      <c r="E22" s="16"/>
      <c r="F22" s="17">
        <f t="shared" si="1"/>
        <v>0</v>
      </c>
      <c r="G22" s="17"/>
      <c r="H22" s="16"/>
      <c r="I22" s="17">
        <f t="shared" si="2"/>
        <v>0</v>
      </c>
      <c r="J22" s="47"/>
      <c r="K22" s="57"/>
      <c r="L22" s="17">
        <f t="shared" si="3"/>
        <v>0</v>
      </c>
      <c r="M22" s="47"/>
      <c r="N22" s="57"/>
      <c r="O22" s="17">
        <f t="shared" ref="O22:O52" si="11">PRODUCT(N22)*58.85</f>
        <v>0</v>
      </c>
      <c r="P22" s="47"/>
      <c r="Q22" s="57"/>
      <c r="R22" s="17">
        <f t="shared" si="5"/>
        <v>0</v>
      </c>
      <c r="S22" s="17"/>
      <c r="T22" s="57">
        <v>4.0</v>
      </c>
      <c r="U22" s="17">
        <f t="shared" si="6"/>
        <v>20.28</v>
      </c>
      <c r="V22" s="47"/>
      <c r="W22" s="57"/>
      <c r="X22" s="17">
        <f t="shared" si="7"/>
        <v>0</v>
      </c>
      <c r="Y22" s="63"/>
      <c r="Z22" s="17">
        <f t="shared" si="8"/>
        <v>0</v>
      </c>
      <c r="AA22" s="17"/>
      <c r="AB22" s="48">
        <v>0.0</v>
      </c>
      <c r="AC22" s="49"/>
      <c r="AD22" s="23"/>
    </row>
    <row r="23">
      <c r="A23" s="61" t="s">
        <v>67</v>
      </c>
      <c r="B23" s="58" t="s">
        <v>68</v>
      </c>
      <c r="C23" s="71">
        <v>45435.0</v>
      </c>
      <c r="D23" s="62">
        <v>45441.0</v>
      </c>
      <c r="E23" s="16"/>
      <c r="F23" s="17">
        <f t="shared" si="1"/>
        <v>0</v>
      </c>
      <c r="G23" s="17"/>
      <c r="H23" s="16"/>
      <c r="I23" s="17">
        <f t="shared" si="2"/>
        <v>0</v>
      </c>
      <c r="J23" s="17"/>
      <c r="K23" s="57">
        <v>3.0</v>
      </c>
      <c r="L23" s="17">
        <f t="shared" si="3"/>
        <v>565.71</v>
      </c>
      <c r="M23" s="47"/>
      <c r="N23" s="16"/>
      <c r="O23" s="17">
        <f t="shared" si="11"/>
        <v>0</v>
      </c>
      <c r="P23" s="17"/>
      <c r="Q23" s="16"/>
      <c r="R23" s="17">
        <f t="shared" si="5"/>
        <v>0</v>
      </c>
      <c r="S23" s="17"/>
      <c r="T23" s="57">
        <v>20.0</v>
      </c>
      <c r="U23" s="17">
        <f t="shared" si="6"/>
        <v>101.4</v>
      </c>
      <c r="V23" s="17"/>
      <c r="W23" s="57"/>
      <c r="X23" s="17">
        <f t="shared" si="7"/>
        <v>0</v>
      </c>
      <c r="Y23" s="63"/>
      <c r="Z23" s="17">
        <f t="shared" si="8"/>
        <v>0</v>
      </c>
      <c r="AA23" s="17"/>
      <c r="AB23" s="21">
        <f>SUM(F23+I23+L23+O23+R23)</f>
        <v>565.71</v>
      </c>
      <c r="AC23" s="50"/>
      <c r="AD23" s="23"/>
    </row>
    <row r="24">
      <c r="A24" s="58" t="s">
        <v>71</v>
      </c>
      <c r="B24" s="58" t="s">
        <v>96</v>
      </c>
      <c r="C24" s="62">
        <v>45440.0</v>
      </c>
      <c r="D24" s="62">
        <v>45442.0</v>
      </c>
      <c r="E24" s="16"/>
      <c r="F24" s="17">
        <f t="shared" si="1"/>
        <v>0</v>
      </c>
      <c r="G24" s="17"/>
      <c r="H24" s="57"/>
      <c r="I24" s="17">
        <f t="shared" si="2"/>
        <v>0</v>
      </c>
      <c r="J24" s="17"/>
      <c r="K24" s="57">
        <v>3.0</v>
      </c>
      <c r="L24" s="17">
        <f t="shared" si="3"/>
        <v>565.71</v>
      </c>
      <c r="M24" s="47"/>
      <c r="N24" s="16"/>
      <c r="O24" s="17">
        <f t="shared" si="11"/>
        <v>0</v>
      </c>
      <c r="P24" s="17"/>
      <c r="Q24" s="16"/>
      <c r="R24" s="17">
        <f t="shared" si="5"/>
        <v>0</v>
      </c>
      <c r="S24" s="17"/>
      <c r="T24" s="57"/>
      <c r="U24" s="17">
        <f t="shared" si="6"/>
        <v>0</v>
      </c>
      <c r="V24" s="17"/>
      <c r="W24" s="57"/>
      <c r="X24" s="17">
        <f t="shared" si="7"/>
        <v>0</v>
      </c>
      <c r="Y24" s="20"/>
      <c r="Z24" s="17">
        <f t="shared" si="8"/>
        <v>0</v>
      </c>
      <c r="AA24" s="50"/>
      <c r="AB24" s="48">
        <v>0.0</v>
      </c>
      <c r="AC24" s="50"/>
      <c r="AD24" s="23"/>
    </row>
    <row r="25">
      <c r="A25" s="58" t="s">
        <v>99</v>
      </c>
      <c r="B25" s="58" t="s">
        <v>100</v>
      </c>
      <c r="C25" s="62">
        <v>45435.0</v>
      </c>
      <c r="D25" s="62">
        <v>45440.0</v>
      </c>
      <c r="E25" s="16"/>
      <c r="F25" s="17">
        <f t="shared" si="1"/>
        <v>0</v>
      </c>
      <c r="G25" s="47"/>
      <c r="H25" s="57"/>
      <c r="I25" s="17">
        <f t="shared" si="2"/>
        <v>0</v>
      </c>
      <c r="J25" s="17"/>
      <c r="K25" s="57">
        <v>3.0</v>
      </c>
      <c r="L25" s="17">
        <f t="shared" si="3"/>
        <v>565.71</v>
      </c>
      <c r="M25" s="47"/>
      <c r="N25" s="16"/>
      <c r="O25" s="17">
        <f t="shared" si="11"/>
        <v>0</v>
      </c>
      <c r="P25" s="17"/>
      <c r="Q25" s="16"/>
      <c r="R25" s="17">
        <f t="shared" si="5"/>
        <v>0</v>
      </c>
      <c r="S25" s="17"/>
      <c r="T25" s="57">
        <v>20.0</v>
      </c>
      <c r="U25" s="17">
        <f t="shared" si="6"/>
        <v>101.4</v>
      </c>
      <c r="V25" s="17"/>
      <c r="W25" s="57">
        <v>8.0</v>
      </c>
      <c r="X25" s="17">
        <f t="shared" si="7"/>
        <v>145.76</v>
      </c>
      <c r="Y25" s="63"/>
      <c r="Z25" s="17">
        <f t="shared" si="8"/>
        <v>0</v>
      </c>
      <c r="AA25" s="17"/>
      <c r="AB25" s="48">
        <v>0.0</v>
      </c>
      <c r="AC25" s="50"/>
      <c r="AD25" s="23"/>
    </row>
    <row r="26" ht="15.75" customHeight="1">
      <c r="A26" s="58" t="s">
        <v>113</v>
      </c>
      <c r="B26" s="58" t="s">
        <v>114</v>
      </c>
      <c r="C26" s="62"/>
      <c r="D26" s="62"/>
      <c r="E26" s="57"/>
      <c r="F26" s="17">
        <f t="shared" si="1"/>
        <v>0</v>
      </c>
      <c r="G26" s="47"/>
      <c r="H26" s="57"/>
      <c r="I26" s="17">
        <f t="shared" si="2"/>
        <v>0</v>
      </c>
      <c r="J26" s="47"/>
      <c r="K26" s="57"/>
      <c r="L26" s="17">
        <f t="shared" si="3"/>
        <v>0</v>
      </c>
      <c r="M26" s="17"/>
      <c r="N26" s="16"/>
      <c r="O26" s="17">
        <f t="shared" si="11"/>
        <v>0</v>
      </c>
      <c r="P26" s="17"/>
      <c r="Q26" s="57"/>
      <c r="R26" s="17">
        <f t="shared" si="5"/>
        <v>0</v>
      </c>
      <c r="S26" s="17"/>
      <c r="T26" s="57"/>
      <c r="U26" s="17">
        <f t="shared" si="6"/>
        <v>0</v>
      </c>
      <c r="V26" s="17"/>
      <c r="W26" s="57"/>
      <c r="X26" s="17">
        <f t="shared" si="7"/>
        <v>0</v>
      </c>
      <c r="Y26" s="20"/>
      <c r="Z26" s="17">
        <f t="shared" si="8"/>
        <v>0</v>
      </c>
      <c r="AA26" s="17"/>
      <c r="AB26" s="48">
        <v>0.0</v>
      </c>
      <c r="AC26" s="50"/>
      <c r="AD26" s="23"/>
    </row>
    <row r="27" ht="15.75" customHeight="1">
      <c r="A27" s="58" t="s">
        <v>65</v>
      </c>
      <c r="B27" s="58" t="s">
        <v>160</v>
      </c>
      <c r="C27" s="62">
        <v>45435.0</v>
      </c>
      <c r="D27" s="62">
        <v>45442.0</v>
      </c>
      <c r="E27" s="16"/>
      <c r="F27" s="17">
        <f t="shared" si="1"/>
        <v>0</v>
      </c>
      <c r="G27" s="17"/>
      <c r="H27" s="16"/>
      <c r="I27" s="17">
        <f t="shared" si="2"/>
        <v>0</v>
      </c>
      <c r="J27" s="47"/>
      <c r="K27" s="57">
        <v>5.0</v>
      </c>
      <c r="L27" s="17">
        <f t="shared" si="3"/>
        <v>942.85</v>
      </c>
      <c r="M27" s="47"/>
      <c r="N27" s="57"/>
      <c r="O27" s="17">
        <f t="shared" si="11"/>
        <v>0</v>
      </c>
      <c r="P27" s="17"/>
      <c r="Q27" s="16"/>
      <c r="R27" s="17">
        <f t="shared" si="5"/>
        <v>0</v>
      </c>
      <c r="S27" s="17"/>
      <c r="T27" s="57">
        <v>20.0</v>
      </c>
      <c r="U27" s="17">
        <f t="shared" si="6"/>
        <v>101.4</v>
      </c>
      <c r="V27" s="17"/>
      <c r="W27" s="57"/>
      <c r="X27" s="17">
        <f t="shared" si="7"/>
        <v>0</v>
      </c>
      <c r="Y27" s="63"/>
      <c r="Z27" s="17">
        <f t="shared" si="8"/>
        <v>0</v>
      </c>
      <c r="AA27" s="47"/>
      <c r="AB27" s="48">
        <v>0.0</v>
      </c>
      <c r="AC27" s="50"/>
      <c r="AD27" s="23"/>
    </row>
    <row r="28" ht="15.75" customHeight="1">
      <c r="A28" s="61" t="s">
        <v>57</v>
      </c>
      <c r="B28" s="58" t="s">
        <v>58</v>
      </c>
      <c r="C28" s="62"/>
      <c r="D28" s="62"/>
      <c r="E28" s="16"/>
      <c r="F28" s="17">
        <f t="shared" si="1"/>
        <v>0</v>
      </c>
      <c r="G28" s="17"/>
      <c r="H28" s="57"/>
      <c r="I28" s="17">
        <f t="shared" si="2"/>
        <v>0</v>
      </c>
      <c r="J28" s="47"/>
      <c r="K28" s="57"/>
      <c r="L28" s="17">
        <f t="shared" si="3"/>
        <v>0</v>
      </c>
      <c r="M28" s="17"/>
      <c r="N28" s="57"/>
      <c r="O28" s="17">
        <f t="shared" si="11"/>
        <v>0</v>
      </c>
      <c r="P28" s="17"/>
      <c r="Q28" s="16"/>
      <c r="R28" s="17">
        <f t="shared" si="5"/>
        <v>0</v>
      </c>
      <c r="S28" s="17"/>
      <c r="T28" s="57"/>
      <c r="U28" s="17">
        <f t="shared" si="6"/>
        <v>0</v>
      </c>
      <c r="V28" s="17"/>
      <c r="W28" s="57"/>
      <c r="X28" s="17">
        <f t="shared" si="7"/>
        <v>0</v>
      </c>
      <c r="Y28" s="20"/>
      <c r="Z28" s="17">
        <f t="shared" si="8"/>
        <v>0</v>
      </c>
      <c r="AA28" s="17"/>
      <c r="AB28" s="21">
        <f t="shared" ref="AB28:AB29" si="12">SUM(F28+I28+L28+O28+R28)</f>
        <v>0</v>
      </c>
      <c r="AC28" s="22"/>
      <c r="AD28" s="23"/>
    </row>
    <row r="29" ht="15.75" customHeight="1">
      <c r="A29" s="58" t="s">
        <v>121</v>
      </c>
      <c r="B29" s="58" t="s">
        <v>100</v>
      </c>
      <c r="C29" s="62"/>
      <c r="D29" s="62"/>
      <c r="E29" s="28"/>
      <c r="F29" s="17">
        <f t="shared" si="1"/>
        <v>0</v>
      </c>
      <c r="G29" s="17"/>
      <c r="H29" s="28"/>
      <c r="I29" s="17">
        <f t="shared" si="2"/>
        <v>0</v>
      </c>
      <c r="J29" s="17"/>
      <c r="K29" s="57"/>
      <c r="L29" s="17">
        <f t="shared" si="3"/>
        <v>0</v>
      </c>
      <c r="M29" s="47"/>
      <c r="N29" s="60"/>
      <c r="O29" s="17">
        <f t="shared" si="11"/>
        <v>0</v>
      </c>
      <c r="P29" s="17"/>
      <c r="Q29" s="28"/>
      <c r="R29" s="17">
        <f t="shared" si="5"/>
        <v>0</v>
      </c>
      <c r="S29" s="17"/>
      <c r="T29" s="28"/>
      <c r="U29" s="17">
        <f t="shared" si="6"/>
        <v>0</v>
      </c>
      <c r="V29" s="17"/>
      <c r="W29" s="60"/>
      <c r="X29" s="17">
        <f t="shared" si="7"/>
        <v>0</v>
      </c>
      <c r="Y29" s="63"/>
      <c r="Z29" s="17">
        <f t="shared" si="8"/>
        <v>0</v>
      </c>
      <c r="AA29" s="17"/>
      <c r="AB29" s="21">
        <f t="shared" si="12"/>
        <v>0</v>
      </c>
      <c r="AC29" s="22"/>
      <c r="AD29" s="23"/>
    </row>
    <row r="30" ht="15.75" customHeight="1">
      <c r="A30" s="58" t="s">
        <v>115</v>
      </c>
      <c r="B30" s="58" t="s">
        <v>116</v>
      </c>
      <c r="C30" s="62">
        <v>45440.0</v>
      </c>
      <c r="D30" s="62">
        <v>45443.0</v>
      </c>
      <c r="E30" s="28"/>
      <c r="F30" s="17">
        <f t="shared" si="1"/>
        <v>0</v>
      </c>
      <c r="G30" s="17"/>
      <c r="H30" s="28"/>
      <c r="I30" s="17">
        <f t="shared" si="2"/>
        <v>0</v>
      </c>
      <c r="J30" s="17"/>
      <c r="K30" s="57">
        <v>4.0</v>
      </c>
      <c r="L30" s="17">
        <f t="shared" si="3"/>
        <v>754.28</v>
      </c>
      <c r="M30" s="47"/>
      <c r="N30" s="28"/>
      <c r="O30" s="17">
        <f t="shared" si="11"/>
        <v>0</v>
      </c>
      <c r="P30" s="17"/>
      <c r="Q30" s="28"/>
      <c r="R30" s="17">
        <f t="shared" si="5"/>
        <v>0</v>
      </c>
      <c r="S30" s="17"/>
      <c r="T30" s="60">
        <v>16.0</v>
      </c>
      <c r="U30" s="17">
        <f t="shared" si="6"/>
        <v>81.12</v>
      </c>
      <c r="V30" s="47"/>
      <c r="W30" s="60"/>
      <c r="X30" s="17">
        <f t="shared" si="7"/>
        <v>0</v>
      </c>
      <c r="Y30" s="63"/>
      <c r="Z30" s="17">
        <f t="shared" si="8"/>
        <v>0</v>
      </c>
      <c r="AA30" s="50"/>
      <c r="AB30" s="48">
        <v>0.0</v>
      </c>
      <c r="AC30" s="50"/>
      <c r="AD30" s="23"/>
    </row>
    <row r="31" ht="15.75" customHeight="1">
      <c r="A31" s="58" t="s">
        <v>234</v>
      </c>
      <c r="B31" s="58" t="s">
        <v>235</v>
      </c>
      <c r="C31" s="62"/>
      <c r="D31" s="62"/>
      <c r="E31" s="60"/>
      <c r="F31" s="17">
        <f t="shared" si="1"/>
        <v>0</v>
      </c>
      <c r="G31" s="17"/>
      <c r="H31" s="28"/>
      <c r="I31" s="17">
        <f t="shared" si="2"/>
        <v>0</v>
      </c>
      <c r="J31" s="17"/>
      <c r="K31" s="57"/>
      <c r="L31" s="17">
        <f t="shared" si="3"/>
        <v>0</v>
      </c>
      <c r="M31" s="47"/>
      <c r="N31" s="28"/>
      <c r="O31" s="17">
        <f t="shared" si="11"/>
        <v>0</v>
      </c>
      <c r="P31" s="17"/>
      <c r="Q31" s="28"/>
      <c r="R31" s="17">
        <f t="shared" si="5"/>
        <v>0</v>
      </c>
      <c r="S31" s="17"/>
      <c r="T31" s="60"/>
      <c r="U31" s="17">
        <f t="shared" si="6"/>
        <v>0</v>
      </c>
      <c r="V31" s="17"/>
      <c r="W31" s="60"/>
      <c r="X31" s="17">
        <f t="shared" si="7"/>
        <v>0</v>
      </c>
      <c r="Y31" s="20"/>
      <c r="Z31" s="17">
        <f t="shared" si="8"/>
        <v>0</v>
      </c>
      <c r="AA31" s="17"/>
      <c r="AB31" s="21">
        <f>SUM(F31+I31+L31+O31+R31)</f>
        <v>0</v>
      </c>
      <c r="AC31" s="22"/>
      <c r="AD31" s="23"/>
    </row>
    <row r="32" ht="15.75" customHeight="1">
      <c r="A32" s="58" t="s">
        <v>236</v>
      </c>
      <c r="B32" s="58" t="s">
        <v>237</v>
      </c>
      <c r="C32" s="62">
        <v>45441.0</v>
      </c>
      <c r="D32" s="62">
        <v>45442.0</v>
      </c>
      <c r="E32" s="60"/>
      <c r="F32" s="17">
        <f t="shared" si="1"/>
        <v>0</v>
      </c>
      <c r="G32" s="17"/>
      <c r="H32" s="28"/>
      <c r="I32" s="17">
        <f t="shared" si="2"/>
        <v>0</v>
      </c>
      <c r="J32" s="17"/>
      <c r="K32" s="57">
        <v>2.0</v>
      </c>
      <c r="L32" s="17">
        <f t="shared" si="3"/>
        <v>377.14</v>
      </c>
      <c r="M32" s="47"/>
      <c r="N32" s="28"/>
      <c r="O32" s="17">
        <f t="shared" si="11"/>
        <v>0</v>
      </c>
      <c r="P32" s="17"/>
      <c r="Q32" s="60"/>
      <c r="R32" s="17">
        <f t="shared" si="5"/>
        <v>0</v>
      </c>
      <c r="S32" s="17"/>
      <c r="T32" s="28"/>
      <c r="U32" s="17">
        <f t="shared" si="6"/>
        <v>0</v>
      </c>
      <c r="V32" s="17"/>
      <c r="W32" s="60"/>
      <c r="X32" s="17">
        <f t="shared" si="7"/>
        <v>0</v>
      </c>
      <c r="Y32" s="63"/>
      <c r="Z32" s="17">
        <f t="shared" si="8"/>
        <v>0</v>
      </c>
      <c r="AA32" s="17"/>
      <c r="AB32" s="48">
        <v>0.0</v>
      </c>
      <c r="AC32" s="49"/>
      <c r="AD32" s="23"/>
    </row>
    <row r="33" ht="15.75" customHeight="1">
      <c r="A33" s="58" t="s">
        <v>41</v>
      </c>
      <c r="B33" s="58" t="s">
        <v>42</v>
      </c>
      <c r="C33" s="62">
        <v>45440.0</v>
      </c>
      <c r="D33" s="105">
        <v>45441.0</v>
      </c>
      <c r="E33" s="60"/>
      <c r="F33" s="17">
        <f t="shared" si="1"/>
        <v>0</v>
      </c>
      <c r="G33" s="47"/>
      <c r="H33" s="60"/>
      <c r="I33" s="17">
        <f t="shared" si="2"/>
        <v>0</v>
      </c>
      <c r="J33" s="17"/>
      <c r="K33" s="57"/>
      <c r="L33" s="17">
        <f t="shared" si="3"/>
        <v>0</v>
      </c>
      <c r="M33" s="47"/>
      <c r="N33" s="60">
        <v>2.0</v>
      </c>
      <c r="O33" s="17">
        <f t="shared" si="11"/>
        <v>117.7</v>
      </c>
      <c r="P33" s="17"/>
      <c r="Q33" s="28"/>
      <c r="R33" s="17">
        <f t="shared" si="5"/>
        <v>0</v>
      </c>
      <c r="S33" s="17"/>
      <c r="T33" s="60">
        <v>8.0</v>
      </c>
      <c r="U33" s="17">
        <f t="shared" si="6"/>
        <v>40.56</v>
      </c>
      <c r="V33" s="47"/>
      <c r="W33" s="60"/>
      <c r="X33" s="17">
        <f t="shared" si="7"/>
        <v>0</v>
      </c>
      <c r="Y33" s="20"/>
      <c r="Z33" s="17">
        <f t="shared" si="8"/>
        <v>0</v>
      </c>
      <c r="AA33" s="17"/>
      <c r="AB33" s="48">
        <v>0.0</v>
      </c>
      <c r="AC33" s="49"/>
      <c r="AD33" s="23"/>
    </row>
    <row r="34" ht="15.75" customHeight="1">
      <c r="A34" s="58" t="s">
        <v>47</v>
      </c>
      <c r="B34" s="58" t="s">
        <v>84</v>
      </c>
      <c r="C34" s="62">
        <v>45441.0</v>
      </c>
      <c r="D34" s="62">
        <v>45442.0</v>
      </c>
      <c r="E34" s="28"/>
      <c r="F34" s="17">
        <f t="shared" si="1"/>
        <v>0</v>
      </c>
      <c r="G34" s="47"/>
      <c r="H34" s="28"/>
      <c r="I34" s="17">
        <f t="shared" si="2"/>
        <v>0</v>
      </c>
      <c r="J34" s="17"/>
      <c r="K34" s="57"/>
      <c r="L34" s="17">
        <f t="shared" si="3"/>
        <v>0</v>
      </c>
      <c r="M34" s="47"/>
      <c r="N34" s="60">
        <v>3.0</v>
      </c>
      <c r="O34" s="17">
        <f t="shared" si="11"/>
        <v>176.55</v>
      </c>
      <c r="P34" s="17"/>
      <c r="Q34" s="28"/>
      <c r="R34" s="17">
        <f t="shared" si="5"/>
        <v>0</v>
      </c>
      <c r="S34" s="17"/>
      <c r="T34" s="60">
        <v>8.0</v>
      </c>
      <c r="U34" s="17">
        <f t="shared" si="6"/>
        <v>40.56</v>
      </c>
      <c r="V34" s="17"/>
      <c r="W34" s="60"/>
      <c r="X34" s="17">
        <f t="shared" si="7"/>
        <v>0</v>
      </c>
      <c r="Y34" s="20"/>
      <c r="Z34" s="17">
        <f t="shared" si="8"/>
        <v>0</v>
      </c>
      <c r="AA34" s="17"/>
      <c r="AB34" s="48">
        <v>0.0</v>
      </c>
      <c r="AC34" s="50"/>
      <c r="AD34" s="23"/>
    </row>
    <row r="35" ht="15.75" customHeight="1">
      <c r="A35" s="58" t="s">
        <v>69</v>
      </c>
      <c r="B35" s="58" t="s">
        <v>70</v>
      </c>
      <c r="C35" s="71">
        <v>45440.0</v>
      </c>
      <c r="D35" s="62">
        <v>45442.0</v>
      </c>
      <c r="E35" s="28"/>
      <c r="F35" s="17">
        <f t="shared" si="1"/>
        <v>0</v>
      </c>
      <c r="G35" s="17"/>
      <c r="H35" s="28"/>
      <c r="I35" s="17">
        <f t="shared" si="2"/>
        <v>0</v>
      </c>
      <c r="J35" s="47"/>
      <c r="K35" s="57"/>
      <c r="L35" s="17">
        <f t="shared" si="3"/>
        <v>0</v>
      </c>
      <c r="M35" s="17"/>
      <c r="N35" s="60">
        <v>3.0</v>
      </c>
      <c r="O35" s="17">
        <f t="shared" si="11"/>
        <v>176.55</v>
      </c>
      <c r="P35" s="17"/>
      <c r="Q35" s="28"/>
      <c r="R35" s="17">
        <f t="shared" si="5"/>
        <v>0</v>
      </c>
      <c r="S35" s="17"/>
      <c r="T35" s="60">
        <v>16.0</v>
      </c>
      <c r="U35" s="17">
        <f t="shared" si="6"/>
        <v>81.12</v>
      </c>
      <c r="V35" s="47"/>
      <c r="W35" s="60">
        <v>1.0</v>
      </c>
      <c r="X35" s="17">
        <f t="shared" si="7"/>
        <v>18.22</v>
      </c>
      <c r="Y35" s="63"/>
      <c r="Z35" s="17">
        <f t="shared" si="8"/>
        <v>0</v>
      </c>
      <c r="AA35" s="17"/>
      <c r="AB35" s="48">
        <v>0.0</v>
      </c>
      <c r="AC35" s="49"/>
      <c r="AD35" s="23"/>
    </row>
    <row r="36" ht="15.75" customHeight="1">
      <c r="A36" s="58" t="s">
        <v>247</v>
      </c>
      <c r="B36" s="58" t="s">
        <v>40</v>
      </c>
      <c r="C36" s="71">
        <v>45440.0</v>
      </c>
      <c r="D36" s="62">
        <v>45442.0</v>
      </c>
      <c r="E36" s="60">
        <v>1.0</v>
      </c>
      <c r="F36" s="17">
        <f t="shared" si="1"/>
        <v>214.22</v>
      </c>
      <c r="G36" s="17"/>
      <c r="H36" s="60"/>
      <c r="I36" s="17">
        <f t="shared" si="2"/>
        <v>0</v>
      </c>
      <c r="J36" s="47"/>
      <c r="K36" s="57">
        <v>3.0</v>
      </c>
      <c r="L36" s="17">
        <f t="shared" si="3"/>
        <v>565.71</v>
      </c>
      <c r="M36" s="47"/>
      <c r="N36" s="28"/>
      <c r="O36" s="17">
        <f t="shared" si="11"/>
        <v>0</v>
      </c>
      <c r="P36" s="17"/>
      <c r="Q36" s="28"/>
      <c r="R36" s="17">
        <f t="shared" si="5"/>
        <v>0</v>
      </c>
      <c r="S36" s="17"/>
      <c r="T36" s="60">
        <v>4.0</v>
      </c>
      <c r="U36" s="17">
        <f t="shared" si="6"/>
        <v>20.28</v>
      </c>
      <c r="V36" s="17"/>
      <c r="W36" s="60"/>
      <c r="X36" s="17">
        <f t="shared" si="7"/>
        <v>0</v>
      </c>
      <c r="Y36" s="63"/>
      <c r="Z36" s="17">
        <f t="shared" si="8"/>
        <v>0</v>
      </c>
      <c r="AA36" s="17"/>
      <c r="AB36" s="48">
        <v>0.0</v>
      </c>
      <c r="AC36" s="50"/>
      <c r="AD36" s="23"/>
    </row>
    <row r="37" ht="15.75" customHeight="1">
      <c r="A37" s="58" t="s">
        <v>95</v>
      </c>
      <c r="B37" s="58" t="s">
        <v>58</v>
      </c>
      <c r="C37" s="71">
        <v>45440.0</v>
      </c>
      <c r="D37" s="62">
        <v>45442.0</v>
      </c>
      <c r="E37" s="60"/>
      <c r="F37" s="17">
        <f t="shared" si="1"/>
        <v>0</v>
      </c>
      <c r="G37" s="17"/>
      <c r="H37" s="28"/>
      <c r="I37" s="17">
        <f t="shared" si="2"/>
        <v>0</v>
      </c>
      <c r="J37" s="17"/>
      <c r="K37" s="57"/>
      <c r="L37" s="17">
        <f t="shared" si="3"/>
        <v>0</v>
      </c>
      <c r="M37" s="47"/>
      <c r="N37" s="60">
        <v>3.0</v>
      </c>
      <c r="O37" s="17">
        <f t="shared" si="11"/>
        <v>176.55</v>
      </c>
      <c r="P37" s="47"/>
      <c r="Q37" s="28"/>
      <c r="R37" s="17">
        <f t="shared" si="5"/>
        <v>0</v>
      </c>
      <c r="S37" s="17"/>
      <c r="T37" s="60">
        <v>16.0</v>
      </c>
      <c r="U37" s="17">
        <f t="shared" si="6"/>
        <v>81.12</v>
      </c>
      <c r="V37" s="47"/>
      <c r="W37" s="60"/>
      <c r="X37" s="17">
        <f t="shared" si="7"/>
        <v>0</v>
      </c>
      <c r="Y37" s="20"/>
      <c r="Z37" s="17">
        <f t="shared" si="8"/>
        <v>0</v>
      </c>
      <c r="AA37" s="17"/>
      <c r="AB37" s="48">
        <v>0.0</v>
      </c>
      <c r="AC37" s="50"/>
      <c r="AD37" s="23"/>
    </row>
    <row r="38" ht="15.75" customHeight="1">
      <c r="A38" s="58" t="s">
        <v>250</v>
      </c>
      <c r="B38" s="58" t="s">
        <v>251</v>
      </c>
      <c r="C38" s="71">
        <v>45435.0</v>
      </c>
      <c r="D38" s="62">
        <v>45442.0</v>
      </c>
      <c r="E38" s="60">
        <v>1.0</v>
      </c>
      <c r="F38" s="17">
        <f t="shared" si="1"/>
        <v>214.22</v>
      </c>
      <c r="G38" s="17"/>
      <c r="H38" s="60"/>
      <c r="I38" s="17">
        <f t="shared" si="2"/>
        <v>0</v>
      </c>
      <c r="J38" s="47"/>
      <c r="K38" s="57">
        <v>2.0</v>
      </c>
      <c r="L38" s="17">
        <f t="shared" si="3"/>
        <v>377.14</v>
      </c>
      <c r="M38" s="47"/>
      <c r="N38" s="28"/>
      <c r="O38" s="17">
        <f t="shared" si="11"/>
        <v>0</v>
      </c>
      <c r="P38" s="17"/>
      <c r="Q38" s="28"/>
      <c r="R38" s="17">
        <f t="shared" si="5"/>
        <v>0</v>
      </c>
      <c r="S38" s="17"/>
      <c r="T38" s="28"/>
      <c r="U38" s="17">
        <f t="shared" si="6"/>
        <v>0</v>
      </c>
      <c r="V38" s="17"/>
      <c r="W38" s="60"/>
      <c r="X38" s="17">
        <f t="shared" si="7"/>
        <v>0</v>
      </c>
      <c r="Y38" s="20"/>
      <c r="Z38" s="17">
        <f t="shared" si="8"/>
        <v>0</v>
      </c>
      <c r="AA38" s="17"/>
      <c r="AB38" s="48">
        <v>0.0</v>
      </c>
      <c r="AC38" s="50"/>
      <c r="AD38" s="23"/>
    </row>
    <row r="39" ht="15.75" customHeight="1">
      <c r="A39" s="58" t="s">
        <v>136</v>
      </c>
      <c r="B39" s="58" t="s">
        <v>162</v>
      </c>
      <c r="C39" s="71">
        <v>45433.0</v>
      </c>
      <c r="D39" s="71">
        <v>45433.0</v>
      </c>
      <c r="E39" s="60">
        <v>1.0</v>
      </c>
      <c r="F39" s="17">
        <f t="shared" si="1"/>
        <v>214.22</v>
      </c>
      <c r="G39" s="17"/>
      <c r="H39" s="28"/>
      <c r="I39" s="17">
        <f t="shared" si="2"/>
        <v>0</v>
      </c>
      <c r="J39" s="17"/>
      <c r="K39" s="57"/>
      <c r="L39" s="17">
        <f t="shared" si="3"/>
        <v>0</v>
      </c>
      <c r="M39" s="47"/>
      <c r="N39" s="60"/>
      <c r="O39" s="17">
        <f t="shared" si="11"/>
        <v>0</v>
      </c>
      <c r="P39" s="47"/>
      <c r="Q39" s="28"/>
      <c r="R39" s="17">
        <f t="shared" si="5"/>
        <v>0</v>
      </c>
      <c r="S39" s="17"/>
      <c r="T39" s="60"/>
      <c r="U39" s="17">
        <f t="shared" si="6"/>
        <v>0</v>
      </c>
      <c r="V39" s="47"/>
      <c r="W39" s="60"/>
      <c r="X39" s="17">
        <f t="shared" si="7"/>
        <v>0</v>
      </c>
      <c r="Y39" s="63"/>
      <c r="Z39" s="17">
        <f t="shared" si="8"/>
        <v>0</v>
      </c>
      <c r="AA39" s="50"/>
      <c r="AB39" s="48">
        <v>0.0</v>
      </c>
      <c r="AC39" s="50"/>
      <c r="AD39" s="23"/>
      <c r="AE39" s="31"/>
    </row>
    <row r="40" ht="15.75" customHeight="1">
      <c r="A40" s="58" t="s">
        <v>252</v>
      </c>
      <c r="B40" s="58" t="s">
        <v>253</v>
      </c>
      <c r="C40" s="71">
        <v>45436.0</v>
      </c>
      <c r="D40" s="62">
        <v>45442.0</v>
      </c>
      <c r="E40" s="60">
        <v>1.0</v>
      </c>
      <c r="F40" s="17">
        <f t="shared" si="1"/>
        <v>214.22</v>
      </c>
      <c r="G40" s="17"/>
      <c r="H40" s="28"/>
      <c r="I40" s="17">
        <f>PRODUCT(H39)*316.77</f>
        <v>0</v>
      </c>
      <c r="J40" s="17"/>
      <c r="K40" s="57">
        <v>3.0</v>
      </c>
      <c r="L40" s="17">
        <f t="shared" si="3"/>
        <v>565.71</v>
      </c>
      <c r="M40" s="47"/>
      <c r="N40" s="28"/>
      <c r="O40" s="17">
        <f t="shared" si="11"/>
        <v>0</v>
      </c>
      <c r="P40" s="17"/>
      <c r="Q40" s="28"/>
      <c r="R40" s="97">
        <f t="shared" si="5"/>
        <v>0</v>
      </c>
      <c r="S40" s="17"/>
      <c r="T40" s="60">
        <v>12.0</v>
      </c>
      <c r="U40" s="17">
        <f t="shared" si="6"/>
        <v>60.84</v>
      </c>
      <c r="V40" s="17"/>
      <c r="W40" s="28"/>
      <c r="X40" s="17">
        <f t="shared" si="7"/>
        <v>0</v>
      </c>
      <c r="Y40" s="20"/>
      <c r="Z40" s="17">
        <f t="shared" si="8"/>
        <v>0</v>
      </c>
      <c r="AA40" s="17"/>
      <c r="AB40" s="48">
        <v>0.0</v>
      </c>
      <c r="AC40" s="49"/>
      <c r="AD40" s="23"/>
    </row>
    <row r="41" ht="15.75" customHeight="1">
      <c r="A41" s="58" t="s">
        <v>71</v>
      </c>
      <c r="B41" s="58" t="s">
        <v>190</v>
      </c>
      <c r="C41" s="71"/>
      <c r="D41" s="62"/>
      <c r="E41" s="60"/>
      <c r="F41" s="17">
        <f t="shared" si="1"/>
        <v>0</v>
      </c>
      <c r="G41" s="17"/>
      <c r="H41" s="28"/>
      <c r="I41" s="17">
        <f t="shared" ref="I41:I52" si="13">PRODUCT(H41)*316.77</f>
        <v>0</v>
      </c>
      <c r="J41" s="17"/>
      <c r="K41" s="57"/>
      <c r="L41" s="17">
        <f t="shared" si="3"/>
        <v>0</v>
      </c>
      <c r="M41" s="17"/>
      <c r="N41" s="28"/>
      <c r="O41" s="17">
        <f t="shared" si="11"/>
        <v>0</v>
      </c>
      <c r="P41" s="17"/>
      <c r="Q41" s="28"/>
      <c r="R41" s="97">
        <f t="shared" si="5"/>
        <v>0</v>
      </c>
      <c r="S41" s="17"/>
      <c r="T41" s="28"/>
      <c r="U41" s="17">
        <f t="shared" si="6"/>
        <v>0</v>
      </c>
      <c r="V41" s="17"/>
      <c r="W41" s="28"/>
      <c r="X41" s="17">
        <f t="shared" si="7"/>
        <v>0</v>
      </c>
      <c r="Y41" s="63"/>
      <c r="Z41" s="17">
        <f t="shared" si="8"/>
        <v>0</v>
      </c>
      <c r="AA41" s="17"/>
      <c r="AB41" s="21">
        <f>SUM(F41+I42+L41+O41+R41)</f>
        <v>0</v>
      </c>
      <c r="AC41" s="22"/>
      <c r="AD41" s="23"/>
    </row>
    <row r="42" ht="15.75" customHeight="1">
      <c r="A42" s="58" t="s">
        <v>223</v>
      </c>
      <c r="B42" s="58" t="s">
        <v>224</v>
      </c>
      <c r="C42" s="71">
        <v>45435.0</v>
      </c>
      <c r="D42" s="62">
        <v>45435.0</v>
      </c>
      <c r="E42" s="60"/>
      <c r="F42" s="17">
        <f t="shared" si="1"/>
        <v>0</v>
      </c>
      <c r="G42" s="17"/>
      <c r="H42" s="28"/>
      <c r="I42" s="17">
        <f t="shared" si="13"/>
        <v>0</v>
      </c>
      <c r="J42" s="17"/>
      <c r="K42" s="57">
        <v>1.0</v>
      </c>
      <c r="L42" s="17">
        <f t="shared" si="3"/>
        <v>188.57</v>
      </c>
      <c r="M42" s="47"/>
      <c r="N42" s="28"/>
      <c r="O42" s="17">
        <f t="shared" si="11"/>
        <v>0</v>
      </c>
      <c r="P42" s="17"/>
      <c r="Q42" s="28"/>
      <c r="R42" s="97">
        <f t="shared" si="5"/>
        <v>0</v>
      </c>
      <c r="S42" s="17"/>
      <c r="T42" s="60">
        <v>4.0</v>
      </c>
      <c r="U42" s="17">
        <f t="shared" si="6"/>
        <v>20.28</v>
      </c>
      <c r="V42" s="47"/>
      <c r="W42" s="60"/>
      <c r="X42" s="17">
        <f t="shared" si="7"/>
        <v>0</v>
      </c>
      <c r="Y42" s="20"/>
      <c r="Z42" s="17">
        <f t="shared" si="8"/>
        <v>0</v>
      </c>
      <c r="AA42" s="17"/>
      <c r="AB42" s="48">
        <v>0.0</v>
      </c>
      <c r="AC42" s="49"/>
      <c r="AD42" s="23"/>
    </row>
    <row r="43" ht="15.75" customHeight="1">
      <c r="A43" s="58" t="s">
        <v>254</v>
      </c>
      <c r="B43" s="58" t="s">
        <v>255</v>
      </c>
      <c r="C43" s="71">
        <v>45435.0</v>
      </c>
      <c r="D43" s="105">
        <v>45435.0</v>
      </c>
      <c r="E43" s="60">
        <v>1.0</v>
      </c>
      <c r="F43" s="17">
        <f t="shared" si="1"/>
        <v>214.22</v>
      </c>
      <c r="G43" s="17"/>
      <c r="H43" s="28"/>
      <c r="I43" s="17">
        <f t="shared" si="13"/>
        <v>0</v>
      </c>
      <c r="J43" s="17"/>
      <c r="K43" s="57"/>
      <c r="L43" s="17">
        <f t="shared" si="3"/>
        <v>0</v>
      </c>
      <c r="M43" s="47"/>
      <c r="N43" s="28"/>
      <c r="O43" s="17">
        <f t="shared" si="11"/>
        <v>0</v>
      </c>
      <c r="P43" s="17"/>
      <c r="Q43" s="28"/>
      <c r="R43" s="97">
        <f t="shared" si="5"/>
        <v>0</v>
      </c>
      <c r="S43" s="17"/>
      <c r="T43" s="60"/>
      <c r="U43" s="17">
        <f t="shared" si="6"/>
        <v>0</v>
      </c>
      <c r="V43" s="47"/>
      <c r="W43" s="60"/>
      <c r="X43" s="17">
        <f t="shared" si="7"/>
        <v>0</v>
      </c>
      <c r="Y43" s="20"/>
      <c r="Z43" s="17">
        <f t="shared" si="8"/>
        <v>0</v>
      </c>
      <c r="AA43" s="17"/>
      <c r="AB43" s="48">
        <v>0.0</v>
      </c>
      <c r="AC43" s="49"/>
      <c r="AD43" s="23"/>
    </row>
    <row r="44" ht="15.75" customHeight="1">
      <c r="A44" s="58" t="s">
        <v>49</v>
      </c>
      <c r="B44" s="58" t="s">
        <v>50</v>
      </c>
      <c r="C44" s="62">
        <v>45440.0</v>
      </c>
      <c r="D44" s="62">
        <v>45442.0</v>
      </c>
      <c r="E44" s="28"/>
      <c r="F44" s="17">
        <f t="shared" si="1"/>
        <v>0</v>
      </c>
      <c r="G44" s="47"/>
      <c r="H44" s="28"/>
      <c r="I44" s="17">
        <f t="shared" si="13"/>
        <v>0</v>
      </c>
      <c r="J44" s="17"/>
      <c r="K44" s="57">
        <v>3.0</v>
      </c>
      <c r="L44" s="17">
        <f t="shared" si="3"/>
        <v>565.71</v>
      </c>
      <c r="M44" s="47"/>
      <c r="N44" s="28"/>
      <c r="O44" s="17">
        <f t="shared" si="11"/>
        <v>0</v>
      </c>
      <c r="P44" s="17"/>
      <c r="Q44" s="28"/>
      <c r="R44" s="97">
        <f t="shared" si="5"/>
        <v>0</v>
      </c>
      <c r="S44" s="17"/>
      <c r="T44" s="60">
        <v>16.0</v>
      </c>
      <c r="U44" s="17">
        <f t="shared" si="6"/>
        <v>81.12</v>
      </c>
      <c r="V44" s="47"/>
      <c r="W44" s="60"/>
      <c r="X44" s="17">
        <f t="shared" si="7"/>
        <v>0</v>
      </c>
      <c r="Y44" s="20"/>
      <c r="Z44" s="17">
        <f t="shared" si="8"/>
        <v>0</v>
      </c>
      <c r="AA44" s="17"/>
      <c r="AB44" s="48">
        <v>0.0</v>
      </c>
      <c r="AC44" s="49"/>
      <c r="AD44" s="23"/>
    </row>
    <row r="45" ht="15.75" customHeight="1">
      <c r="A45" s="58" t="s">
        <v>29</v>
      </c>
      <c r="B45" s="58" t="s">
        <v>256</v>
      </c>
      <c r="C45" s="71">
        <v>45440.0</v>
      </c>
      <c r="D45" s="71">
        <v>45442.0</v>
      </c>
      <c r="E45" s="60">
        <v>1.0</v>
      </c>
      <c r="F45" s="17">
        <f t="shared" si="1"/>
        <v>214.22</v>
      </c>
      <c r="G45" s="17"/>
      <c r="H45" s="28"/>
      <c r="I45" s="17">
        <f t="shared" si="13"/>
        <v>0</v>
      </c>
      <c r="J45" s="47"/>
      <c r="K45" s="57">
        <v>2.0</v>
      </c>
      <c r="L45" s="17">
        <f t="shared" si="3"/>
        <v>377.14</v>
      </c>
      <c r="M45" s="47"/>
      <c r="N45" s="28"/>
      <c r="O45" s="17">
        <f t="shared" si="11"/>
        <v>0</v>
      </c>
      <c r="P45" s="17"/>
      <c r="Q45" s="28"/>
      <c r="R45" s="97">
        <f t="shared" si="5"/>
        <v>0</v>
      </c>
      <c r="S45" s="17"/>
      <c r="T45" s="28"/>
      <c r="U45" s="17">
        <f t="shared" si="6"/>
        <v>0</v>
      </c>
      <c r="V45" s="17"/>
      <c r="W45" s="60"/>
      <c r="X45" s="17">
        <f t="shared" si="7"/>
        <v>0</v>
      </c>
      <c r="Y45" s="63"/>
      <c r="Z45" s="17">
        <f t="shared" si="8"/>
        <v>0</v>
      </c>
      <c r="AA45" s="17"/>
      <c r="AB45" s="48">
        <v>0.0</v>
      </c>
      <c r="AC45" s="49"/>
      <c r="AD45" s="23"/>
    </row>
    <row r="46" ht="15.75" customHeight="1">
      <c r="A46" s="58" t="s">
        <v>227</v>
      </c>
      <c r="B46" s="58" t="s">
        <v>228</v>
      </c>
      <c r="C46" s="62">
        <v>45435.0</v>
      </c>
      <c r="D46" s="62">
        <v>45443.0</v>
      </c>
      <c r="E46" s="60"/>
      <c r="F46" s="17">
        <f t="shared" si="1"/>
        <v>0</v>
      </c>
      <c r="G46" s="17"/>
      <c r="H46" s="60"/>
      <c r="I46" s="17">
        <f t="shared" si="13"/>
        <v>0</v>
      </c>
      <c r="J46" s="17"/>
      <c r="K46" s="57">
        <v>5.0</v>
      </c>
      <c r="L46" s="17">
        <f t="shared" si="3"/>
        <v>942.85</v>
      </c>
      <c r="M46" s="47"/>
      <c r="N46" s="28"/>
      <c r="O46" s="17">
        <f t="shared" si="11"/>
        <v>0</v>
      </c>
      <c r="P46" s="17"/>
      <c r="Q46" s="28"/>
      <c r="R46" s="97">
        <f t="shared" si="5"/>
        <v>0</v>
      </c>
      <c r="S46" s="17"/>
      <c r="T46" s="60">
        <v>16.0</v>
      </c>
      <c r="U46" s="17">
        <f t="shared" si="6"/>
        <v>81.12</v>
      </c>
      <c r="V46" s="47"/>
      <c r="W46" s="60"/>
      <c r="X46" s="17">
        <f t="shared" si="7"/>
        <v>0</v>
      </c>
      <c r="Y46" s="63"/>
      <c r="Z46" s="17">
        <f t="shared" si="8"/>
        <v>0</v>
      </c>
      <c r="AA46" s="17"/>
      <c r="AB46" s="48">
        <v>0.0</v>
      </c>
      <c r="AC46" s="49"/>
      <c r="AD46" s="23"/>
    </row>
    <row r="47" ht="15.75" customHeight="1">
      <c r="A47" s="58" t="s">
        <v>257</v>
      </c>
      <c r="B47" s="58" t="s">
        <v>258</v>
      </c>
      <c r="C47" s="62">
        <v>45426.0</v>
      </c>
      <c r="D47" s="62">
        <v>45426.0</v>
      </c>
      <c r="E47" s="60">
        <v>1.0</v>
      </c>
      <c r="F47" s="17">
        <f t="shared" si="1"/>
        <v>214.22</v>
      </c>
      <c r="G47" s="17"/>
      <c r="H47" s="28"/>
      <c r="I47" s="17">
        <f t="shared" si="13"/>
        <v>0</v>
      </c>
      <c r="J47" s="17"/>
      <c r="K47" s="57"/>
      <c r="L47" s="17">
        <f t="shared" si="3"/>
        <v>0</v>
      </c>
      <c r="M47" s="47"/>
      <c r="N47" s="28"/>
      <c r="O47" s="17">
        <f t="shared" si="11"/>
        <v>0</v>
      </c>
      <c r="P47" s="17"/>
      <c r="Q47" s="28"/>
      <c r="R47" s="97">
        <f t="shared" si="5"/>
        <v>0</v>
      </c>
      <c r="S47" s="17"/>
      <c r="T47" s="28"/>
      <c r="U47" s="17">
        <f t="shared" si="6"/>
        <v>0</v>
      </c>
      <c r="V47" s="17"/>
      <c r="W47" s="60"/>
      <c r="X47" s="17">
        <f t="shared" si="7"/>
        <v>0</v>
      </c>
      <c r="Y47" s="63"/>
      <c r="Z47" s="17">
        <f t="shared" si="8"/>
        <v>0</v>
      </c>
      <c r="AA47" s="17"/>
      <c r="AB47" s="48">
        <v>0.0</v>
      </c>
      <c r="AC47" s="49"/>
      <c r="AD47" s="23"/>
    </row>
    <row r="48" ht="15.75" customHeight="1">
      <c r="A48" s="58" t="s">
        <v>181</v>
      </c>
      <c r="B48" s="58" t="s">
        <v>182</v>
      </c>
      <c r="C48" s="62">
        <v>45436.0</v>
      </c>
      <c r="D48" s="62">
        <v>45438.0</v>
      </c>
      <c r="E48" s="60"/>
      <c r="F48" s="17">
        <f t="shared" si="1"/>
        <v>0</v>
      </c>
      <c r="G48" s="17"/>
      <c r="H48" s="60">
        <v>3.0</v>
      </c>
      <c r="I48" s="17">
        <f t="shared" si="13"/>
        <v>950.31</v>
      </c>
      <c r="J48" s="17"/>
      <c r="K48" s="57"/>
      <c r="L48" s="17">
        <f t="shared" si="3"/>
        <v>0</v>
      </c>
      <c r="M48" s="47"/>
      <c r="N48" s="28"/>
      <c r="O48" s="17">
        <f t="shared" si="11"/>
        <v>0</v>
      </c>
      <c r="P48" s="17"/>
      <c r="Q48" s="28"/>
      <c r="R48" s="97">
        <f t="shared" si="5"/>
        <v>0</v>
      </c>
      <c r="S48" s="17"/>
      <c r="T48" s="60"/>
      <c r="U48" s="17">
        <f t="shared" si="6"/>
        <v>0</v>
      </c>
      <c r="V48" s="17"/>
      <c r="W48" s="60">
        <v>18.0</v>
      </c>
      <c r="X48" s="17">
        <f t="shared" si="7"/>
        <v>327.96</v>
      </c>
      <c r="Y48" s="63"/>
      <c r="Z48" s="17">
        <f t="shared" si="8"/>
        <v>0</v>
      </c>
      <c r="AA48" s="17"/>
      <c r="AB48" s="48">
        <v>0.0</v>
      </c>
      <c r="AC48" s="49"/>
      <c r="AD48" s="23"/>
    </row>
    <row r="49" ht="15.75" customHeight="1">
      <c r="A49" s="58" t="s">
        <v>238</v>
      </c>
      <c r="B49" s="58" t="s">
        <v>80</v>
      </c>
      <c r="C49" s="62">
        <v>45440.0</v>
      </c>
      <c r="D49" s="62">
        <v>45441.0</v>
      </c>
      <c r="E49" s="60"/>
      <c r="F49" s="17">
        <f t="shared" si="1"/>
        <v>0</v>
      </c>
      <c r="G49" s="17"/>
      <c r="H49" s="60"/>
      <c r="I49" s="17">
        <f t="shared" si="13"/>
        <v>0</v>
      </c>
      <c r="J49" s="17"/>
      <c r="K49" s="57">
        <v>2.0</v>
      </c>
      <c r="L49" s="17">
        <f t="shared" si="3"/>
        <v>377.14</v>
      </c>
      <c r="M49" s="47"/>
      <c r="N49" s="28"/>
      <c r="O49" s="17">
        <f t="shared" si="11"/>
        <v>0</v>
      </c>
      <c r="P49" s="17"/>
      <c r="Q49" s="28"/>
      <c r="R49" s="97">
        <f t="shared" si="5"/>
        <v>0</v>
      </c>
      <c r="S49" s="17"/>
      <c r="T49" s="28"/>
      <c r="U49" s="17">
        <f t="shared" si="6"/>
        <v>0</v>
      </c>
      <c r="V49" s="17"/>
      <c r="W49" s="60"/>
      <c r="X49" s="17">
        <f t="shared" si="7"/>
        <v>0</v>
      </c>
      <c r="Y49" s="63"/>
      <c r="Z49" s="17">
        <f t="shared" si="8"/>
        <v>0</v>
      </c>
      <c r="AA49" s="17"/>
      <c r="AB49" s="48">
        <v>0.0</v>
      </c>
      <c r="AC49" s="50"/>
      <c r="AD49" s="23"/>
    </row>
    <row r="50" ht="15.75" customHeight="1">
      <c r="A50" s="58" t="s">
        <v>71</v>
      </c>
      <c r="B50" s="58" t="s">
        <v>190</v>
      </c>
      <c r="C50" s="62"/>
      <c r="D50" s="62"/>
      <c r="E50" s="60"/>
      <c r="F50" s="17">
        <f t="shared" si="1"/>
        <v>0</v>
      </c>
      <c r="G50" s="17"/>
      <c r="H50" s="60"/>
      <c r="I50" s="17">
        <f t="shared" si="13"/>
        <v>0</v>
      </c>
      <c r="J50" s="17"/>
      <c r="K50" s="57"/>
      <c r="L50" s="17">
        <f t="shared" si="3"/>
        <v>0</v>
      </c>
      <c r="M50" s="17"/>
      <c r="N50" s="28"/>
      <c r="O50" s="17">
        <f t="shared" si="11"/>
        <v>0</v>
      </c>
      <c r="P50" s="17"/>
      <c r="Q50" s="28"/>
      <c r="R50" s="97">
        <f t="shared" si="5"/>
        <v>0</v>
      </c>
      <c r="S50" s="17"/>
      <c r="T50" s="28"/>
      <c r="U50" s="17">
        <f t="shared" si="6"/>
        <v>0</v>
      </c>
      <c r="V50" s="17"/>
      <c r="W50" s="60"/>
      <c r="X50" s="17">
        <f t="shared" si="7"/>
        <v>0</v>
      </c>
      <c r="Y50" s="63"/>
      <c r="Z50" s="17">
        <f t="shared" si="8"/>
        <v>0</v>
      </c>
      <c r="AA50" s="47"/>
      <c r="AB50" s="48">
        <v>0.0</v>
      </c>
      <c r="AC50" s="50"/>
      <c r="AD50" s="23"/>
    </row>
    <row r="51" ht="15.75" customHeight="1">
      <c r="A51" s="58" t="s">
        <v>234</v>
      </c>
      <c r="B51" s="58" t="s">
        <v>235</v>
      </c>
      <c r="C51" s="62"/>
      <c r="D51" s="62"/>
      <c r="E51" s="60">
        <v>1.0</v>
      </c>
      <c r="F51" s="17">
        <f t="shared" si="1"/>
        <v>214.22</v>
      </c>
      <c r="G51" s="47"/>
      <c r="H51" s="60"/>
      <c r="I51" s="17">
        <f t="shared" si="13"/>
        <v>0</v>
      </c>
      <c r="J51" s="17"/>
      <c r="K51" s="57"/>
      <c r="L51" s="17">
        <f t="shared" si="3"/>
        <v>0</v>
      </c>
      <c r="M51" s="17"/>
      <c r="N51" s="28"/>
      <c r="O51" s="17">
        <f t="shared" si="11"/>
        <v>0</v>
      </c>
      <c r="P51" s="17"/>
      <c r="Q51" s="28"/>
      <c r="R51" s="97">
        <f t="shared" si="5"/>
        <v>0</v>
      </c>
      <c r="S51" s="17"/>
      <c r="T51" s="28"/>
      <c r="U51" s="17">
        <f t="shared" si="6"/>
        <v>0</v>
      </c>
      <c r="V51" s="17"/>
      <c r="W51" s="60"/>
      <c r="X51" s="17">
        <f t="shared" si="7"/>
        <v>0</v>
      </c>
      <c r="Y51" s="63"/>
      <c r="Z51" s="17">
        <f t="shared" si="8"/>
        <v>0</v>
      </c>
      <c r="AA51" s="17"/>
      <c r="AB51" s="48">
        <v>0.0</v>
      </c>
      <c r="AC51" s="26"/>
      <c r="AD51" s="23"/>
    </row>
    <row r="52" ht="15.75" customHeight="1">
      <c r="A52" s="58" t="s">
        <v>163</v>
      </c>
      <c r="B52" s="58" t="s">
        <v>164</v>
      </c>
      <c r="C52" s="62">
        <v>45435.0</v>
      </c>
      <c r="D52" s="62">
        <v>45443.0</v>
      </c>
      <c r="E52" s="60"/>
      <c r="F52" s="17">
        <f t="shared" si="1"/>
        <v>0</v>
      </c>
      <c r="G52" s="17"/>
      <c r="H52" s="60"/>
      <c r="I52" s="17">
        <f t="shared" si="13"/>
        <v>0</v>
      </c>
      <c r="J52" s="17"/>
      <c r="K52" s="57">
        <v>5.0</v>
      </c>
      <c r="L52" s="17">
        <f t="shared" si="3"/>
        <v>942.85</v>
      </c>
      <c r="M52" s="47"/>
      <c r="N52" s="28"/>
      <c r="O52" s="17">
        <f t="shared" si="11"/>
        <v>0</v>
      </c>
      <c r="P52" s="17"/>
      <c r="Q52" s="28"/>
      <c r="R52" s="97">
        <f t="shared" si="5"/>
        <v>0</v>
      </c>
      <c r="S52" s="17"/>
      <c r="T52" s="60">
        <v>20.0</v>
      </c>
      <c r="U52" s="17">
        <f t="shared" si="6"/>
        <v>101.4</v>
      </c>
      <c r="V52" s="47"/>
      <c r="W52" s="60"/>
      <c r="X52" s="17">
        <f t="shared" si="7"/>
        <v>0</v>
      </c>
      <c r="Y52" s="63"/>
      <c r="Z52" s="17">
        <f t="shared" si="8"/>
        <v>0</v>
      </c>
      <c r="AA52" s="17"/>
      <c r="AB52" s="48">
        <v>0.0</v>
      </c>
      <c r="AC52" s="50"/>
      <c r="AD52" s="23"/>
    </row>
    <row r="53" ht="15.75" customHeight="1">
      <c r="A53" s="40" t="s">
        <v>81</v>
      </c>
      <c r="B53" s="41"/>
      <c r="C53" s="41"/>
      <c r="D53" s="41"/>
      <c r="E53" s="42"/>
      <c r="F53" s="43">
        <f>SUM(F31:F52)</f>
        <v>1713.76</v>
      </c>
      <c r="G53" s="43">
        <f>SUM(G4:G43)</f>
        <v>0</v>
      </c>
      <c r="H53" s="42"/>
      <c r="I53" s="43">
        <f>SUM(I4:I52)</f>
        <v>950.31</v>
      </c>
      <c r="J53" s="43">
        <f>SUM(J4:J43)</f>
        <v>0</v>
      </c>
      <c r="K53" s="42"/>
      <c r="L53" s="43">
        <f t="shared" ref="L53:M53" si="14">SUM(L4:L43)</f>
        <v>9239.93</v>
      </c>
      <c r="M53" s="43">
        <f t="shared" si="14"/>
        <v>754.28</v>
      </c>
      <c r="N53" s="42"/>
      <c r="O53" s="43">
        <f t="shared" ref="O53:P53" si="15">SUM(O4:O43)</f>
        <v>647.35</v>
      </c>
      <c r="P53" s="43">
        <f t="shared" si="15"/>
        <v>0</v>
      </c>
      <c r="Q53" s="42"/>
      <c r="R53" s="43">
        <f t="shared" ref="R53:S53" si="16">SUM(R4:R43)</f>
        <v>0</v>
      </c>
      <c r="S53" s="43">
        <f t="shared" si="16"/>
        <v>0</v>
      </c>
      <c r="T53" s="42"/>
      <c r="U53" s="43">
        <f t="shared" ref="U53:V53" si="17">SUM(U4:U43)</f>
        <v>872.04</v>
      </c>
      <c r="V53" s="43">
        <f t="shared" si="17"/>
        <v>0</v>
      </c>
      <c r="W53" s="42"/>
      <c r="X53" s="43">
        <f>SUM(X4:X43)</f>
        <v>1074.98</v>
      </c>
      <c r="Y53" s="42"/>
      <c r="Z53" s="43">
        <f t="shared" ref="Z53:AB53" si="18">SUM(Z4:Z43)</f>
        <v>0</v>
      </c>
      <c r="AA53" s="43">
        <f t="shared" si="18"/>
        <v>0</v>
      </c>
      <c r="AB53" s="43">
        <f t="shared" si="18"/>
        <v>1697.13</v>
      </c>
      <c r="AC53" s="41"/>
      <c r="AD53" s="44"/>
    </row>
    <row r="54" ht="15.75" customHeight="1">
      <c r="E54" s="1"/>
      <c r="H54" s="1"/>
      <c r="K54" s="1"/>
      <c r="N54" s="1"/>
      <c r="Q54" s="1"/>
      <c r="T54" s="1"/>
      <c r="W54" s="1"/>
      <c r="Y54" s="1"/>
      <c r="AB54" s="3"/>
    </row>
    <row r="55" ht="15.75" customHeight="1">
      <c r="E55" s="1"/>
      <c r="H55" s="1"/>
      <c r="K55" s="1"/>
      <c r="M55" s="75" t="s">
        <v>166</v>
      </c>
      <c r="N55" s="1"/>
      <c r="Q55" s="1"/>
      <c r="T55" s="1"/>
      <c r="W55" s="1"/>
      <c r="Y55" s="1"/>
      <c r="AB55" s="3"/>
    </row>
    <row r="56" ht="15.75" customHeight="1">
      <c r="E56" s="1"/>
      <c r="H56" s="1"/>
      <c r="K56" s="1"/>
      <c r="N56" s="1"/>
      <c r="Q56" s="1"/>
      <c r="T56" s="1"/>
      <c r="W56" s="1"/>
      <c r="Y56" s="1"/>
      <c r="AB56" s="3"/>
    </row>
    <row r="57" ht="15.75" customHeight="1">
      <c r="E57" s="1"/>
      <c r="H57" s="1"/>
      <c r="K57" s="1"/>
      <c r="N57" s="1"/>
      <c r="Q57" s="1"/>
      <c r="T57" s="1"/>
      <c r="W57" s="1"/>
      <c r="Y57" s="1"/>
      <c r="AB57" s="3"/>
    </row>
    <row r="58" ht="15.75" customHeight="1">
      <c r="E58" s="1"/>
      <c r="H58" s="1"/>
      <c r="K58" s="1"/>
      <c r="N58" s="1"/>
      <c r="Q58" s="1"/>
      <c r="T58" s="1"/>
      <c r="W58" s="1"/>
      <c r="Y58" s="1"/>
      <c r="AB58" s="3"/>
    </row>
    <row r="59" ht="15.75" customHeight="1">
      <c r="E59" s="1"/>
      <c r="H59" s="1"/>
      <c r="K59" s="1"/>
      <c r="N59" s="1"/>
      <c r="Q59" s="1"/>
      <c r="T59" s="1"/>
      <c r="W59" s="1"/>
      <c r="Y59" s="1"/>
      <c r="AB59" s="3"/>
    </row>
    <row r="60" ht="15.75" customHeight="1">
      <c r="E60" s="1"/>
      <c r="H60" s="1"/>
      <c r="K60" s="1"/>
      <c r="N60" s="1"/>
      <c r="Q60" s="1"/>
      <c r="T60" s="1"/>
      <c r="W60" s="1"/>
      <c r="Y60" s="1"/>
      <c r="AB60" s="3"/>
    </row>
    <row r="61" ht="15.75" customHeight="1">
      <c r="E61" s="1"/>
      <c r="H61" s="1"/>
      <c r="K61" s="1"/>
      <c r="N61" s="1"/>
      <c r="Q61" s="1"/>
      <c r="T61" s="1"/>
      <c r="W61" s="1"/>
      <c r="Y61" s="1"/>
      <c r="AB61" s="3"/>
    </row>
    <row r="62" ht="15.75" customHeight="1">
      <c r="E62" s="1"/>
      <c r="H62" s="1"/>
      <c r="K62" s="1"/>
      <c r="N62" s="1"/>
      <c r="Q62" s="1"/>
      <c r="T62" s="1"/>
      <c r="W62" s="1"/>
      <c r="Y62" s="1"/>
      <c r="AB62" s="3"/>
    </row>
    <row r="63" ht="15.75" customHeight="1">
      <c r="E63" s="1"/>
      <c r="H63" s="1"/>
      <c r="K63" s="1"/>
      <c r="N63" s="1"/>
      <c r="Q63" s="1"/>
      <c r="T63" s="1"/>
      <c r="W63" s="1"/>
      <c r="Y63" s="1"/>
      <c r="AB63" s="3"/>
    </row>
    <row r="64" ht="15.75" customHeight="1">
      <c r="E64" s="1"/>
      <c r="H64" s="1"/>
      <c r="K64" s="1"/>
      <c r="N64" s="1"/>
      <c r="Q64" s="1"/>
      <c r="T64" s="1"/>
      <c r="W64" s="1"/>
      <c r="Y64" s="1"/>
      <c r="AB64" s="3"/>
    </row>
    <row r="65" ht="15.75" customHeight="1">
      <c r="E65" s="1"/>
      <c r="H65" s="1"/>
      <c r="K65" s="1"/>
      <c r="N65" s="1"/>
      <c r="Q65" s="1"/>
      <c r="T65" s="1"/>
      <c r="W65" s="1"/>
      <c r="Y65" s="1"/>
      <c r="AB65" s="3"/>
    </row>
    <row r="66" ht="15.75" customHeight="1">
      <c r="E66" s="1"/>
      <c r="H66" s="1"/>
      <c r="K66" s="1"/>
      <c r="N66" s="1"/>
      <c r="Q66" s="1"/>
      <c r="T66" s="1"/>
      <c r="W66" s="1"/>
      <c r="Y66" s="1"/>
      <c r="AB66" s="3"/>
    </row>
    <row r="67" ht="15.75" customHeight="1">
      <c r="E67" s="1"/>
      <c r="H67" s="1"/>
      <c r="K67" s="1"/>
      <c r="N67" s="1"/>
      <c r="Q67" s="1"/>
      <c r="T67" s="1"/>
      <c r="W67" s="1"/>
      <c r="Y67" s="1"/>
      <c r="AB67" s="3"/>
    </row>
    <row r="68" ht="15.75" customHeight="1">
      <c r="E68" s="1"/>
      <c r="H68" s="1"/>
      <c r="K68" s="1"/>
      <c r="N68" s="1"/>
      <c r="Q68" s="1"/>
      <c r="T68" s="1"/>
      <c r="W68" s="1"/>
      <c r="Y68" s="1"/>
      <c r="AB68" s="3"/>
    </row>
    <row r="69" ht="15.75" customHeight="1">
      <c r="E69" s="1"/>
      <c r="H69" s="1"/>
      <c r="K69" s="1"/>
      <c r="N69" s="1"/>
      <c r="Q69" s="1"/>
      <c r="T69" s="1"/>
      <c r="W69" s="1"/>
      <c r="Y69" s="1"/>
      <c r="AB69" s="3"/>
    </row>
    <row r="70" ht="15.75" customHeight="1">
      <c r="E70" s="1"/>
      <c r="H70" s="1"/>
      <c r="K70" s="1"/>
      <c r="N70" s="1"/>
      <c r="Q70" s="1"/>
      <c r="T70" s="1"/>
      <c r="W70" s="1"/>
      <c r="Y70" s="1"/>
      <c r="AB70" s="3"/>
    </row>
    <row r="71" ht="15.75" customHeight="1">
      <c r="E71" s="1"/>
      <c r="H71" s="1"/>
      <c r="K71" s="1"/>
      <c r="N71" s="1"/>
      <c r="Q71" s="1"/>
      <c r="T71" s="1"/>
      <c r="W71" s="1"/>
      <c r="Y71" s="1"/>
      <c r="AB71" s="3"/>
    </row>
    <row r="72" ht="15.75" customHeight="1">
      <c r="E72" s="1"/>
      <c r="H72" s="1"/>
      <c r="K72" s="1"/>
      <c r="N72" s="1"/>
      <c r="Q72" s="1"/>
      <c r="T72" s="1"/>
      <c r="W72" s="1"/>
      <c r="Y72" s="1"/>
      <c r="AB72" s="3"/>
    </row>
    <row r="73" ht="15.75" customHeight="1">
      <c r="E73" s="1"/>
      <c r="H73" s="1"/>
      <c r="K73" s="1"/>
      <c r="N73" s="1"/>
      <c r="Q73" s="1"/>
      <c r="T73" s="1"/>
      <c r="W73" s="1"/>
      <c r="Y73" s="1"/>
      <c r="AB73" s="3"/>
    </row>
    <row r="74" ht="15.75" customHeight="1">
      <c r="E74" s="1"/>
      <c r="H74" s="1"/>
      <c r="K74" s="1"/>
      <c r="N74" s="1"/>
      <c r="Q74" s="1"/>
      <c r="T74" s="1"/>
      <c r="W74" s="1"/>
      <c r="Y74" s="1"/>
      <c r="AB74" s="3"/>
    </row>
    <row r="75" ht="15.75" customHeight="1">
      <c r="E75" s="1"/>
      <c r="H75" s="1"/>
      <c r="K75" s="1"/>
      <c r="N75" s="1"/>
      <c r="Q75" s="1"/>
      <c r="T75" s="1"/>
      <c r="W75" s="1"/>
      <c r="Y75" s="1"/>
      <c r="AB75" s="3"/>
    </row>
    <row r="76" ht="15.75" customHeight="1">
      <c r="E76" s="1"/>
      <c r="H76" s="1"/>
      <c r="K76" s="1"/>
      <c r="N76" s="1"/>
      <c r="Q76" s="1"/>
      <c r="T76" s="1"/>
      <c r="W76" s="1"/>
      <c r="Y76" s="1"/>
      <c r="AB76" s="3"/>
    </row>
    <row r="77" ht="15.75" customHeight="1">
      <c r="E77" s="1"/>
      <c r="H77" s="1"/>
      <c r="K77" s="1"/>
      <c r="N77" s="1"/>
      <c r="Q77" s="1"/>
      <c r="T77" s="1"/>
      <c r="W77" s="1"/>
      <c r="Y77" s="1"/>
      <c r="AB77" s="3"/>
    </row>
    <row r="78" ht="15.75" customHeight="1">
      <c r="E78" s="1"/>
      <c r="H78" s="1"/>
      <c r="K78" s="1"/>
      <c r="N78" s="1"/>
      <c r="Q78" s="1"/>
      <c r="T78" s="1"/>
      <c r="W78" s="1"/>
      <c r="Y78" s="1"/>
      <c r="AB78" s="3"/>
    </row>
    <row r="79" ht="15.75" customHeight="1">
      <c r="E79" s="1"/>
      <c r="H79" s="1"/>
      <c r="K79" s="1"/>
      <c r="N79" s="1"/>
      <c r="Q79" s="1"/>
      <c r="T79" s="1"/>
      <c r="W79" s="1"/>
      <c r="Y79" s="1"/>
      <c r="AB79" s="3"/>
    </row>
    <row r="80" ht="15.75" customHeight="1">
      <c r="E80" s="1"/>
      <c r="H80" s="1"/>
      <c r="K80" s="1"/>
      <c r="N80" s="1"/>
      <c r="Q80" s="1"/>
      <c r="T80" s="1"/>
      <c r="W80" s="1"/>
      <c r="Y80" s="1"/>
      <c r="AB80" s="3"/>
    </row>
    <row r="81" ht="15.75" customHeight="1">
      <c r="E81" s="1"/>
      <c r="H81" s="1"/>
      <c r="K81" s="1"/>
      <c r="N81" s="1"/>
      <c r="Q81" s="1"/>
      <c r="T81" s="1"/>
      <c r="W81" s="1"/>
      <c r="Y81" s="1"/>
      <c r="AB81" s="3"/>
    </row>
    <row r="82" ht="15.75" customHeight="1">
      <c r="E82" s="1"/>
      <c r="H82" s="1"/>
      <c r="K82" s="1"/>
      <c r="N82" s="1"/>
      <c r="Q82" s="1"/>
      <c r="T82" s="1"/>
      <c r="W82" s="1"/>
      <c r="Y82" s="1"/>
      <c r="AB82" s="3"/>
    </row>
    <row r="83" ht="15.75" customHeight="1">
      <c r="E83" s="1"/>
      <c r="H83" s="1"/>
      <c r="K83" s="1"/>
      <c r="N83" s="1"/>
      <c r="Q83" s="1"/>
      <c r="T83" s="1"/>
      <c r="W83" s="1"/>
      <c r="Y83" s="1"/>
      <c r="AB83" s="3"/>
    </row>
    <row r="84" ht="15.75" customHeight="1">
      <c r="E84" s="1"/>
      <c r="H84" s="1"/>
      <c r="K84" s="1"/>
      <c r="N84" s="1"/>
      <c r="Q84" s="1"/>
      <c r="T84" s="1"/>
      <c r="W84" s="1"/>
      <c r="Y84" s="1"/>
      <c r="AB84" s="3"/>
    </row>
    <row r="85" ht="15.75" customHeight="1">
      <c r="E85" s="1"/>
      <c r="H85" s="1"/>
      <c r="K85" s="1"/>
      <c r="N85" s="1"/>
      <c r="Q85" s="1"/>
      <c r="T85" s="1"/>
      <c r="W85" s="1"/>
      <c r="Y85" s="1"/>
      <c r="AB85" s="3"/>
    </row>
    <row r="86" ht="15.75" customHeight="1">
      <c r="E86" s="1"/>
      <c r="H86" s="1"/>
      <c r="K86" s="1"/>
      <c r="N86" s="1"/>
      <c r="Q86" s="1"/>
      <c r="T86" s="1"/>
      <c r="W86" s="1"/>
      <c r="Y86" s="1"/>
      <c r="AB86" s="3"/>
    </row>
    <row r="87" ht="15.75" customHeight="1">
      <c r="E87" s="1"/>
      <c r="H87" s="1"/>
      <c r="K87" s="1"/>
      <c r="N87" s="1"/>
      <c r="Q87" s="1"/>
      <c r="T87" s="1"/>
      <c r="W87" s="1"/>
      <c r="Y87" s="1"/>
      <c r="AB87" s="3"/>
    </row>
    <row r="88" ht="15.75" customHeight="1">
      <c r="E88" s="1"/>
      <c r="H88" s="1"/>
      <c r="K88" s="1"/>
      <c r="N88" s="1"/>
      <c r="Q88" s="1"/>
      <c r="T88" s="1"/>
      <c r="W88" s="1"/>
      <c r="Y88" s="1"/>
      <c r="AB88" s="3"/>
    </row>
    <row r="89" ht="15.75" customHeight="1">
      <c r="E89" s="1"/>
      <c r="H89" s="1"/>
      <c r="K89" s="1"/>
      <c r="N89" s="1"/>
      <c r="Q89" s="1"/>
      <c r="T89" s="1"/>
      <c r="W89" s="1"/>
      <c r="Y89" s="1"/>
      <c r="AB89" s="3"/>
    </row>
    <row r="90" ht="15.75" customHeight="1">
      <c r="E90" s="1"/>
      <c r="H90" s="1"/>
      <c r="K90" s="1"/>
      <c r="N90" s="1"/>
      <c r="Q90" s="1"/>
      <c r="T90" s="1"/>
      <c r="W90" s="1"/>
      <c r="Y90" s="1"/>
      <c r="AB90" s="3"/>
    </row>
    <row r="91" ht="15.75" customHeight="1">
      <c r="E91" s="1"/>
      <c r="H91" s="1"/>
      <c r="K91" s="1"/>
      <c r="N91" s="1"/>
      <c r="Q91" s="1"/>
      <c r="T91" s="1"/>
      <c r="W91" s="1"/>
      <c r="Y91" s="1"/>
      <c r="AB91" s="3"/>
    </row>
    <row r="92" ht="15.75" customHeight="1">
      <c r="E92" s="1"/>
      <c r="H92" s="1"/>
      <c r="K92" s="1"/>
      <c r="N92" s="1"/>
      <c r="Q92" s="1"/>
      <c r="T92" s="1"/>
      <c r="W92" s="1"/>
      <c r="Y92" s="1"/>
      <c r="AB92" s="3"/>
    </row>
    <row r="93" ht="15.75" customHeight="1">
      <c r="E93" s="1"/>
      <c r="H93" s="1"/>
      <c r="K93" s="1"/>
      <c r="N93" s="1"/>
      <c r="Q93" s="1"/>
      <c r="T93" s="1"/>
      <c r="W93" s="1"/>
      <c r="Y93" s="1"/>
      <c r="AB93" s="3"/>
    </row>
    <row r="94" ht="15.75" customHeight="1">
      <c r="E94" s="1"/>
      <c r="H94" s="1"/>
      <c r="K94" s="1"/>
      <c r="N94" s="1"/>
      <c r="Q94" s="1"/>
      <c r="T94" s="1"/>
      <c r="W94" s="1"/>
      <c r="Y94" s="1"/>
      <c r="AB94" s="3"/>
    </row>
    <row r="95" ht="15.75" customHeight="1">
      <c r="E95" s="1"/>
      <c r="H95" s="1"/>
      <c r="K95" s="1"/>
      <c r="N95" s="1"/>
      <c r="Q95" s="1"/>
      <c r="T95" s="1"/>
      <c r="W95" s="1"/>
      <c r="Y95" s="1"/>
      <c r="AB95" s="3"/>
    </row>
    <row r="96" ht="15.75" customHeight="1">
      <c r="E96" s="1"/>
      <c r="H96" s="1"/>
      <c r="K96" s="1"/>
      <c r="N96" s="1"/>
      <c r="Q96" s="1"/>
      <c r="T96" s="1"/>
      <c r="W96" s="1"/>
      <c r="Y96" s="1"/>
      <c r="AB96" s="3"/>
    </row>
    <row r="97" ht="15.75" customHeight="1">
      <c r="E97" s="1"/>
      <c r="H97" s="1"/>
      <c r="K97" s="1"/>
      <c r="N97" s="1"/>
      <c r="Q97" s="1"/>
      <c r="T97" s="1"/>
      <c r="W97" s="1"/>
      <c r="Y97" s="1"/>
      <c r="AB97" s="3"/>
    </row>
    <row r="98" ht="15.75" customHeight="1">
      <c r="E98" s="1"/>
      <c r="H98" s="1"/>
      <c r="K98" s="1"/>
      <c r="N98" s="1"/>
      <c r="Q98" s="1"/>
      <c r="T98" s="1"/>
      <c r="W98" s="1"/>
      <c r="Y98" s="1"/>
      <c r="AB98" s="3"/>
    </row>
    <row r="99" ht="15.75" customHeight="1">
      <c r="E99" s="1"/>
      <c r="H99" s="1"/>
      <c r="K99" s="1"/>
      <c r="N99" s="1"/>
      <c r="Q99" s="1"/>
      <c r="T99" s="1"/>
      <c r="W99" s="1"/>
      <c r="Y99" s="1"/>
      <c r="AB99" s="3"/>
    </row>
    <row r="100" ht="15.75" customHeight="1">
      <c r="E100" s="1"/>
      <c r="H100" s="1"/>
      <c r="K100" s="1"/>
      <c r="N100" s="1"/>
      <c r="Q100" s="1"/>
      <c r="T100" s="1"/>
      <c r="W100" s="1"/>
      <c r="Y100" s="1"/>
      <c r="AB100" s="3"/>
    </row>
    <row r="101" ht="15.75" customHeight="1">
      <c r="E101" s="1"/>
      <c r="H101" s="1"/>
      <c r="K101" s="1"/>
      <c r="N101" s="1"/>
      <c r="Q101" s="1"/>
      <c r="T101" s="1"/>
      <c r="W101" s="1"/>
      <c r="Y101" s="1"/>
      <c r="AB101" s="3"/>
    </row>
    <row r="102" ht="15.75" customHeight="1">
      <c r="E102" s="1"/>
      <c r="H102" s="1"/>
      <c r="K102" s="1"/>
      <c r="N102" s="1"/>
      <c r="Q102" s="1"/>
      <c r="T102" s="1"/>
      <c r="W102" s="1"/>
      <c r="Y102" s="1"/>
      <c r="AB102" s="3"/>
    </row>
    <row r="103" ht="15.75" customHeight="1">
      <c r="E103" s="1"/>
      <c r="H103" s="1"/>
      <c r="K103" s="1"/>
      <c r="N103" s="1"/>
      <c r="Q103" s="1"/>
      <c r="T103" s="1"/>
      <c r="W103" s="1"/>
      <c r="Y103" s="1"/>
      <c r="AB103" s="3"/>
    </row>
    <row r="104" ht="15.75" customHeight="1">
      <c r="E104" s="1"/>
      <c r="H104" s="1"/>
      <c r="K104" s="1"/>
      <c r="N104" s="1"/>
      <c r="Q104" s="1"/>
      <c r="T104" s="1"/>
      <c r="W104" s="1"/>
      <c r="Y104" s="1"/>
      <c r="AB104" s="3"/>
    </row>
    <row r="105" ht="15.75" customHeight="1">
      <c r="E105" s="1"/>
      <c r="H105" s="1"/>
      <c r="K105" s="1"/>
      <c r="N105" s="1"/>
      <c r="Q105" s="1"/>
      <c r="T105" s="1"/>
      <c r="W105" s="1"/>
      <c r="Y105" s="1"/>
      <c r="AB105" s="3"/>
    </row>
    <row r="106" ht="15.75" customHeight="1">
      <c r="E106" s="1"/>
      <c r="H106" s="1"/>
      <c r="K106" s="1"/>
      <c r="N106" s="1"/>
      <c r="Q106" s="1"/>
      <c r="T106" s="1"/>
      <c r="W106" s="1"/>
      <c r="Y106" s="1"/>
      <c r="AB106" s="3"/>
    </row>
    <row r="107" ht="15.75" customHeight="1">
      <c r="E107" s="1"/>
      <c r="H107" s="1"/>
      <c r="K107" s="1"/>
      <c r="N107" s="1"/>
      <c r="Q107" s="1"/>
      <c r="T107" s="1"/>
      <c r="W107" s="1"/>
      <c r="Y107" s="1"/>
      <c r="AB107" s="3"/>
    </row>
    <row r="108" ht="15.75" customHeight="1">
      <c r="E108" s="1"/>
      <c r="H108" s="1"/>
      <c r="K108" s="1"/>
      <c r="N108" s="1"/>
      <c r="Q108" s="1"/>
      <c r="T108" s="1"/>
      <c r="W108" s="1"/>
      <c r="Y108" s="1"/>
      <c r="AB108" s="3"/>
    </row>
    <row r="109" ht="15.75" customHeight="1">
      <c r="E109" s="1"/>
      <c r="H109" s="1"/>
      <c r="K109" s="1"/>
      <c r="N109" s="1"/>
      <c r="Q109" s="1"/>
      <c r="T109" s="1"/>
      <c r="W109" s="1"/>
      <c r="Y109" s="1"/>
      <c r="AB109" s="3"/>
    </row>
    <row r="110" ht="15.75" customHeight="1">
      <c r="E110" s="1"/>
      <c r="H110" s="1"/>
      <c r="K110" s="1"/>
      <c r="N110" s="1"/>
      <c r="Q110" s="1"/>
      <c r="T110" s="1"/>
      <c r="W110" s="1"/>
      <c r="Y110" s="1"/>
      <c r="AB110" s="3"/>
    </row>
    <row r="111" ht="15.75" customHeight="1">
      <c r="E111" s="1"/>
      <c r="H111" s="1"/>
      <c r="K111" s="1"/>
      <c r="N111" s="1"/>
      <c r="Q111" s="1"/>
      <c r="T111" s="1"/>
      <c r="W111" s="1"/>
      <c r="Y111" s="1"/>
      <c r="AB111" s="3"/>
    </row>
    <row r="112" ht="15.75" customHeight="1">
      <c r="E112" s="1"/>
      <c r="H112" s="1"/>
      <c r="K112" s="1"/>
      <c r="N112" s="1"/>
      <c r="Q112" s="1"/>
      <c r="T112" s="1"/>
      <c r="W112" s="1"/>
      <c r="Y112" s="1"/>
      <c r="AB112" s="3"/>
    </row>
    <row r="113" ht="15.75" customHeight="1">
      <c r="E113" s="1"/>
      <c r="H113" s="1"/>
      <c r="K113" s="1"/>
      <c r="N113" s="1"/>
      <c r="Q113" s="1"/>
      <c r="T113" s="1"/>
      <c r="W113" s="1"/>
      <c r="Y113" s="1"/>
      <c r="AB113" s="3"/>
    </row>
    <row r="114" ht="15.75" customHeight="1">
      <c r="E114" s="1"/>
      <c r="H114" s="1"/>
      <c r="K114" s="1"/>
      <c r="N114" s="1"/>
      <c r="Q114" s="1"/>
      <c r="T114" s="1"/>
      <c r="W114" s="1"/>
      <c r="Y114" s="1"/>
      <c r="AB114" s="3"/>
    </row>
    <row r="115" ht="15.75" customHeight="1">
      <c r="E115" s="1"/>
      <c r="H115" s="1"/>
      <c r="K115" s="1"/>
      <c r="N115" s="1"/>
      <c r="Q115" s="1"/>
      <c r="T115" s="1"/>
      <c r="W115" s="1"/>
      <c r="Y115" s="1"/>
      <c r="AB115" s="3"/>
    </row>
    <row r="116" ht="15.75" customHeight="1">
      <c r="E116" s="1"/>
      <c r="H116" s="1"/>
      <c r="K116" s="1"/>
      <c r="N116" s="1"/>
      <c r="Q116" s="1"/>
      <c r="T116" s="1"/>
      <c r="W116" s="1"/>
      <c r="Y116" s="1"/>
      <c r="AB116" s="3"/>
    </row>
    <row r="117" ht="15.75" customHeight="1">
      <c r="E117" s="1"/>
      <c r="H117" s="1"/>
      <c r="K117" s="1"/>
      <c r="N117" s="1"/>
      <c r="Q117" s="1"/>
      <c r="T117" s="1"/>
      <c r="W117" s="1"/>
      <c r="Y117" s="1"/>
      <c r="AB117" s="3"/>
    </row>
    <row r="118" ht="15.75" customHeight="1">
      <c r="E118" s="1"/>
      <c r="H118" s="1"/>
      <c r="K118" s="1"/>
      <c r="N118" s="1"/>
      <c r="Q118" s="1"/>
      <c r="T118" s="1"/>
      <c r="W118" s="1"/>
      <c r="Y118" s="1"/>
      <c r="AB118" s="3"/>
    </row>
    <row r="119" ht="15.75" customHeight="1">
      <c r="E119" s="1"/>
      <c r="H119" s="1"/>
      <c r="K119" s="1"/>
      <c r="N119" s="1"/>
      <c r="Q119" s="1"/>
      <c r="T119" s="1"/>
      <c r="W119" s="1"/>
      <c r="Y119" s="1"/>
      <c r="AB119" s="3"/>
    </row>
    <row r="120" ht="15.75" customHeight="1">
      <c r="E120" s="1"/>
      <c r="H120" s="1"/>
      <c r="K120" s="1"/>
      <c r="N120" s="1"/>
      <c r="Q120" s="1"/>
      <c r="T120" s="1"/>
      <c r="W120" s="1"/>
      <c r="Y120" s="1"/>
      <c r="AB120" s="3"/>
    </row>
    <row r="121" ht="15.75" customHeight="1">
      <c r="E121" s="1"/>
      <c r="H121" s="1"/>
      <c r="K121" s="1"/>
      <c r="N121" s="1"/>
      <c r="Q121" s="1"/>
      <c r="T121" s="1"/>
      <c r="W121" s="1"/>
      <c r="Y121" s="1"/>
      <c r="AB121" s="3"/>
    </row>
    <row r="122" ht="15.75" customHeight="1">
      <c r="E122" s="1"/>
      <c r="H122" s="1"/>
      <c r="K122" s="1"/>
      <c r="N122" s="1"/>
      <c r="Q122" s="1"/>
      <c r="T122" s="1"/>
      <c r="W122" s="1"/>
      <c r="Y122" s="1"/>
      <c r="AB122" s="3"/>
    </row>
    <row r="123" ht="15.75" customHeight="1">
      <c r="E123" s="1"/>
      <c r="H123" s="1"/>
      <c r="K123" s="1"/>
      <c r="N123" s="1"/>
      <c r="Q123" s="1"/>
      <c r="T123" s="1"/>
      <c r="W123" s="1"/>
      <c r="Y123" s="1"/>
      <c r="AB123" s="3"/>
    </row>
    <row r="124" ht="15.75" customHeight="1">
      <c r="E124" s="1"/>
      <c r="H124" s="1"/>
      <c r="K124" s="1"/>
      <c r="N124" s="1"/>
      <c r="Q124" s="1"/>
      <c r="T124" s="1"/>
      <c r="W124" s="1"/>
      <c r="Y124" s="1"/>
      <c r="AB124" s="3"/>
    </row>
    <row r="125" ht="15.75" customHeight="1">
      <c r="E125" s="1"/>
      <c r="H125" s="1"/>
      <c r="K125" s="1"/>
      <c r="N125" s="1"/>
      <c r="Q125" s="1"/>
      <c r="T125" s="1"/>
      <c r="W125" s="1"/>
      <c r="Y125" s="1"/>
      <c r="AB125" s="3"/>
    </row>
    <row r="126" ht="15.75" customHeight="1">
      <c r="E126" s="1"/>
      <c r="H126" s="1"/>
      <c r="K126" s="1"/>
      <c r="N126" s="1"/>
      <c r="Q126" s="1"/>
      <c r="T126" s="1"/>
      <c r="W126" s="1"/>
      <c r="Y126" s="1"/>
      <c r="AB126" s="3"/>
    </row>
    <row r="127" ht="15.75" customHeight="1">
      <c r="E127" s="1"/>
      <c r="H127" s="1"/>
      <c r="K127" s="1"/>
      <c r="N127" s="1"/>
      <c r="Q127" s="1"/>
      <c r="T127" s="1"/>
      <c r="W127" s="1"/>
      <c r="Y127" s="1"/>
      <c r="AB127" s="3"/>
    </row>
    <row r="128" ht="15.75" customHeight="1">
      <c r="E128" s="1"/>
      <c r="H128" s="1"/>
      <c r="K128" s="1"/>
      <c r="N128" s="1"/>
      <c r="Q128" s="1"/>
      <c r="T128" s="1"/>
      <c r="W128" s="1"/>
      <c r="Y128" s="1"/>
      <c r="AB128" s="3"/>
    </row>
    <row r="129" ht="15.75" customHeight="1">
      <c r="E129" s="1"/>
      <c r="H129" s="1"/>
      <c r="K129" s="1"/>
      <c r="N129" s="1"/>
      <c r="Q129" s="1"/>
      <c r="T129" s="1"/>
      <c r="W129" s="1"/>
      <c r="Y129" s="1"/>
      <c r="AB129" s="3"/>
    </row>
    <row r="130" ht="15.75" customHeight="1">
      <c r="E130" s="1"/>
      <c r="H130" s="1"/>
      <c r="K130" s="1"/>
      <c r="N130" s="1"/>
      <c r="Q130" s="1"/>
      <c r="T130" s="1"/>
      <c r="W130" s="1"/>
      <c r="Y130" s="1"/>
      <c r="AB130" s="3"/>
    </row>
    <row r="131" ht="15.75" customHeight="1">
      <c r="E131" s="1"/>
      <c r="H131" s="1"/>
      <c r="K131" s="1"/>
      <c r="N131" s="1"/>
      <c r="Q131" s="1"/>
      <c r="T131" s="1"/>
      <c r="W131" s="1"/>
      <c r="Y131" s="1"/>
      <c r="AB131" s="3"/>
    </row>
    <row r="132" ht="15.75" customHeight="1">
      <c r="E132" s="1"/>
      <c r="H132" s="1"/>
      <c r="K132" s="1"/>
      <c r="N132" s="1"/>
      <c r="Q132" s="1"/>
      <c r="T132" s="1"/>
      <c r="W132" s="1"/>
      <c r="Y132" s="1"/>
      <c r="AB132" s="3"/>
    </row>
    <row r="133" ht="15.75" customHeight="1">
      <c r="E133" s="1"/>
      <c r="H133" s="1"/>
      <c r="K133" s="1"/>
      <c r="N133" s="1"/>
      <c r="Q133" s="1"/>
      <c r="T133" s="1"/>
      <c r="W133" s="1"/>
      <c r="Y133" s="1"/>
      <c r="AB133" s="3"/>
    </row>
    <row r="134" ht="15.75" customHeight="1">
      <c r="E134" s="1"/>
      <c r="H134" s="1"/>
      <c r="K134" s="1"/>
      <c r="N134" s="1"/>
      <c r="Q134" s="1"/>
      <c r="T134" s="1"/>
      <c r="W134" s="1"/>
      <c r="Y134" s="1"/>
      <c r="AB134" s="3"/>
    </row>
    <row r="135" ht="15.75" customHeight="1">
      <c r="E135" s="1"/>
      <c r="H135" s="1"/>
      <c r="K135" s="1"/>
      <c r="N135" s="1"/>
      <c r="Q135" s="1"/>
      <c r="T135" s="1"/>
      <c r="W135" s="1"/>
      <c r="Y135" s="1"/>
      <c r="AB135" s="3"/>
    </row>
    <row r="136" ht="15.75" customHeight="1">
      <c r="E136" s="1"/>
      <c r="H136" s="1"/>
      <c r="K136" s="1"/>
      <c r="N136" s="1"/>
      <c r="Q136" s="1"/>
      <c r="T136" s="1"/>
      <c r="W136" s="1"/>
      <c r="Y136" s="1"/>
      <c r="AB136" s="3"/>
    </row>
    <row r="137" ht="15.75" customHeight="1">
      <c r="E137" s="1"/>
      <c r="H137" s="1"/>
      <c r="K137" s="1"/>
      <c r="N137" s="1"/>
      <c r="Q137" s="1"/>
      <c r="T137" s="1"/>
      <c r="W137" s="1"/>
      <c r="Y137" s="1"/>
      <c r="AB137" s="3"/>
    </row>
    <row r="138" ht="15.75" customHeight="1">
      <c r="E138" s="1"/>
      <c r="H138" s="1"/>
      <c r="K138" s="1"/>
      <c r="N138" s="1"/>
      <c r="Q138" s="1"/>
      <c r="T138" s="1"/>
      <c r="W138" s="1"/>
      <c r="Y138" s="1"/>
      <c r="AB138" s="3"/>
    </row>
    <row r="139" ht="15.75" customHeight="1">
      <c r="E139" s="1"/>
      <c r="H139" s="1"/>
      <c r="K139" s="1"/>
      <c r="N139" s="1"/>
      <c r="Q139" s="1"/>
      <c r="T139" s="1"/>
      <c r="W139" s="1"/>
      <c r="Y139" s="1"/>
      <c r="AB139" s="3"/>
    </row>
    <row r="140" ht="15.75" customHeight="1">
      <c r="E140" s="1"/>
      <c r="H140" s="1"/>
      <c r="K140" s="1"/>
      <c r="N140" s="1"/>
      <c r="Q140" s="1"/>
      <c r="T140" s="1"/>
      <c r="W140" s="1"/>
      <c r="Y140" s="1"/>
      <c r="AB140" s="3"/>
    </row>
    <row r="141" ht="15.75" customHeight="1">
      <c r="E141" s="1"/>
      <c r="H141" s="1"/>
      <c r="K141" s="1"/>
      <c r="N141" s="1"/>
      <c r="Q141" s="1"/>
      <c r="T141" s="1"/>
      <c r="W141" s="1"/>
      <c r="Y141" s="1"/>
      <c r="AB141" s="3"/>
    </row>
    <row r="142" ht="15.75" customHeight="1">
      <c r="E142" s="1"/>
      <c r="H142" s="1"/>
      <c r="K142" s="1"/>
      <c r="N142" s="1"/>
      <c r="Q142" s="1"/>
      <c r="T142" s="1"/>
      <c r="W142" s="1"/>
      <c r="Y142" s="1"/>
      <c r="AB142" s="3"/>
    </row>
    <row r="143" ht="15.75" customHeight="1">
      <c r="E143" s="1"/>
      <c r="H143" s="1"/>
      <c r="K143" s="1"/>
      <c r="N143" s="1"/>
      <c r="Q143" s="1"/>
      <c r="T143" s="1"/>
      <c r="W143" s="1"/>
      <c r="Y143" s="1"/>
      <c r="AB143" s="3"/>
    </row>
    <row r="144" ht="15.75" customHeight="1">
      <c r="E144" s="1"/>
      <c r="H144" s="1"/>
      <c r="K144" s="1"/>
      <c r="N144" s="1"/>
      <c r="Q144" s="1"/>
      <c r="T144" s="1"/>
      <c r="W144" s="1"/>
      <c r="Y144" s="1"/>
      <c r="AB144" s="3"/>
    </row>
    <row r="145" ht="15.75" customHeight="1">
      <c r="E145" s="1"/>
      <c r="H145" s="1"/>
      <c r="K145" s="1"/>
      <c r="N145" s="1"/>
      <c r="Q145" s="1"/>
      <c r="T145" s="1"/>
      <c r="W145" s="1"/>
      <c r="Y145" s="1"/>
      <c r="AB145" s="3"/>
    </row>
    <row r="146" ht="15.75" customHeight="1">
      <c r="E146" s="1"/>
      <c r="H146" s="1"/>
      <c r="K146" s="1"/>
      <c r="N146" s="1"/>
      <c r="Q146" s="1"/>
      <c r="T146" s="1"/>
      <c r="W146" s="1"/>
      <c r="Y146" s="1"/>
      <c r="AB146" s="3"/>
    </row>
    <row r="147" ht="15.75" customHeight="1">
      <c r="E147" s="1"/>
      <c r="H147" s="1"/>
      <c r="K147" s="1"/>
      <c r="N147" s="1"/>
      <c r="Q147" s="1"/>
      <c r="T147" s="1"/>
      <c r="W147" s="1"/>
      <c r="Y147" s="1"/>
      <c r="AB147" s="3"/>
    </row>
    <row r="148" ht="15.75" customHeight="1">
      <c r="E148" s="1"/>
      <c r="H148" s="1"/>
      <c r="K148" s="1"/>
      <c r="N148" s="1"/>
      <c r="Q148" s="1"/>
      <c r="T148" s="1"/>
      <c r="W148" s="1"/>
      <c r="Y148" s="1"/>
      <c r="AB148" s="3"/>
    </row>
    <row r="149" ht="15.75" customHeight="1">
      <c r="E149" s="1"/>
      <c r="H149" s="1"/>
      <c r="K149" s="1"/>
      <c r="N149" s="1"/>
      <c r="Q149" s="1"/>
      <c r="T149" s="1"/>
      <c r="W149" s="1"/>
      <c r="Y149" s="1"/>
      <c r="AB149" s="3"/>
    </row>
    <row r="150" ht="15.75" customHeight="1">
      <c r="E150" s="1"/>
      <c r="H150" s="1"/>
      <c r="K150" s="1"/>
      <c r="N150" s="1"/>
      <c r="Q150" s="1"/>
      <c r="T150" s="1"/>
      <c r="W150" s="1"/>
      <c r="Y150" s="1"/>
      <c r="AB150" s="3"/>
    </row>
    <row r="151" ht="15.75" customHeight="1">
      <c r="E151" s="1"/>
      <c r="H151" s="1"/>
      <c r="K151" s="1"/>
      <c r="N151" s="1"/>
      <c r="Q151" s="1"/>
      <c r="T151" s="1"/>
      <c r="W151" s="1"/>
      <c r="Y151" s="1"/>
      <c r="AB151" s="3"/>
    </row>
    <row r="152" ht="15.75" customHeight="1">
      <c r="E152" s="1"/>
      <c r="H152" s="1"/>
      <c r="K152" s="1"/>
      <c r="N152" s="1"/>
      <c r="Q152" s="1"/>
      <c r="T152" s="1"/>
      <c r="W152" s="1"/>
      <c r="Y152" s="1"/>
      <c r="AB152" s="3"/>
    </row>
    <row r="153" ht="15.75" customHeight="1">
      <c r="E153" s="1"/>
      <c r="H153" s="1"/>
      <c r="K153" s="1"/>
      <c r="N153" s="1"/>
      <c r="Q153" s="1"/>
      <c r="T153" s="1"/>
      <c r="W153" s="1"/>
      <c r="Y153" s="1"/>
      <c r="AB153" s="3"/>
    </row>
    <row r="154" ht="15.75" customHeight="1">
      <c r="E154" s="1"/>
      <c r="H154" s="1"/>
      <c r="K154" s="1"/>
      <c r="N154" s="1"/>
      <c r="Q154" s="1"/>
      <c r="T154" s="1"/>
      <c r="W154" s="1"/>
      <c r="Y154" s="1"/>
      <c r="AB154" s="3"/>
    </row>
    <row r="155" ht="15.75" customHeight="1">
      <c r="E155" s="1"/>
      <c r="H155" s="1"/>
      <c r="K155" s="1"/>
      <c r="N155" s="1"/>
      <c r="Q155" s="1"/>
      <c r="T155" s="1"/>
      <c r="W155" s="1"/>
      <c r="Y155" s="1"/>
      <c r="AB155" s="3"/>
    </row>
    <row r="156" ht="15.75" customHeight="1">
      <c r="E156" s="1"/>
      <c r="H156" s="1"/>
      <c r="K156" s="1"/>
      <c r="N156" s="1"/>
      <c r="Q156" s="1"/>
      <c r="T156" s="1"/>
      <c r="W156" s="1"/>
      <c r="Y156" s="1"/>
      <c r="AB156" s="3"/>
    </row>
    <row r="157" ht="15.75" customHeight="1">
      <c r="E157" s="1"/>
      <c r="H157" s="1"/>
      <c r="K157" s="1"/>
      <c r="N157" s="1"/>
      <c r="Q157" s="1"/>
      <c r="T157" s="1"/>
      <c r="W157" s="1"/>
      <c r="Y157" s="1"/>
      <c r="AB157" s="3"/>
    </row>
    <row r="158" ht="15.75" customHeight="1">
      <c r="E158" s="1"/>
      <c r="H158" s="1"/>
      <c r="K158" s="1"/>
      <c r="N158" s="1"/>
      <c r="Q158" s="1"/>
      <c r="T158" s="1"/>
      <c r="W158" s="1"/>
      <c r="Y158" s="1"/>
      <c r="AB158" s="3"/>
    </row>
    <row r="159" ht="15.75" customHeight="1">
      <c r="E159" s="1"/>
      <c r="H159" s="1"/>
      <c r="K159" s="1"/>
      <c r="N159" s="1"/>
      <c r="Q159" s="1"/>
      <c r="T159" s="1"/>
      <c r="W159" s="1"/>
      <c r="Y159" s="1"/>
      <c r="AB159" s="3"/>
    </row>
    <row r="160" ht="15.75" customHeight="1">
      <c r="E160" s="1"/>
      <c r="H160" s="1"/>
      <c r="K160" s="1"/>
      <c r="N160" s="1"/>
      <c r="Q160" s="1"/>
      <c r="T160" s="1"/>
      <c r="W160" s="1"/>
      <c r="Y160" s="1"/>
      <c r="AB160" s="3"/>
    </row>
    <row r="161" ht="15.75" customHeight="1">
      <c r="E161" s="1"/>
      <c r="H161" s="1"/>
      <c r="K161" s="1"/>
      <c r="N161" s="1"/>
      <c r="Q161" s="1"/>
      <c r="T161" s="1"/>
      <c r="W161" s="1"/>
      <c r="Y161" s="1"/>
      <c r="AB161" s="3"/>
    </row>
    <row r="162" ht="15.75" customHeight="1">
      <c r="E162" s="1"/>
      <c r="H162" s="1"/>
      <c r="K162" s="1"/>
      <c r="N162" s="1"/>
      <c r="Q162" s="1"/>
      <c r="T162" s="1"/>
      <c r="W162" s="1"/>
      <c r="Y162" s="1"/>
      <c r="AB162" s="3"/>
    </row>
    <row r="163" ht="15.75" customHeight="1">
      <c r="E163" s="1"/>
      <c r="H163" s="1"/>
      <c r="K163" s="1"/>
      <c r="N163" s="1"/>
      <c r="Q163" s="1"/>
      <c r="T163" s="1"/>
      <c r="W163" s="1"/>
      <c r="Y163" s="1"/>
      <c r="AB163" s="3"/>
    </row>
    <row r="164" ht="15.75" customHeight="1">
      <c r="E164" s="1"/>
      <c r="H164" s="1"/>
      <c r="K164" s="1"/>
      <c r="N164" s="1"/>
      <c r="Q164" s="1"/>
      <c r="T164" s="1"/>
      <c r="W164" s="1"/>
      <c r="Y164" s="1"/>
      <c r="AB164" s="3"/>
    </row>
    <row r="165" ht="15.75" customHeight="1">
      <c r="E165" s="1"/>
      <c r="H165" s="1"/>
      <c r="K165" s="1"/>
      <c r="N165" s="1"/>
      <c r="Q165" s="1"/>
      <c r="T165" s="1"/>
      <c r="W165" s="1"/>
      <c r="Y165" s="1"/>
      <c r="AB165" s="3"/>
    </row>
    <row r="166" ht="15.75" customHeight="1">
      <c r="E166" s="1"/>
      <c r="H166" s="1"/>
      <c r="K166" s="1"/>
      <c r="N166" s="1"/>
      <c r="Q166" s="1"/>
      <c r="T166" s="1"/>
      <c r="W166" s="1"/>
      <c r="Y166" s="1"/>
      <c r="AB166" s="3"/>
    </row>
    <row r="167" ht="15.75" customHeight="1">
      <c r="E167" s="1"/>
      <c r="H167" s="1"/>
      <c r="K167" s="1"/>
      <c r="N167" s="1"/>
      <c r="Q167" s="1"/>
      <c r="T167" s="1"/>
      <c r="W167" s="1"/>
      <c r="Y167" s="1"/>
      <c r="AB167" s="3"/>
    </row>
    <row r="168" ht="15.75" customHeight="1">
      <c r="E168" s="1"/>
      <c r="H168" s="1"/>
      <c r="K168" s="1"/>
      <c r="N168" s="1"/>
      <c r="Q168" s="1"/>
      <c r="T168" s="1"/>
      <c r="W168" s="1"/>
      <c r="Y168" s="1"/>
      <c r="AB168" s="3"/>
    </row>
    <row r="169" ht="15.75" customHeight="1">
      <c r="E169" s="1"/>
      <c r="H169" s="1"/>
      <c r="K169" s="1"/>
      <c r="N169" s="1"/>
      <c r="Q169" s="1"/>
      <c r="T169" s="1"/>
      <c r="W169" s="1"/>
      <c r="Y169" s="1"/>
      <c r="AB169" s="3"/>
    </row>
    <row r="170" ht="15.75" customHeight="1">
      <c r="E170" s="1"/>
      <c r="H170" s="1"/>
      <c r="K170" s="1"/>
      <c r="N170" s="1"/>
      <c r="Q170" s="1"/>
      <c r="T170" s="1"/>
      <c r="W170" s="1"/>
      <c r="Y170" s="1"/>
      <c r="AB170" s="3"/>
    </row>
    <row r="171" ht="15.75" customHeight="1">
      <c r="E171" s="1"/>
      <c r="H171" s="1"/>
      <c r="K171" s="1"/>
      <c r="N171" s="1"/>
      <c r="Q171" s="1"/>
      <c r="T171" s="1"/>
      <c r="W171" s="1"/>
      <c r="Y171" s="1"/>
      <c r="AB171" s="3"/>
    </row>
    <row r="172" ht="15.75" customHeight="1">
      <c r="E172" s="1"/>
      <c r="H172" s="1"/>
      <c r="K172" s="1"/>
      <c r="N172" s="1"/>
      <c r="Q172" s="1"/>
      <c r="T172" s="1"/>
      <c r="W172" s="1"/>
      <c r="Y172" s="1"/>
      <c r="AB172" s="3"/>
    </row>
    <row r="173" ht="15.75" customHeight="1">
      <c r="E173" s="1"/>
      <c r="H173" s="1"/>
      <c r="K173" s="1"/>
      <c r="N173" s="1"/>
      <c r="Q173" s="1"/>
      <c r="T173" s="1"/>
      <c r="W173" s="1"/>
      <c r="Y173" s="1"/>
      <c r="AB173" s="3"/>
    </row>
    <row r="174" ht="15.75" customHeight="1">
      <c r="E174" s="1"/>
      <c r="H174" s="1"/>
      <c r="K174" s="1"/>
      <c r="N174" s="1"/>
      <c r="Q174" s="1"/>
      <c r="T174" s="1"/>
      <c r="W174" s="1"/>
      <c r="Y174" s="1"/>
      <c r="AB174" s="3"/>
    </row>
    <row r="175" ht="15.75" customHeight="1">
      <c r="E175" s="1"/>
      <c r="H175" s="1"/>
      <c r="K175" s="1"/>
      <c r="N175" s="1"/>
      <c r="Q175" s="1"/>
      <c r="T175" s="1"/>
      <c r="W175" s="1"/>
      <c r="Y175" s="1"/>
      <c r="AB175" s="3"/>
    </row>
    <row r="176" ht="15.75" customHeight="1">
      <c r="E176" s="1"/>
      <c r="H176" s="1"/>
      <c r="K176" s="1"/>
      <c r="N176" s="1"/>
      <c r="Q176" s="1"/>
      <c r="T176" s="1"/>
      <c r="W176" s="1"/>
      <c r="Y176" s="1"/>
      <c r="AB176" s="3"/>
    </row>
    <row r="177" ht="15.75" customHeight="1">
      <c r="E177" s="1"/>
      <c r="H177" s="1"/>
      <c r="K177" s="1"/>
      <c r="N177" s="1"/>
      <c r="Q177" s="1"/>
      <c r="T177" s="1"/>
      <c r="W177" s="1"/>
      <c r="Y177" s="1"/>
      <c r="AB177" s="3"/>
    </row>
    <row r="178" ht="15.75" customHeight="1">
      <c r="E178" s="1"/>
      <c r="H178" s="1"/>
      <c r="K178" s="1"/>
      <c r="N178" s="1"/>
      <c r="Q178" s="1"/>
      <c r="T178" s="1"/>
      <c r="W178" s="1"/>
      <c r="Y178" s="1"/>
      <c r="AB178" s="3"/>
    </row>
    <row r="179" ht="15.75" customHeight="1">
      <c r="E179" s="1"/>
      <c r="H179" s="1"/>
      <c r="K179" s="1"/>
      <c r="N179" s="1"/>
      <c r="Q179" s="1"/>
      <c r="T179" s="1"/>
      <c r="W179" s="1"/>
      <c r="Y179" s="1"/>
      <c r="AB179" s="3"/>
    </row>
    <row r="180" ht="15.75" customHeight="1">
      <c r="E180" s="1"/>
      <c r="H180" s="1"/>
      <c r="K180" s="1"/>
      <c r="N180" s="1"/>
      <c r="Q180" s="1"/>
      <c r="T180" s="1"/>
      <c r="W180" s="1"/>
      <c r="Y180" s="1"/>
      <c r="AB180" s="3"/>
    </row>
    <row r="181" ht="15.75" customHeight="1">
      <c r="E181" s="1"/>
      <c r="H181" s="1"/>
      <c r="K181" s="1"/>
      <c r="N181" s="1"/>
      <c r="Q181" s="1"/>
      <c r="T181" s="1"/>
      <c r="W181" s="1"/>
      <c r="Y181" s="1"/>
      <c r="AB181" s="3"/>
    </row>
    <row r="182" ht="15.75" customHeight="1">
      <c r="E182" s="1"/>
      <c r="H182" s="1"/>
      <c r="K182" s="1"/>
      <c r="N182" s="1"/>
      <c r="Q182" s="1"/>
      <c r="T182" s="1"/>
      <c r="W182" s="1"/>
      <c r="Y182" s="1"/>
      <c r="AB182" s="3"/>
    </row>
    <row r="183" ht="15.75" customHeight="1">
      <c r="E183" s="1"/>
      <c r="H183" s="1"/>
      <c r="K183" s="1"/>
      <c r="N183" s="1"/>
      <c r="Q183" s="1"/>
      <c r="T183" s="1"/>
      <c r="W183" s="1"/>
      <c r="Y183" s="1"/>
      <c r="AB183" s="3"/>
    </row>
    <row r="184" ht="15.75" customHeight="1">
      <c r="E184" s="1"/>
      <c r="H184" s="1"/>
      <c r="K184" s="1"/>
      <c r="N184" s="1"/>
      <c r="Q184" s="1"/>
      <c r="T184" s="1"/>
      <c r="W184" s="1"/>
      <c r="Y184" s="1"/>
      <c r="AB184" s="3"/>
    </row>
    <row r="185" ht="15.75" customHeight="1">
      <c r="E185" s="1"/>
      <c r="H185" s="1"/>
      <c r="K185" s="1"/>
      <c r="N185" s="1"/>
      <c r="Q185" s="1"/>
      <c r="T185" s="1"/>
      <c r="W185" s="1"/>
      <c r="Y185" s="1"/>
      <c r="AB185" s="3"/>
    </row>
    <row r="186" ht="15.75" customHeight="1">
      <c r="E186" s="1"/>
      <c r="H186" s="1"/>
      <c r="K186" s="1"/>
      <c r="N186" s="1"/>
      <c r="Q186" s="1"/>
      <c r="T186" s="1"/>
      <c r="W186" s="1"/>
      <c r="Y186" s="1"/>
      <c r="AB186" s="3"/>
    </row>
    <row r="187" ht="15.75" customHeight="1">
      <c r="E187" s="1"/>
      <c r="H187" s="1"/>
      <c r="K187" s="1"/>
      <c r="N187" s="1"/>
      <c r="Q187" s="1"/>
      <c r="T187" s="1"/>
      <c r="W187" s="1"/>
      <c r="Y187" s="1"/>
      <c r="AB187" s="3"/>
    </row>
    <row r="188" ht="15.75" customHeight="1">
      <c r="E188" s="1"/>
      <c r="H188" s="1"/>
      <c r="K188" s="1"/>
      <c r="N188" s="1"/>
      <c r="Q188" s="1"/>
      <c r="T188" s="1"/>
      <c r="W188" s="1"/>
      <c r="Y188" s="1"/>
      <c r="AB188" s="3"/>
    </row>
    <row r="189" ht="15.75" customHeight="1">
      <c r="E189" s="1"/>
      <c r="H189" s="1"/>
      <c r="K189" s="1"/>
      <c r="N189" s="1"/>
      <c r="Q189" s="1"/>
      <c r="T189" s="1"/>
      <c r="W189" s="1"/>
      <c r="Y189" s="1"/>
      <c r="AB189" s="3"/>
    </row>
    <row r="190" ht="15.75" customHeight="1">
      <c r="E190" s="1"/>
      <c r="H190" s="1"/>
      <c r="K190" s="1"/>
      <c r="N190" s="1"/>
      <c r="Q190" s="1"/>
      <c r="T190" s="1"/>
      <c r="W190" s="1"/>
      <c r="Y190" s="1"/>
      <c r="AB190" s="3"/>
    </row>
    <row r="191" ht="15.75" customHeight="1">
      <c r="E191" s="1"/>
      <c r="H191" s="1"/>
      <c r="K191" s="1"/>
      <c r="N191" s="1"/>
      <c r="Q191" s="1"/>
      <c r="T191" s="1"/>
      <c r="W191" s="1"/>
      <c r="Y191" s="1"/>
      <c r="AB191" s="3"/>
    </row>
    <row r="192" ht="15.75" customHeight="1">
      <c r="E192" s="1"/>
      <c r="H192" s="1"/>
      <c r="K192" s="1"/>
      <c r="N192" s="1"/>
      <c r="Q192" s="1"/>
      <c r="T192" s="1"/>
      <c r="W192" s="1"/>
      <c r="Y192" s="1"/>
      <c r="AB192" s="3"/>
    </row>
    <row r="193" ht="15.75" customHeight="1">
      <c r="E193" s="1"/>
      <c r="H193" s="1"/>
      <c r="K193" s="1"/>
      <c r="N193" s="1"/>
      <c r="Q193" s="1"/>
      <c r="T193" s="1"/>
      <c r="W193" s="1"/>
      <c r="Y193" s="1"/>
      <c r="AB193" s="3"/>
    </row>
    <row r="194" ht="15.75" customHeight="1">
      <c r="E194" s="1"/>
      <c r="H194" s="1"/>
      <c r="K194" s="1"/>
      <c r="N194" s="1"/>
      <c r="Q194" s="1"/>
      <c r="T194" s="1"/>
      <c r="W194" s="1"/>
      <c r="Y194" s="1"/>
      <c r="AB194" s="3"/>
    </row>
    <row r="195" ht="15.75" customHeight="1">
      <c r="E195" s="1"/>
      <c r="H195" s="1"/>
      <c r="K195" s="1"/>
      <c r="N195" s="1"/>
      <c r="Q195" s="1"/>
      <c r="T195" s="1"/>
      <c r="W195" s="1"/>
      <c r="Y195" s="1"/>
      <c r="AB195" s="3"/>
    </row>
    <row r="196" ht="15.75" customHeight="1">
      <c r="E196" s="1"/>
      <c r="H196" s="1"/>
      <c r="K196" s="1"/>
      <c r="N196" s="1"/>
      <c r="Q196" s="1"/>
      <c r="T196" s="1"/>
      <c r="W196" s="1"/>
      <c r="Y196" s="1"/>
      <c r="AB196" s="3"/>
    </row>
    <row r="197" ht="15.75" customHeight="1">
      <c r="E197" s="1"/>
      <c r="H197" s="1"/>
      <c r="K197" s="1"/>
      <c r="N197" s="1"/>
      <c r="Q197" s="1"/>
      <c r="T197" s="1"/>
      <c r="W197" s="1"/>
      <c r="Y197" s="1"/>
      <c r="AB197" s="3"/>
    </row>
    <row r="198" ht="15.75" customHeight="1">
      <c r="E198" s="1"/>
      <c r="H198" s="1"/>
      <c r="K198" s="1"/>
      <c r="N198" s="1"/>
      <c r="Q198" s="1"/>
      <c r="T198" s="1"/>
      <c r="W198" s="1"/>
      <c r="Y198" s="1"/>
      <c r="AB198" s="3"/>
    </row>
    <row r="199" ht="15.75" customHeight="1">
      <c r="E199" s="1"/>
      <c r="H199" s="1"/>
      <c r="K199" s="1"/>
      <c r="N199" s="1"/>
      <c r="Q199" s="1"/>
      <c r="T199" s="1"/>
      <c r="W199" s="1"/>
      <c r="Y199" s="1"/>
      <c r="AB199" s="3"/>
    </row>
    <row r="200" ht="15.75" customHeight="1">
      <c r="E200" s="1"/>
      <c r="H200" s="1"/>
      <c r="K200" s="1"/>
      <c r="N200" s="1"/>
      <c r="Q200" s="1"/>
      <c r="T200" s="1"/>
      <c r="W200" s="1"/>
      <c r="Y200" s="1"/>
      <c r="AB200" s="3"/>
    </row>
    <row r="201" ht="15.75" customHeight="1">
      <c r="E201" s="1"/>
      <c r="H201" s="1"/>
      <c r="K201" s="1"/>
      <c r="N201" s="1"/>
      <c r="Q201" s="1"/>
      <c r="T201" s="1"/>
      <c r="W201" s="1"/>
      <c r="Y201" s="1"/>
      <c r="AB201" s="3"/>
    </row>
    <row r="202" ht="15.75" customHeight="1">
      <c r="E202" s="1"/>
      <c r="H202" s="1"/>
      <c r="K202" s="1"/>
      <c r="N202" s="1"/>
      <c r="Q202" s="1"/>
      <c r="T202" s="1"/>
      <c r="W202" s="1"/>
      <c r="Y202" s="1"/>
      <c r="AB202" s="3"/>
    </row>
    <row r="203" ht="15.75" customHeight="1">
      <c r="E203" s="1"/>
      <c r="H203" s="1"/>
      <c r="K203" s="1"/>
      <c r="N203" s="1"/>
      <c r="Q203" s="1"/>
      <c r="T203" s="1"/>
      <c r="W203" s="1"/>
      <c r="Y203" s="1"/>
      <c r="AB203" s="3"/>
    </row>
    <row r="204" ht="15.75" customHeight="1">
      <c r="E204" s="1"/>
      <c r="H204" s="1"/>
      <c r="K204" s="1"/>
      <c r="N204" s="1"/>
      <c r="Q204" s="1"/>
      <c r="T204" s="1"/>
      <c r="W204" s="1"/>
      <c r="Y204" s="1"/>
      <c r="AB204" s="3"/>
    </row>
    <row r="205" ht="15.75" customHeight="1">
      <c r="E205" s="1"/>
      <c r="H205" s="1"/>
      <c r="K205" s="1"/>
      <c r="N205" s="1"/>
      <c r="Q205" s="1"/>
      <c r="T205" s="1"/>
      <c r="W205" s="1"/>
      <c r="Y205" s="1"/>
      <c r="AB205" s="3"/>
    </row>
    <row r="206" ht="15.75" customHeight="1">
      <c r="E206" s="1"/>
      <c r="H206" s="1"/>
      <c r="K206" s="1"/>
      <c r="N206" s="1"/>
      <c r="Q206" s="1"/>
      <c r="T206" s="1"/>
      <c r="W206" s="1"/>
      <c r="Y206" s="1"/>
      <c r="AB206" s="3"/>
    </row>
    <row r="207" ht="15.75" customHeight="1">
      <c r="E207" s="1"/>
      <c r="H207" s="1"/>
      <c r="K207" s="1"/>
      <c r="N207" s="1"/>
      <c r="Q207" s="1"/>
      <c r="T207" s="1"/>
      <c r="W207" s="1"/>
      <c r="Y207" s="1"/>
      <c r="AB207" s="3"/>
    </row>
    <row r="208" ht="15.75" customHeight="1">
      <c r="E208" s="1"/>
      <c r="H208" s="1"/>
      <c r="K208" s="1"/>
      <c r="N208" s="1"/>
      <c r="Q208" s="1"/>
      <c r="T208" s="1"/>
      <c r="W208" s="1"/>
      <c r="Y208" s="1"/>
      <c r="AB208" s="3"/>
    </row>
    <row r="209" ht="15.75" customHeight="1">
      <c r="E209" s="1"/>
      <c r="H209" s="1"/>
      <c r="K209" s="1"/>
      <c r="N209" s="1"/>
      <c r="Q209" s="1"/>
      <c r="T209" s="1"/>
      <c r="W209" s="1"/>
      <c r="Y209" s="1"/>
      <c r="AB209" s="3"/>
    </row>
    <row r="210" ht="15.75" customHeight="1">
      <c r="E210" s="1"/>
      <c r="H210" s="1"/>
      <c r="K210" s="1"/>
      <c r="N210" s="1"/>
      <c r="Q210" s="1"/>
      <c r="T210" s="1"/>
      <c r="W210" s="1"/>
      <c r="Y210" s="1"/>
      <c r="AB210" s="3"/>
    </row>
    <row r="211" ht="15.75" customHeight="1">
      <c r="E211" s="1"/>
      <c r="H211" s="1"/>
      <c r="K211" s="1"/>
      <c r="N211" s="1"/>
      <c r="Q211" s="1"/>
      <c r="T211" s="1"/>
      <c r="W211" s="1"/>
      <c r="Y211" s="1"/>
      <c r="AB211" s="3"/>
    </row>
    <row r="212" ht="15.75" customHeight="1">
      <c r="E212" s="1"/>
      <c r="H212" s="1"/>
      <c r="K212" s="1"/>
      <c r="N212" s="1"/>
      <c r="Q212" s="1"/>
      <c r="T212" s="1"/>
      <c r="W212" s="1"/>
      <c r="Y212" s="1"/>
      <c r="AB212" s="3"/>
    </row>
    <row r="213" ht="15.75" customHeight="1">
      <c r="E213" s="1"/>
      <c r="H213" s="1"/>
      <c r="K213" s="1"/>
      <c r="N213" s="1"/>
      <c r="Q213" s="1"/>
      <c r="T213" s="1"/>
      <c r="W213" s="1"/>
      <c r="Y213" s="1"/>
      <c r="AB213" s="3"/>
    </row>
    <row r="214" ht="15.75" customHeight="1">
      <c r="E214" s="1"/>
      <c r="H214" s="1"/>
      <c r="K214" s="1"/>
      <c r="N214" s="1"/>
      <c r="Q214" s="1"/>
      <c r="T214" s="1"/>
      <c r="W214" s="1"/>
      <c r="Y214" s="1"/>
      <c r="AB214" s="3"/>
    </row>
    <row r="215" ht="15.75" customHeight="1">
      <c r="E215" s="1"/>
      <c r="H215" s="1"/>
      <c r="K215" s="1"/>
      <c r="N215" s="1"/>
      <c r="Q215" s="1"/>
      <c r="T215" s="1"/>
      <c r="W215" s="1"/>
      <c r="Y215" s="1"/>
      <c r="AB215" s="3"/>
    </row>
    <row r="216" ht="15.75" customHeight="1">
      <c r="E216" s="1"/>
      <c r="H216" s="1"/>
      <c r="K216" s="1"/>
      <c r="N216" s="1"/>
      <c r="Q216" s="1"/>
      <c r="T216" s="1"/>
      <c r="W216" s="1"/>
      <c r="Y216" s="1"/>
      <c r="AB216" s="3"/>
    </row>
    <row r="217" ht="15.75" customHeight="1">
      <c r="E217" s="1"/>
      <c r="H217" s="1"/>
      <c r="K217" s="1"/>
      <c r="N217" s="1"/>
      <c r="Q217" s="1"/>
      <c r="T217" s="1"/>
      <c r="W217" s="1"/>
      <c r="Y217" s="1"/>
      <c r="AB217" s="3"/>
    </row>
    <row r="218" ht="15.75" customHeight="1">
      <c r="E218" s="1"/>
      <c r="H218" s="1"/>
      <c r="K218" s="1"/>
      <c r="N218" s="1"/>
      <c r="Q218" s="1"/>
      <c r="T218" s="1"/>
      <c r="W218" s="1"/>
      <c r="Y218" s="1"/>
      <c r="AB218" s="3"/>
    </row>
    <row r="219" ht="15.75" customHeight="1">
      <c r="E219" s="1"/>
      <c r="H219" s="1"/>
      <c r="K219" s="1"/>
      <c r="N219" s="1"/>
      <c r="Q219" s="1"/>
      <c r="T219" s="1"/>
      <c r="W219" s="1"/>
      <c r="Y219" s="1"/>
      <c r="AB219" s="3"/>
    </row>
    <row r="220" ht="15.75" customHeight="1">
      <c r="E220" s="1"/>
      <c r="H220" s="1"/>
      <c r="K220" s="1"/>
      <c r="N220" s="1"/>
      <c r="Q220" s="1"/>
      <c r="T220" s="1"/>
      <c r="W220" s="1"/>
      <c r="Y220" s="1"/>
      <c r="AB220" s="3"/>
    </row>
    <row r="221" ht="15.75" customHeight="1">
      <c r="E221" s="1"/>
      <c r="H221" s="1"/>
      <c r="K221" s="1"/>
      <c r="N221" s="1"/>
      <c r="Q221" s="1"/>
      <c r="T221" s="1"/>
      <c r="W221" s="1"/>
      <c r="Y221" s="1"/>
      <c r="AB221" s="3"/>
    </row>
    <row r="222" ht="15.75" customHeight="1">
      <c r="E222" s="1"/>
      <c r="H222" s="1"/>
      <c r="K222" s="1"/>
      <c r="N222" s="1"/>
      <c r="Q222" s="1"/>
      <c r="T222" s="1"/>
      <c r="W222" s="1"/>
      <c r="Y222" s="1"/>
      <c r="AB222" s="3"/>
    </row>
    <row r="223" ht="15.75" customHeight="1">
      <c r="E223" s="1"/>
      <c r="H223" s="1"/>
      <c r="K223" s="1"/>
      <c r="N223" s="1"/>
      <c r="Q223" s="1"/>
      <c r="T223" s="1"/>
      <c r="W223" s="1"/>
      <c r="Y223" s="1"/>
      <c r="AB223" s="3"/>
    </row>
    <row r="224" ht="15.75" customHeight="1">
      <c r="E224" s="1"/>
      <c r="H224" s="1"/>
      <c r="K224" s="1"/>
      <c r="N224" s="1"/>
      <c r="Q224" s="1"/>
      <c r="T224" s="1"/>
      <c r="W224" s="1"/>
      <c r="Y224" s="1"/>
      <c r="AB224" s="3"/>
    </row>
    <row r="225" ht="15.75" customHeight="1">
      <c r="E225" s="1"/>
      <c r="H225" s="1"/>
      <c r="K225" s="1"/>
      <c r="N225" s="1"/>
      <c r="Q225" s="1"/>
      <c r="T225" s="1"/>
      <c r="W225" s="1"/>
      <c r="Y225" s="1"/>
      <c r="AB225" s="3"/>
    </row>
    <row r="226" ht="15.75" customHeight="1">
      <c r="E226" s="1"/>
      <c r="H226" s="1"/>
      <c r="K226" s="1"/>
      <c r="N226" s="1"/>
      <c r="Q226" s="1"/>
      <c r="T226" s="1"/>
      <c r="W226" s="1"/>
      <c r="Y226" s="1"/>
      <c r="AB226" s="3"/>
    </row>
    <row r="227" ht="15.75" customHeight="1">
      <c r="E227" s="1"/>
      <c r="H227" s="1"/>
      <c r="K227" s="1"/>
      <c r="N227" s="1"/>
      <c r="Q227" s="1"/>
      <c r="T227" s="1"/>
      <c r="W227" s="1"/>
      <c r="Y227" s="1"/>
      <c r="AB227" s="3"/>
    </row>
    <row r="228" ht="15.75" customHeight="1">
      <c r="E228" s="1"/>
      <c r="H228" s="1"/>
      <c r="K228" s="1"/>
      <c r="N228" s="1"/>
      <c r="Q228" s="1"/>
      <c r="T228" s="1"/>
      <c r="W228" s="1"/>
      <c r="Y228" s="1"/>
      <c r="AB228" s="3"/>
    </row>
    <row r="229" ht="15.75" customHeight="1">
      <c r="E229" s="1"/>
      <c r="H229" s="1"/>
      <c r="K229" s="1"/>
      <c r="N229" s="1"/>
      <c r="Q229" s="1"/>
      <c r="T229" s="1"/>
      <c r="W229" s="1"/>
      <c r="Y229" s="1"/>
      <c r="AB229" s="3"/>
    </row>
    <row r="230" ht="15.75" customHeight="1">
      <c r="E230" s="1"/>
      <c r="H230" s="1"/>
      <c r="K230" s="1"/>
      <c r="N230" s="1"/>
      <c r="Q230" s="1"/>
      <c r="T230" s="1"/>
      <c r="W230" s="1"/>
      <c r="Y230" s="1"/>
      <c r="AB230" s="3"/>
    </row>
    <row r="231" ht="15.75" customHeight="1">
      <c r="E231" s="1"/>
      <c r="H231" s="1"/>
      <c r="K231" s="1"/>
      <c r="N231" s="1"/>
      <c r="Q231" s="1"/>
      <c r="T231" s="1"/>
      <c r="W231" s="1"/>
      <c r="Y231" s="1"/>
      <c r="AB231" s="3"/>
    </row>
    <row r="232" ht="15.75" customHeight="1">
      <c r="E232" s="1"/>
      <c r="H232" s="1"/>
      <c r="K232" s="1"/>
      <c r="N232" s="1"/>
      <c r="Q232" s="1"/>
      <c r="T232" s="1"/>
      <c r="W232" s="1"/>
      <c r="Y232" s="1"/>
      <c r="AB232" s="3"/>
    </row>
    <row r="233" ht="15.75" customHeight="1">
      <c r="E233" s="1"/>
      <c r="H233" s="1"/>
      <c r="K233" s="1"/>
      <c r="N233" s="1"/>
      <c r="Q233" s="1"/>
      <c r="T233" s="1"/>
      <c r="W233" s="1"/>
      <c r="Y233" s="1"/>
      <c r="AB233" s="3"/>
    </row>
    <row r="234" ht="15.75" customHeight="1">
      <c r="E234" s="1"/>
      <c r="H234" s="1"/>
      <c r="K234" s="1"/>
      <c r="N234" s="1"/>
      <c r="Q234" s="1"/>
      <c r="T234" s="1"/>
      <c r="W234" s="1"/>
      <c r="Y234" s="1"/>
      <c r="AB234" s="3"/>
    </row>
    <row r="235" ht="15.75" customHeight="1">
      <c r="E235" s="1"/>
      <c r="H235" s="1"/>
      <c r="K235" s="1"/>
      <c r="N235" s="1"/>
      <c r="Q235" s="1"/>
      <c r="T235" s="1"/>
      <c r="W235" s="1"/>
      <c r="Y235" s="1"/>
      <c r="AB235" s="3"/>
    </row>
    <row r="236" ht="15.75" customHeight="1">
      <c r="E236" s="1"/>
      <c r="H236" s="1"/>
      <c r="K236" s="1"/>
      <c r="N236" s="1"/>
      <c r="Q236" s="1"/>
      <c r="T236" s="1"/>
      <c r="W236" s="1"/>
      <c r="Y236" s="1"/>
      <c r="AB236" s="3"/>
    </row>
    <row r="237" ht="15.75" customHeight="1">
      <c r="E237" s="1"/>
      <c r="H237" s="1"/>
      <c r="K237" s="1"/>
      <c r="N237" s="1"/>
      <c r="Q237" s="1"/>
      <c r="T237" s="1"/>
      <c r="W237" s="1"/>
      <c r="Y237" s="1"/>
      <c r="AB237" s="3"/>
    </row>
    <row r="238" ht="15.75" customHeight="1">
      <c r="E238" s="1"/>
      <c r="H238" s="1"/>
      <c r="K238" s="1"/>
      <c r="N238" s="1"/>
      <c r="Q238" s="1"/>
      <c r="T238" s="1"/>
      <c r="W238" s="1"/>
      <c r="Y238" s="1"/>
      <c r="AB238" s="3"/>
    </row>
    <row r="239" ht="15.75" customHeight="1">
      <c r="E239" s="1"/>
      <c r="H239" s="1"/>
      <c r="K239" s="1"/>
      <c r="N239" s="1"/>
      <c r="Q239" s="1"/>
      <c r="T239" s="1"/>
      <c r="W239" s="1"/>
      <c r="Y239" s="1"/>
      <c r="AB239" s="3"/>
    </row>
    <row r="240" ht="15.75" customHeight="1">
      <c r="E240" s="1"/>
      <c r="H240" s="1"/>
      <c r="K240" s="1"/>
      <c r="N240" s="1"/>
      <c r="Q240" s="1"/>
      <c r="T240" s="1"/>
      <c r="W240" s="1"/>
      <c r="Y240" s="1"/>
      <c r="AB240" s="3"/>
    </row>
    <row r="241" ht="15.75" customHeight="1">
      <c r="E241" s="1"/>
      <c r="H241" s="1"/>
      <c r="K241" s="1"/>
      <c r="N241" s="1"/>
      <c r="Q241" s="1"/>
      <c r="T241" s="1"/>
      <c r="W241" s="1"/>
      <c r="Y241" s="1"/>
      <c r="AB241" s="3"/>
    </row>
    <row r="242" ht="15.75" customHeight="1">
      <c r="E242" s="1"/>
      <c r="H242" s="1"/>
      <c r="K242" s="1"/>
      <c r="N242" s="1"/>
      <c r="Q242" s="1"/>
      <c r="T242" s="1"/>
      <c r="W242" s="1"/>
      <c r="Y242" s="1"/>
      <c r="AB242" s="3"/>
    </row>
    <row r="243" ht="15.75" customHeight="1">
      <c r="E243" s="1"/>
      <c r="H243" s="1"/>
      <c r="K243" s="1"/>
      <c r="N243" s="1"/>
      <c r="Q243" s="1"/>
      <c r="T243" s="1"/>
      <c r="W243" s="1"/>
      <c r="Y243" s="1"/>
      <c r="AB243" s="3"/>
    </row>
    <row r="244" ht="15.75" customHeight="1">
      <c r="E244" s="1"/>
      <c r="H244" s="1"/>
      <c r="K244" s="1"/>
      <c r="N244" s="1"/>
      <c r="Q244" s="1"/>
      <c r="T244" s="1"/>
      <c r="W244" s="1"/>
      <c r="Y244" s="1"/>
      <c r="AB244" s="3"/>
    </row>
    <row r="245" ht="15.75" customHeight="1">
      <c r="E245" s="1"/>
      <c r="H245" s="1"/>
      <c r="K245" s="1"/>
      <c r="N245" s="1"/>
      <c r="Q245" s="1"/>
      <c r="T245" s="1"/>
      <c r="W245" s="1"/>
      <c r="Y245" s="1"/>
      <c r="AB245" s="3"/>
    </row>
    <row r="246" ht="15.75" customHeight="1">
      <c r="E246" s="1"/>
      <c r="H246" s="1"/>
      <c r="K246" s="1"/>
      <c r="N246" s="1"/>
      <c r="Q246" s="1"/>
      <c r="T246" s="1"/>
      <c r="W246" s="1"/>
      <c r="Y246" s="1"/>
      <c r="AB246" s="3"/>
    </row>
    <row r="247" ht="15.75" customHeight="1">
      <c r="E247" s="1"/>
      <c r="H247" s="1"/>
      <c r="K247" s="1"/>
      <c r="N247" s="1"/>
      <c r="Q247" s="1"/>
      <c r="T247" s="1"/>
      <c r="W247" s="1"/>
      <c r="Y247" s="1"/>
      <c r="AB247" s="3"/>
    </row>
    <row r="248" ht="15.75" customHeight="1">
      <c r="E248" s="1"/>
      <c r="H248" s="1"/>
      <c r="K248" s="1"/>
      <c r="N248" s="1"/>
      <c r="Q248" s="1"/>
      <c r="T248" s="1"/>
      <c r="W248" s="1"/>
      <c r="Y248" s="1"/>
      <c r="AB248" s="3"/>
    </row>
    <row r="249" ht="15.75" customHeight="1">
      <c r="E249" s="1"/>
      <c r="H249" s="1"/>
      <c r="K249" s="1"/>
      <c r="N249" s="1"/>
      <c r="Q249" s="1"/>
      <c r="T249" s="1"/>
      <c r="W249" s="1"/>
      <c r="Y249" s="1"/>
      <c r="AB249" s="3"/>
    </row>
    <row r="250" ht="15.75" customHeight="1">
      <c r="E250" s="1"/>
      <c r="H250" s="1"/>
      <c r="K250" s="1"/>
      <c r="N250" s="1"/>
      <c r="Q250" s="1"/>
      <c r="T250" s="1"/>
      <c r="W250" s="1"/>
      <c r="Y250" s="1"/>
      <c r="AB250" s="3"/>
    </row>
    <row r="251" ht="15.75" customHeight="1">
      <c r="E251" s="1"/>
      <c r="H251" s="1"/>
      <c r="K251" s="1"/>
      <c r="N251" s="1"/>
      <c r="Q251" s="1"/>
      <c r="T251" s="1"/>
      <c r="W251" s="1"/>
      <c r="Y251" s="1"/>
      <c r="AB251" s="3"/>
    </row>
    <row r="252" ht="15.75" customHeight="1">
      <c r="E252" s="1"/>
      <c r="H252" s="1"/>
      <c r="K252" s="1"/>
      <c r="N252" s="1"/>
      <c r="Q252" s="1"/>
      <c r="T252" s="1"/>
      <c r="W252" s="1"/>
      <c r="Y252" s="1"/>
      <c r="AB252" s="3"/>
    </row>
    <row r="253" ht="15.75" customHeight="1">
      <c r="E253" s="1"/>
      <c r="H253" s="1"/>
      <c r="K253" s="1"/>
      <c r="N253" s="1"/>
      <c r="Q253" s="1"/>
      <c r="T253" s="1"/>
      <c r="W253" s="1"/>
      <c r="Y253" s="1"/>
      <c r="AB253" s="3"/>
    </row>
    <row r="254" ht="15.75" customHeight="1">
      <c r="E254" s="1"/>
      <c r="H254" s="1"/>
      <c r="K254" s="1"/>
      <c r="N254" s="1"/>
      <c r="Q254" s="1"/>
      <c r="T254" s="1"/>
      <c r="W254" s="1"/>
      <c r="Y254" s="1"/>
      <c r="AB254" s="3"/>
    </row>
    <row r="255" ht="15.75" customHeight="1">
      <c r="E255" s="1"/>
      <c r="H255" s="1"/>
      <c r="K255" s="1"/>
      <c r="N255" s="1"/>
      <c r="Q255" s="1"/>
      <c r="T255" s="1"/>
      <c r="W255" s="1"/>
      <c r="Y255" s="1"/>
      <c r="AB255" s="3"/>
    </row>
    <row r="256" ht="15.75" customHeight="1">
      <c r="E256" s="1"/>
      <c r="H256" s="1"/>
      <c r="K256" s="1"/>
      <c r="N256" s="1"/>
      <c r="Q256" s="1"/>
      <c r="T256" s="1"/>
      <c r="W256" s="1"/>
      <c r="Y256" s="1"/>
      <c r="AB256" s="3"/>
    </row>
    <row r="257" ht="15.75" customHeight="1">
      <c r="E257" s="1"/>
      <c r="H257" s="1"/>
      <c r="K257" s="1"/>
      <c r="N257" s="1"/>
      <c r="Q257" s="1"/>
      <c r="T257" s="1"/>
      <c r="W257" s="1"/>
      <c r="Y257" s="1"/>
      <c r="AB257" s="3"/>
    </row>
    <row r="258" ht="15.75" customHeight="1">
      <c r="E258" s="1"/>
      <c r="H258" s="1"/>
      <c r="K258" s="1"/>
      <c r="N258" s="1"/>
      <c r="Q258" s="1"/>
      <c r="T258" s="1"/>
      <c r="W258" s="1"/>
      <c r="Y258" s="1"/>
      <c r="AB258" s="3"/>
    </row>
    <row r="259" ht="15.75" customHeight="1">
      <c r="E259" s="1"/>
      <c r="H259" s="1"/>
      <c r="K259" s="1"/>
      <c r="N259" s="1"/>
      <c r="Q259" s="1"/>
      <c r="T259" s="1"/>
      <c r="W259" s="1"/>
      <c r="Y259" s="1"/>
      <c r="AB259" s="3"/>
    </row>
    <row r="260" ht="15.75" customHeight="1">
      <c r="E260" s="1"/>
      <c r="H260" s="1"/>
      <c r="K260" s="1"/>
      <c r="N260" s="1"/>
      <c r="Q260" s="1"/>
      <c r="T260" s="1"/>
      <c r="W260" s="1"/>
      <c r="Y260" s="1"/>
      <c r="AB260" s="3"/>
    </row>
    <row r="261" ht="15.75" customHeight="1">
      <c r="E261" s="1"/>
      <c r="H261" s="1"/>
      <c r="K261" s="1"/>
      <c r="N261" s="1"/>
      <c r="Q261" s="1"/>
      <c r="T261" s="1"/>
      <c r="W261" s="1"/>
      <c r="Y261" s="1"/>
      <c r="AB261" s="3"/>
    </row>
    <row r="262" ht="15.75" customHeight="1">
      <c r="E262" s="1"/>
      <c r="H262" s="1"/>
      <c r="K262" s="1"/>
      <c r="N262" s="1"/>
      <c r="Q262" s="1"/>
      <c r="T262" s="1"/>
      <c r="W262" s="1"/>
      <c r="Y262" s="1"/>
      <c r="AB262" s="3"/>
    </row>
    <row r="263" ht="15.75" customHeight="1">
      <c r="E263" s="1"/>
      <c r="H263" s="1"/>
      <c r="K263" s="1"/>
      <c r="N263" s="1"/>
      <c r="Q263" s="1"/>
      <c r="T263" s="1"/>
      <c r="W263" s="1"/>
      <c r="Y263" s="1"/>
      <c r="AB263" s="3"/>
    </row>
    <row r="264" ht="15.75" customHeight="1">
      <c r="E264" s="1"/>
      <c r="H264" s="1"/>
      <c r="K264" s="1"/>
      <c r="N264" s="1"/>
      <c r="Q264" s="1"/>
      <c r="T264" s="1"/>
      <c r="W264" s="1"/>
      <c r="Y264" s="1"/>
      <c r="AB264" s="3"/>
    </row>
    <row r="265" ht="15.75" customHeight="1">
      <c r="E265" s="1"/>
      <c r="H265" s="1"/>
      <c r="K265" s="1"/>
      <c r="N265" s="1"/>
      <c r="Q265" s="1"/>
      <c r="T265" s="1"/>
      <c r="W265" s="1"/>
      <c r="Y265" s="1"/>
      <c r="AB265" s="3"/>
    </row>
    <row r="266" ht="15.75" customHeight="1">
      <c r="E266" s="1"/>
      <c r="H266" s="1"/>
      <c r="K266" s="1"/>
      <c r="N266" s="1"/>
      <c r="Q266" s="1"/>
      <c r="T266" s="1"/>
      <c r="W266" s="1"/>
      <c r="Y266" s="1"/>
      <c r="AB266" s="3"/>
    </row>
    <row r="267" ht="15.75" customHeight="1">
      <c r="E267" s="1"/>
      <c r="H267" s="1"/>
      <c r="K267" s="1"/>
      <c r="N267" s="1"/>
      <c r="Q267" s="1"/>
      <c r="T267" s="1"/>
      <c r="W267" s="1"/>
      <c r="Y267" s="1"/>
      <c r="AB267" s="3"/>
    </row>
    <row r="268" ht="15.75" customHeight="1">
      <c r="E268" s="1"/>
      <c r="H268" s="1"/>
      <c r="K268" s="1"/>
      <c r="N268" s="1"/>
      <c r="Q268" s="1"/>
      <c r="T268" s="1"/>
      <c r="W268" s="1"/>
      <c r="Y268" s="1"/>
      <c r="AB268" s="3"/>
    </row>
    <row r="269" ht="15.75" customHeight="1">
      <c r="E269" s="1"/>
      <c r="H269" s="1"/>
      <c r="K269" s="1"/>
      <c r="N269" s="1"/>
      <c r="Q269" s="1"/>
      <c r="T269" s="1"/>
      <c r="W269" s="1"/>
      <c r="Y269" s="1"/>
      <c r="AB269" s="3"/>
    </row>
    <row r="270" ht="15.75" customHeight="1">
      <c r="E270" s="1"/>
      <c r="H270" s="1"/>
      <c r="K270" s="1"/>
      <c r="N270" s="1"/>
      <c r="Q270" s="1"/>
      <c r="T270" s="1"/>
      <c r="W270" s="1"/>
      <c r="Y270" s="1"/>
      <c r="AB270" s="3"/>
    </row>
    <row r="271" ht="15.75" customHeight="1">
      <c r="E271" s="1"/>
      <c r="H271" s="1"/>
      <c r="K271" s="1"/>
      <c r="N271" s="1"/>
      <c r="Q271" s="1"/>
      <c r="T271" s="1"/>
      <c r="W271" s="1"/>
      <c r="Y271" s="1"/>
      <c r="AB271" s="3"/>
    </row>
    <row r="272" ht="15.75" customHeight="1">
      <c r="E272" s="1"/>
      <c r="H272" s="1"/>
      <c r="K272" s="1"/>
      <c r="N272" s="1"/>
      <c r="Q272" s="1"/>
      <c r="T272" s="1"/>
      <c r="W272" s="1"/>
      <c r="Y272" s="1"/>
      <c r="AB272" s="3"/>
    </row>
    <row r="273" ht="15.75" customHeight="1">
      <c r="E273" s="1"/>
      <c r="H273" s="1"/>
      <c r="K273" s="1"/>
      <c r="N273" s="1"/>
      <c r="Q273" s="1"/>
      <c r="T273" s="1"/>
      <c r="W273" s="1"/>
      <c r="Y273" s="1"/>
      <c r="AB273" s="3"/>
    </row>
    <row r="274" ht="15.75" customHeight="1">
      <c r="E274" s="1"/>
      <c r="H274" s="1"/>
      <c r="K274" s="1"/>
      <c r="N274" s="1"/>
      <c r="Q274" s="1"/>
      <c r="T274" s="1"/>
      <c r="W274" s="1"/>
      <c r="Y274" s="1"/>
      <c r="AB274" s="3"/>
    </row>
    <row r="275" ht="15.75" customHeight="1">
      <c r="E275" s="1"/>
      <c r="H275" s="1"/>
      <c r="K275" s="1"/>
      <c r="N275" s="1"/>
      <c r="Q275" s="1"/>
      <c r="T275" s="1"/>
      <c r="W275" s="1"/>
      <c r="Y275" s="1"/>
      <c r="AB275" s="3"/>
    </row>
    <row r="276" ht="15.75" customHeight="1">
      <c r="E276" s="1"/>
      <c r="H276" s="1"/>
      <c r="K276" s="1"/>
      <c r="N276" s="1"/>
      <c r="Q276" s="1"/>
      <c r="T276" s="1"/>
      <c r="W276" s="1"/>
      <c r="Y276" s="1"/>
      <c r="AB276" s="3"/>
    </row>
    <row r="277" ht="15.75" customHeight="1">
      <c r="E277" s="1"/>
      <c r="H277" s="1"/>
      <c r="K277" s="1"/>
      <c r="N277" s="1"/>
      <c r="Q277" s="1"/>
      <c r="T277" s="1"/>
      <c r="W277" s="1"/>
      <c r="Y277" s="1"/>
      <c r="AB277" s="3"/>
    </row>
    <row r="278" ht="15.75" customHeight="1">
      <c r="E278" s="1"/>
      <c r="H278" s="1"/>
      <c r="K278" s="1"/>
      <c r="N278" s="1"/>
      <c r="Q278" s="1"/>
      <c r="T278" s="1"/>
      <c r="W278" s="1"/>
      <c r="Y278" s="1"/>
      <c r="AB278" s="3"/>
    </row>
    <row r="279" ht="15.75" customHeight="1">
      <c r="E279" s="1"/>
      <c r="H279" s="1"/>
      <c r="K279" s="1"/>
      <c r="N279" s="1"/>
      <c r="Q279" s="1"/>
      <c r="T279" s="1"/>
      <c r="W279" s="1"/>
      <c r="Y279" s="1"/>
      <c r="AB279" s="3"/>
    </row>
    <row r="280" ht="15.75" customHeight="1">
      <c r="E280" s="1"/>
      <c r="H280" s="1"/>
      <c r="K280" s="1"/>
      <c r="N280" s="1"/>
      <c r="Q280" s="1"/>
      <c r="T280" s="1"/>
      <c r="W280" s="1"/>
      <c r="Y280" s="1"/>
      <c r="AB280" s="3"/>
    </row>
    <row r="281" ht="15.75" customHeight="1">
      <c r="E281" s="1"/>
      <c r="H281" s="1"/>
      <c r="K281" s="1"/>
      <c r="N281" s="1"/>
      <c r="Q281" s="1"/>
      <c r="T281" s="1"/>
      <c r="W281" s="1"/>
      <c r="Y281" s="1"/>
      <c r="AB281" s="3"/>
    </row>
    <row r="282" ht="15.75" customHeight="1">
      <c r="E282" s="1"/>
      <c r="H282" s="1"/>
      <c r="K282" s="1"/>
      <c r="N282" s="1"/>
      <c r="Q282" s="1"/>
      <c r="T282" s="1"/>
      <c r="W282" s="1"/>
      <c r="Y282" s="1"/>
      <c r="AB282" s="3"/>
    </row>
    <row r="283" ht="15.75" customHeight="1">
      <c r="E283" s="1"/>
      <c r="H283" s="1"/>
      <c r="K283" s="1"/>
      <c r="N283" s="1"/>
      <c r="Q283" s="1"/>
      <c r="T283" s="1"/>
      <c r="W283" s="1"/>
      <c r="Y283" s="1"/>
      <c r="AB283" s="3"/>
    </row>
    <row r="284" ht="15.75" customHeight="1">
      <c r="E284" s="1"/>
      <c r="H284" s="1"/>
      <c r="K284" s="1"/>
      <c r="N284" s="1"/>
      <c r="Q284" s="1"/>
      <c r="T284" s="1"/>
      <c r="W284" s="1"/>
      <c r="Y284" s="1"/>
      <c r="AB284" s="3"/>
    </row>
    <row r="285" ht="15.75" customHeight="1">
      <c r="E285" s="1"/>
      <c r="H285" s="1"/>
      <c r="K285" s="1"/>
      <c r="N285" s="1"/>
      <c r="Q285" s="1"/>
      <c r="T285" s="1"/>
      <c r="W285" s="1"/>
      <c r="Y285" s="1"/>
      <c r="AB285" s="3"/>
    </row>
    <row r="286" ht="15.75" customHeight="1">
      <c r="E286" s="1"/>
      <c r="H286" s="1"/>
      <c r="K286" s="1"/>
      <c r="N286" s="1"/>
      <c r="Q286" s="1"/>
      <c r="T286" s="1"/>
      <c r="W286" s="1"/>
      <c r="Y286" s="1"/>
      <c r="AB286" s="3"/>
    </row>
    <row r="287" ht="15.75" customHeight="1">
      <c r="E287" s="1"/>
      <c r="H287" s="1"/>
      <c r="K287" s="1"/>
      <c r="N287" s="1"/>
      <c r="Q287" s="1"/>
      <c r="T287" s="1"/>
      <c r="W287" s="1"/>
      <c r="Y287" s="1"/>
      <c r="AB287" s="3"/>
    </row>
    <row r="288" ht="15.75" customHeight="1">
      <c r="E288" s="1"/>
      <c r="H288" s="1"/>
      <c r="K288" s="1"/>
      <c r="N288" s="1"/>
      <c r="Q288" s="1"/>
      <c r="T288" s="1"/>
      <c r="W288" s="1"/>
      <c r="Y288" s="1"/>
      <c r="AB288" s="3"/>
    </row>
    <row r="289" ht="15.75" customHeight="1">
      <c r="E289" s="1"/>
      <c r="H289" s="1"/>
      <c r="K289" s="1"/>
      <c r="N289" s="1"/>
      <c r="Q289" s="1"/>
      <c r="T289" s="1"/>
      <c r="W289" s="1"/>
      <c r="Y289" s="1"/>
      <c r="AB289" s="3"/>
    </row>
    <row r="290" ht="15.75" customHeight="1">
      <c r="E290" s="1"/>
      <c r="H290" s="1"/>
      <c r="K290" s="1"/>
      <c r="N290" s="1"/>
      <c r="Q290" s="1"/>
      <c r="T290" s="1"/>
      <c r="W290" s="1"/>
      <c r="Y290" s="1"/>
      <c r="AB290" s="3"/>
    </row>
    <row r="291" ht="15.75" customHeight="1">
      <c r="E291" s="1"/>
      <c r="H291" s="1"/>
      <c r="K291" s="1"/>
      <c r="N291" s="1"/>
      <c r="Q291" s="1"/>
      <c r="T291" s="1"/>
      <c r="W291" s="1"/>
      <c r="Y291" s="1"/>
      <c r="AB291" s="3"/>
    </row>
    <row r="292" ht="15.75" customHeight="1">
      <c r="E292" s="1"/>
      <c r="H292" s="1"/>
      <c r="K292" s="1"/>
      <c r="N292" s="1"/>
      <c r="Q292" s="1"/>
      <c r="T292" s="1"/>
      <c r="W292" s="1"/>
      <c r="Y292" s="1"/>
      <c r="AB292" s="3"/>
    </row>
    <row r="293" ht="15.75" customHeight="1">
      <c r="E293" s="1"/>
      <c r="H293" s="1"/>
      <c r="K293" s="1"/>
      <c r="N293" s="1"/>
      <c r="Q293" s="1"/>
      <c r="T293" s="1"/>
      <c r="W293" s="1"/>
      <c r="Y293" s="1"/>
      <c r="AB293" s="3"/>
    </row>
    <row r="294" ht="15.75" customHeight="1">
      <c r="E294" s="1"/>
      <c r="H294" s="1"/>
      <c r="K294" s="1"/>
      <c r="N294" s="1"/>
      <c r="Q294" s="1"/>
      <c r="T294" s="1"/>
      <c r="W294" s="1"/>
      <c r="Y294" s="1"/>
      <c r="AB294" s="3"/>
    </row>
    <row r="295" ht="15.75" customHeight="1">
      <c r="E295" s="1"/>
      <c r="H295" s="1"/>
      <c r="K295" s="1"/>
      <c r="N295" s="1"/>
      <c r="Q295" s="1"/>
      <c r="T295" s="1"/>
      <c r="W295" s="1"/>
      <c r="Y295" s="1"/>
      <c r="AB295" s="3"/>
    </row>
    <row r="296" ht="15.75" customHeight="1">
      <c r="E296" s="1"/>
      <c r="H296" s="1"/>
      <c r="K296" s="1"/>
      <c r="N296" s="1"/>
      <c r="Q296" s="1"/>
      <c r="T296" s="1"/>
      <c r="W296" s="1"/>
      <c r="Y296" s="1"/>
      <c r="AB296" s="3"/>
    </row>
    <row r="297" ht="15.75" customHeight="1">
      <c r="E297" s="1"/>
      <c r="H297" s="1"/>
      <c r="K297" s="1"/>
      <c r="N297" s="1"/>
      <c r="Q297" s="1"/>
      <c r="T297" s="1"/>
      <c r="W297" s="1"/>
      <c r="Y297" s="1"/>
      <c r="AB297" s="3"/>
    </row>
    <row r="298" ht="15.75" customHeight="1">
      <c r="E298" s="1"/>
      <c r="H298" s="1"/>
      <c r="K298" s="1"/>
      <c r="N298" s="1"/>
      <c r="Q298" s="1"/>
      <c r="T298" s="1"/>
      <c r="W298" s="1"/>
      <c r="Y298" s="1"/>
      <c r="AB298" s="3"/>
    </row>
    <row r="299" ht="15.75" customHeight="1">
      <c r="E299" s="1"/>
      <c r="H299" s="1"/>
      <c r="K299" s="1"/>
      <c r="N299" s="1"/>
      <c r="Q299" s="1"/>
      <c r="T299" s="1"/>
      <c r="W299" s="1"/>
      <c r="Y299" s="1"/>
      <c r="AB299" s="3"/>
    </row>
    <row r="300" ht="15.75" customHeight="1">
      <c r="E300" s="1"/>
      <c r="H300" s="1"/>
      <c r="K300" s="1"/>
      <c r="N300" s="1"/>
      <c r="Q300" s="1"/>
      <c r="T300" s="1"/>
      <c r="W300" s="1"/>
      <c r="Y300" s="1"/>
      <c r="AB300" s="3"/>
    </row>
    <row r="301" ht="15.75" customHeight="1">
      <c r="E301" s="1"/>
      <c r="H301" s="1"/>
      <c r="K301" s="1"/>
      <c r="N301" s="1"/>
      <c r="Q301" s="1"/>
      <c r="T301" s="1"/>
      <c r="W301" s="1"/>
      <c r="Y301" s="1"/>
      <c r="AB301" s="3"/>
    </row>
    <row r="302" ht="15.75" customHeight="1">
      <c r="E302" s="1"/>
      <c r="H302" s="1"/>
      <c r="K302" s="1"/>
      <c r="N302" s="1"/>
      <c r="Q302" s="1"/>
      <c r="T302" s="1"/>
      <c r="W302" s="1"/>
      <c r="Y302" s="1"/>
      <c r="AB302" s="3"/>
    </row>
    <row r="303" ht="15.75" customHeight="1">
      <c r="E303" s="1"/>
      <c r="H303" s="1"/>
      <c r="K303" s="1"/>
      <c r="N303" s="1"/>
      <c r="Q303" s="1"/>
      <c r="T303" s="1"/>
      <c r="W303" s="1"/>
      <c r="Y303" s="1"/>
      <c r="AB303" s="3"/>
    </row>
    <row r="304" ht="15.75" customHeight="1">
      <c r="E304" s="1"/>
      <c r="H304" s="1"/>
      <c r="K304" s="1"/>
      <c r="N304" s="1"/>
      <c r="Q304" s="1"/>
      <c r="T304" s="1"/>
      <c r="W304" s="1"/>
      <c r="Y304" s="1"/>
      <c r="AB304" s="3"/>
    </row>
    <row r="305" ht="15.75" customHeight="1">
      <c r="E305" s="1"/>
      <c r="H305" s="1"/>
      <c r="K305" s="1"/>
      <c r="N305" s="1"/>
      <c r="Q305" s="1"/>
      <c r="T305" s="1"/>
      <c r="W305" s="1"/>
      <c r="Y305" s="1"/>
      <c r="AB305" s="3"/>
    </row>
    <row r="306" ht="15.75" customHeight="1">
      <c r="E306" s="1"/>
      <c r="H306" s="1"/>
      <c r="K306" s="1"/>
      <c r="N306" s="1"/>
      <c r="Q306" s="1"/>
      <c r="T306" s="1"/>
      <c r="W306" s="1"/>
      <c r="Y306" s="1"/>
      <c r="AB306" s="3"/>
    </row>
    <row r="307" ht="15.75" customHeight="1">
      <c r="E307" s="1"/>
      <c r="H307" s="1"/>
      <c r="K307" s="1"/>
      <c r="N307" s="1"/>
      <c r="Q307" s="1"/>
      <c r="T307" s="1"/>
      <c r="W307" s="1"/>
      <c r="Y307" s="1"/>
      <c r="AB307" s="3"/>
    </row>
    <row r="308" ht="15.75" customHeight="1">
      <c r="E308" s="1"/>
      <c r="H308" s="1"/>
      <c r="K308" s="1"/>
      <c r="N308" s="1"/>
      <c r="Q308" s="1"/>
      <c r="T308" s="1"/>
      <c r="W308" s="1"/>
      <c r="Y308" s="1"/>
      <c r="AB308" s="3"/>
    </row>
    <row r="309" ht="15.75" customHeight="1">
      <c r="E309" s="1"/>
      <c r="H309" s="1"/>
      <c r="K309" s="1"/>
      <c r="N309" s="1"/>
      <c r="Q309" s="1"/>
      <c r="T309" s="1"/>
      <c r="W309" s="1"/>
      <c r="Y309" s="1"/>
      <c r="AB309" s="3"/>
    </row>
    <row r="310" ht="15.75" customHeight="1">
      <c r="E310" s="1"/>
      <c r="H310" s="1"/>
      <c r="K310" s="1"/>
      <c r="N310" s="1"/>
      <c r="Q310" s="1"/>
      <c r="T310" s="1"/>
      <c r="W310" s="1"/>
      <c r="Y310" s="1"/>
      <c r="AB310" s="3"/>
    </row>
    <row r="311" ht="15.75" customHeight="1">
      <c r="E311" s="1"/>
      <c r="H311" s="1"/>
      <c r="K311" s="1"/>
      <c r="N311" s="1"/>
      <c r="Q311" s="1"/>
      <c r="T311" s="1"/>
      <c r="W311" s="1"/>
      <c r="Y311" s="1"/>
      <c r="AB311" s="3"/>
    </row>
    <row r="312" ht="15.75" customHeight="1">
      <c r="E312" s="1"/>
      <c r="H312" s="1"/>
      <c r="K312" s="1"/>
      <c r="N312" s="1"/>
      <c r="Q312" s="1"/>
      <c r="T312" s="1"/>
      <c r="W312" s="1"/>
      <c r="Y312" s="1"/>
      <c r="AB312" s="3"/>
    </row>
    <row r="313" ht="15.75" customHeight="1">
      <c r="E313" s="1"/>
      <c r="H313" s="1"/>
      <c r="K313" s="1"/>
      <c r="N313" s="1"/>
      <c r="Q313" s="1"/>
      <c r="T313" s="1"/>
      <c r="W313" s="1"/>
      <c r="Y313" s="1"/>
      <c r="AB313" s="3"/>
    </row>
    <row r="314" ht="15.75" customHeight="1">
      <c r="E314" s="1"/>
      <c r="H314" s="1"/>
      <c r="K314" s="1"/>
      <c r="N314" s="1"/>
      <c r="Q314" s="1"/>
      <c r="T314" s="1"/>
      <c r="W314" s="1"/>
      <c r="Y314" s="1"/>
      <c r="AB314" s="3"/>
    </row>
    <row r="315" ht="15.75" customHeight="1">
      <c r="E315" s="1"/>
      <c r="H315" s="1"/>
      <c r="K315" s="1"/>
      <c r="N315" s="1"/>
      <c r="Q315" s="1"/>
      <c r="T315" s="1"/>
      <c r="W315" s="1"/>
      <c r="Y315" s="1"/>
      <c r="AB315" s="3"/>
    </row>
    <row r="316" ht="15.75" customHeight="1">
      <c r="E316" s="1"/>
      <c r="H316" s="1"/>
      <c r="K316" s="1"/>
      <c r="N316" s="1"/>
      <c r="Q316" s="1"/>
      <c r="T316" s="1"/>
      <c r="W316" s="1"/>
      <c r="Y316" s="1"/>
      <c r="AB316" s="3"/>
    </row>
    <row r="317" ht="15.75" customHeight="1">
      <c r="E317" s="1"/>
      <c r="H317" s="1"/>
      <c r="K317" s="1"/>
      <c r="N317" s="1"/>
      <c r="Q317" s="1"/>
      <c r="T317" s="1"/>
      <c r="W317" s="1"/>
      <c r="Y317" s="1"/>
      <c r="AB317" s="3"/>
    </row>
    <row r="318" ht="15.75" customHeight="1">
      <c r="E318" s="1"/>
      <c r="H318" s="1"/>
      <c r="K318" s="1"/>
      <c r="N318" s="1"/>
      <c r="Q318" s="1"/>
      <c r="T318" s="1"/>
      <c r="W318" s="1"/>
      <c r="Y318" s="1"/>
      <c r="AB318" s="3"/>
    </row>
    <row r="319" ht="15.75" customHeight="1">
      <c r="E319" s="1"/>
      <c r="H319" s="1"/>
      <c r="K319" s="1"/>
      <c r="N319" s="1"/>
      <c r="Q319" s="1"/>
      <c r="T319" s="1"/>
      <c r="W319" s="1"/>
      <c r="Y319" s="1"/>
      <c r="AB319" s="3"/>
    </row>
    <row r="320" ht="15.75" customHeight="1">
      <c r="E320" s="1"/>
      <c r="H320" s="1"/>
      <c r="K320" s="1"/>
      <c r="N320" s="1"/>
      <c r="Q320" s="1"/>
      <c r="T320" s="1"/>
      <c r="W320" s="1"/>
      <c r="Y320" s="1"/>
      <c r="AB320" s="3"/>
    </row>
    <row r="321" ht="15.75" customHeight="1">
      <c r="E321" s="1"/>
      <c r="H321" s="1"/>
      <c r="K321" s="1"/>
      <c r="N321" s="1"/>
      <c r="Q321" s="1"/>
      <c r="T321" s="1"/>
      <c r="W321" s="1"/>
      <c r="Y321" s="1"/>
      <c r="AB321" s="3"/>
    </row>
    <row r="322" ht="15.75" customHeight="1">
      <c r="E322" s="1"/>
      <c r="H322" s="1"/>
      <c r="K322" s="1"/>
      <c r="N322" s="1"/>
      <c r="Q322" s="1"/>
      <c r="T322" s="1"/>
      <c r="W322" s="1"/>
      <c r="Y322" s="1"/>
      <c r="AB322" s="3"/>
    </row>
    <row r="323" ht="15.75" customHeight="1">
      <c r="E323" s="1"/>
      <c r="H323" s="1"/>
      <c r="K323" s="1"/>
      <c r="N323" s="1"/>
      <c r="Q323" s="1"/>
      <c r="T323" s="1"/>
      <c r="W323" s="1"/>
      <c r="Y323" s="1"/>
      <c r="AB323" s="3"/>
    </row>
    <row r="324" ht="15.75" customHeight="1">
      <c r="E324" s="1"/>
      <c r="H324" s="1"/>
      <c r="K324" s="1"/>
      <c r="N324" s="1"/>
      <c r="Q324" s="1"/>
      <c r="T324" s="1"/>
      <c r="W324" s="1"/>
      <c r="Y324" s="1"/>
      <c r="AB324" s="3"/>
    </row>
    <row r="325" ht="15.75" customHeight="1">
      <c r="E325" s="1"/>
      <c r="H325" s="1"/>
      <c r="K325" s="1"/>
      <c r="N325" s="1"/>
      <c r="Q325" s="1"/>
      <c r="T325" s="1"/>
      <c r="W325" s="1"/>
      <c r="Y325" s="1"/>
      <c r="AB325" s="3"/>
    </row>
    <row r="326" ht="15.75" customHeight="1">
      <c r="E326" s="1"/>
      <c r="H326" s="1"/>
      <c r="K326" s="1"/>
      <c r="N326" s="1"/>
      <c r="Q326" s="1"/>
      <c r="T326" s="1"/>
      <c r="W326" s="1"/>
      <c r="Y326" s="1"/>
      <c r="AB326" s="3"/>
    </row>
    <row r="327" ht="15.75" customHeight="1">
      <c r="E327" s="1"/>
      <c r="H327" s="1"/>
      <c r="K327" s="1"/>
      <c r="N327" s="1"/>
      <c r="Q327" s="1"/>
      <c r="T327" s="1"/>
      <c r="W327" s="1"/>
      <c r="Y327" s="1"/>
      <c r="AB327" s="3"/>
    </row>
    <row r="328" ht="15.75" customHeight="1">
      <c r="E328" s="1"/>
      <c r="H328" s="1"/>
      <c r="K328" s="1"/>
      <c r="N328" s="1"/>
      <c r="Q328" s="1"/>
      <c r="T328" s="1"/>
      <c r="W328" s="1"/>
      <c r="Y328" s="1"/>
      <c r="AB328" s="3"/>
    </row>
    <row r="329" ht="15.75" customHeight="1">
      <c r="E329" s="1"/>
      <c r="H329" s="1"/>
      <c r="K329" s="1"/>
      <c r="N329" s="1"/>
      <c r="Q329" s="1"/>
      <c r="T329" s="1"/>
      <c r="W329" s="1"/>
      <c r="Y329" s="1"/>
      <c r="AB329" s="3"/>
    </row>
    <row r="330" ht="15.75" customHeight="1">
      <c r="E330" s="1"/>
      <c r="H330" s="1"/>
      <c r="K330" s="1"/>
      <c r="N330" s="1"/>
      <c r="Q330" s="1"/>
      <c r="T330" s="1"/>
      <c r="W330" s="1"/>
      <c r="Y330" s="1"/>
      <c r="AB330" s="3"/>
    </row>
    <row r="331" ht="15.75" customHeight="1">
      <c r="E331" s="1"/>
      <c r="H331" s="1"/>
      <c r="K331" s="1"/>
      <c r="N331" s="1"/>
      <c r="Q331" s="1"/>
      <c r="T331" s="1"/>
      <c r="W331" s="1"/>
      <c r="Y331" s="1"/>
      <c r="AB331" s="3"/>
    </row>
    <row r="332" ht="15.75" customHeight="1">
      <c r="E332" s="1"/>
      <c r="H332" s="1"/>
      <c r="K332" s="1"/>
      <c r="N332" s="1"/>
      <c r="Q332" s="1"/>
      <c r="T332" s="1"/>
      <c r="W332" s="1"/>
      <c r="Y332" s="1"/>
      <c r="AB332" s="3"/>
    </row>
    <row r="333" ht="15.75" customHeight="1">
      <c r="E333" s="1"/>
      <c r="H333" s="1"/>
      <c r="K333" s="1"/>
      <c r="N333" s="1"/>
      <c r="Q333" s="1"/>
      <c r="T333" s="1"/>
      <c r="W333" s="1"/>
      <c r="Y333" s="1"/>
      <c r="AB333" s="3"/>
    </row>
    <row r="334" ht="15.75" customHeight="1">
      <c r="E334" s="1"/>
      <c r="H334" s="1"/>
      <c r="K334" s="1"/>
      <c r="N334" s="1"/>
      <c r="Q334" s="1"/>
      <c r="T334" s="1"/>
      <c r="W334" s="1"/>
      <c r="Y334" s="1"/>
      <c r="AB334" s="3"/>
    </row>
    <row r="335" ht="15.75" customHeight="1">
      <c r="E335" s="1"/>
      <c r="H335" s="1"/>
      <c r="K335" s="1"/>
      <c r="N335" s="1"/>
      <c r="Q335" s="1"/>
      <c r="T335" s="1"/>
      <c r="W335" s="1"/>
      <c r="Y335" s="1"/>
      <c r="AB335" s="3"/>
    </row>
    <row r="336" ht="15.75" customHeight="1">
      <c r="E336" s="1"/>
      <c r="H336" s="1"/>
      <c r="K336" s="1"/>
      <c r="N336" s="1"/>
      <c r="Q336" s="1"/>
      <c r="T336" s="1"/>
      <c r="W336" s="1"/>
      <c r="Y336" s="1"/>
      <c r="AB336" s="3"/>
    </row>
    <row r="337" ht="15.75" customHeight="1">
      <c r="E337" s="1"/>
      <c r="H337" s="1"/>
      <c r="K337" s="1"/>
      <c r="N337" s="1"/>
      <c r="Q337" s="1"/>
      <c r="T337" s="1"/>
      <c r="W337" s="1"/>
      <c r="Y337" s="1"/>
      <c r="AB337" s="3"/>
    </row>
    <row r="338" ht="15.75" customHeight="1">
      <c r="E338" s="1"/>
      <c r="H338" s="1"/>
      <c r="K338" s="1"/>
      <c r="N338" s="1"/>
      <c r="Q338" s="1"/>
      <c r="T338" s="1"/>
      <c r="W338" s="1"/>
      <c r="Y338" s="1"/>
      <c r="AB338" s="3"/>
    </row>
    <row r="339" ht="15.75" customHeight="1">
      <c r="E339" s="1"/>
      <c r="H339" s="1"/>
      <c r="K339" s="1"/>
      <c r="N339" s="1"/>
      <c r="Q339" s="1"/>
      <c r="T339" s="1"/>
      <c r="W339" s="1"/>
      <c r="Y339" s="1"/>
      <c r="AB339" s="3"/>
    </row>
    <row r="340" ht="15.75" customHeight="1">
      <c r="E340" s="1"/>
      <c r="H340" s="1"/>
      <c r="K340" s="1"/>
      <c r="N340" s="1"/>
      <c r="Q340" s="1"/>
      <c r="T340" s="1"/>
      <c r="W340" s="1"/>
      <c r="Y340" s="1"/>
      <c r="AB340" s="3"/>
    </row>
    <row r="341" ht="15.75" customHeight="1">
      <c r="E341" s="1"/>
      <c r="H341" s="1"/>
      <c r="K341" s="1"/>
      <c r="N341" s="1"/>
      <c r="Q341" s="1"/>
      <c r="T341" s="1"/>
      <c r="W341" s="1"/>
      <c r="Y341" s="1"/>
      <c r="AB341" s="3"/>
    </row>
    <row r="342" ht="15.75" customHeight="1">
      <c r="E342" s="1"/>
      <c r="H342" s="1"/>
      <c r="K342" s="1"/>
      <c r="N342" s="1"/>
      <c r="Q342" s="1"/>
      <c r="T342" s="1"/>
      <c r="W342" s="1"/>
      <c r="Y342" s="1"/>
      <c r="AB342" s="3"/>
    </row>
    <row r="343" ht="15.75" customHeight="1">
      <c r="E343" s="1"/>
      <c r="H343" s="1"/>
      <c r="K343" s="1"/>
      <c r="N343" s="1"/>
      <c r="Q343" s="1"/>
      <c r="T343" s="1"/>
      <c r="W343" s="1"/>
      <c r="Y343" s="1"/>
      <c r="AB343" s="3"/>
    </row>
    <row r="344" ht="15.75" customHeight="1">
      <c r="E344" s="1"/>
      <c r="H344" s="1"/>
      <c r="K344" s="1"/>
      <c r="N344" s="1"/>
      <c r="Q344" s="1"/>
      <c r="T344" s="1"/>
      <c r="W344" s="1"/>
      <c r="Y344" s="1"/>
      <c r="AB344" s="3"/>
    </row>
    <row r="345" ht="15.75" customHeight="1">
      <c r="E345" s="1"/>
      <c r="H345" s="1"/>
      <c r="K345" s="1"/>
      <c r="N345" s="1"/>
      <c r="Q345" s="1"/>
      <c r="T345" s="1"/>
      <c r="W345" s="1"/>
      <c r="Y345" s="1"/>
      <c r="AB345" s="3"/>
    </row>
    <row r="346" ht="15.75" customHeight="1">
      <c r="E346" s="1"/>
      <c r="H346" s="1"/>
      <c r="K346" s="1"/>
      <c r="N346" s="1"/>
      <c r="Q346" s="1"/>
      <c r="T346" s="1"/>
      <c r="W346" s="1"/>
      <c r="Y346" s="1"/>
      <c r="AB346" s="3"/>
    </row>
    <row r="347" ht="15.75" customHeight="1">
      <c r="E347" s="1"/>
      <c r="H347" s="1"/>
      <c r="K347" s="1"/>
      <c r="N347" s="1"/>
      <c r="Q347" s="1"/>
      <c r="T347" s="1"/>
      <c r="W347" s="1"/>
      <c r="Y347" s="1"/>
      <c r="AB347" s="3"/>
    </row>
    <row r="348" ht="15.75" customHeight="1">
      <c r="E348" s="1"/>
      <c r="H348" s="1"/>
      <c r="K348" s="1"/>
      <c r="N348" s="1"/>
      <c r="Q348" s="1"/>
      <c r="T348" s="1"/>
      <c r="W348" s="1"/>
      <c r="Y348" s="1"/>
      <c r="AB348" s="3"/>
    </row>
    <row r="349" ht="15.75" customHeight="1">
      <c r="E349" s="1"/>
      <c r="H349" s="1"/>
      <c r="K349" s="1"/>
      <c r="N349" s="1"/>
      <c r="Q349" s="1"/>
      <c r="T349" s="1"/>
      <c r="W349" s="1"/>
      <c r="Y349" s="1"/>
      <c r="AB349" s="3"/>
    </row>
    <row r="350" ht="15.75" customHeight="1">
      <c r="E350" s="1"/>
      <c r="H350" s="1"/>
      <c r="K350" s="1"/>
      <c r="N350" s="1"/>
      <c r="Q350" s="1"/>
      <c r="T350" s="1"/>
      <c r="W350" s="1"/>
      <c r="Y350" s="1"/>
      <c r="AB350" s="3"/>
    </row>
    <row r="351" ht="15.75" customHeight="1">
      <c r="E351" s="1"/>
      <c r="H351" s="1"/>
      <c r="K351" s="1"/>
      <c r="N351" s="1"/>
      <c r="Q351" s="1"/>
      <c r="T351" s="1"/>
      <c r="W351" s="1"/>
      <c r="Y351" s="1"/>
      <c r="AB351" s="3"/>
    </row>
    <row r="352" ht="15.75" customHeight="1">
      <c r="E352" s="1"/>
      <c r="H352" s="1"/>
      <c r="K352" s="1"/>
      <c r="N352" s="1"/>
      <c r="Q352" s="1"/>
      <c r="T352" s="1"/>
      <c r="W352" s="1"/>
      <c r="Y352" s="1"/>
      <c r="AB352" s="3"/>
    </row>
    <row r="353" ht="15.75" customHeight="1">
      <c r="E353" s="1"/>
      <c r="H353" s="1"/>
      <c r="K353" s="1"/>
      <c r="N353" s="1"/>
      <c r="Q353" s="1"/>
      <c r="T353" s="1"/>
      <c r="W353" s="1"/>
      <c r="Y353" s="1"/>
      <c r="AB353" s="3"/>
    </row>
    <row r="354" ht="15.75" customHeight="1">
      <c r="E354" s="1"/>
      <c r="H354" s="1"/>
      <c r="K354" s="1"/>
      <c r="N354" s="1"/>
      <c r="Q354" s="1"/>
      <c r="T354" s="1"/>
      <c r="W354" s="1"/>
      <c r="Y354" s="1"/>
      <c r="AB354" s="3"/>
    </row>
    <row r="355" ht="15.75" customHeight="1">
      <c r="E355" s="1"/>
      <c r="H355" s="1"/>
      <c r="K355" s="1"/>
      <c r="N355" s="1"/>
      <c r="Q355" s="1"/>
      <c r="T355" s="1"/>
      <c r="W355" s="1"/>
      <c r="Y355" s="1"/>
      <c r="AB355" s="3"/>
    </row>
    <row r="356" ht="15.75" customHeight="1">
      <c r="E356" s="1"/>
      <c r="H356" s="1"/>
      <c r="K356" s="1"/>
      <c r="N356" s="1"/>
      <c r="Q356" s="1"/>
      <c r="T356" s="1"/>
      <c r="W356" s="1"/>
      <c r="Y356" s="1"/>
      <c r="AB356" s="3"/>
    </row>
    <row r="357" ht="15.75" customHeight="1">
      <c r="E357" s="1"/>
      <c r="H357" s="1"/>
      <c r="K357" s="1"/>
      <c r="N357" s="1"/>
      <c r="Q357" s="1"/>
      <c r="T357" s="1"/>
      <c r="W357" s="1"/>
      <c r="Y357" s="1"/>
      <c r="AB357" s="3"/>
    </row>
    <row r="358" ht="15.75" customHeight="1">
      <c r="E358" s="1"/>
      <c r="H358" s="1"/>
      <c r="K358" s="1"/>
      <c r="N358" s="1"/>
      <c r="Q358" s="1"/>
      <c r="T358" s="1"/>
      <c r="W358" s="1"/>
      <c r="Y358" s="1"/>
      <c r="AB358" s="3"/>
    </row>
    <row r="359" ht="15.75" customHeight="1">
      <c r="E359" s="1"/>
      <c r="H359" s="1"/>
      <c r="K359" s="1"/>
      <c r="N359" s="1"/>
      <c r="Q359" s="1"/>
      <c r="T359" s="1"/>
      <c r="W359" s="1"/>
      <c r="Y359" s="1"/>
      <c r="AB359" s="3"/>
    </row>
    <row r="360" ht="15.75" customHeight="1">
      <c r="E360" s="1"/>
      <c r="H360" s="1"/>
      <c r="K360" s="1"/>
      <c r="N360" s="1"/>
      <c r="Q360" s="1"/>
      <c r="T360" s="1"/>
      <c r="W360" s="1"/>
      <c r="Y360" s="1"/>
      <c r="AB360" s="3"/>
    </row>
    <row r="361" ht="15.75" customHeight="1">
      <c r="E361" s="1"/>
      <c r="H361" s="1"/>
      <c r="K361" s="1"/>
      <c r="N361" s="1"/>
      <c r="Q361" s="1"/>
      <c r="T361" s="1"/>
      <c r="W361" s="1"/>
      <c r="Y361" s="1"/>
      <c r="AB361" s="3"/>
    </row>
    <row r="362" ht="15.75" customHeight="1">
      <c r="E362" s="1"/>
      <c r="H362" s="1"/>
      <c r="K362" s="1"/>
      <c r="N362" s="1"/>
      <c r="Q362" s="1"/>
      <c r="T362" s="1"/>
      <c r="W362" s="1"/>
      <c r="Y362" s="1"/>
      <c r="AB362" s="3"/>
    </row>
    <row r="363" ht="15.75" customHeight="1">
      <c r="E363" s="1"/>
      <c r="H363" s="1"/>
      <c r="K363" s="1"/>
      <c r="N363" s="1"/>
      <c r="Q363" s="1"/>
      <c r="T363" s="1"/>
      <c r="W363" s="1"/>
      <c r="Y363" s="1"/>
      <c r="AB363" s="3"/>
    </row>
    <row r="364" ht="15.75" customHeight="1">
      <c r="E364" s="1"/>
      <c r="H364" s="1"/>
      <c r="K364" s="1"/>
      <c r="N364" s="1"/>
      <c r="Q364" s="1"/>
      <c r="T364" s="1"/>
      <c r="W364" s="1"/>
      <c r="Y364" s="1"/>
      <c r="AB364" s="3"/>
    </row>
    <row r="365" ht="15.75" customHeight="1">
      <c r="E365" s="1"/>
      <c r="H365" s="1"/>
      <c r="K365" s="1"/>
      <c r="N365" s="1"/>
      <c r="Q365" s="1"/>
      <c r="T365" s="1"/>
      <c r="W365" s="1"/>
      <c r="Y365" s="1"/>
      <c r="AB365" s="3"/>
    </row>
    <row r="366" ht="15.75" customHeight="1">
      <c r="E366" s="1"/>
      <c r="H366" s="1"/>
      <c r="K366" s="1"/>
      <c r="N366" s="1"/>
      <c r="Q366" s="1"/>
      <c r="T366" s="1"/>
      <c r="W366" s="1"/>
      <c r="Y366" s="1"/>
      <c r="AB366" s="3"/>
    </row>
    <row r="367" ht="15.75" customHeight="1">
      <c r="E367" s="1"/>
      <c r="H367" s="1"/>
      <c r="K367" s="1"/>
      <c r="N367" s="1"/>
      <c r="Q367" s="1"/>
      <c r="T367" s="1"/>
      <c r="W367" s="1"/>
      <c r="Y367" s="1"/>
      <c r="AB367" s="3"/>
    </row>
    <row r="368" ht="15.75" customHeight="1">
      <c r="E368" s="1"/>
      <c r="H368" s="1"/>
      <c r="K368" s="1"/>
      <c r="N368" s="1"/>
      <c r="Q368" s="1"/>
      <c r="T368" s="1"/>
      <c r="W368" s="1"/>
      <c r="Y368" s="1"/>
      <c r="AB368" s="3"/>
    </row>
    <row r="369" ht="15.75" customHeight="1">
      <c r="E369" s="1"/>
      <c r="H369" s="1"/>
      <c r="K369" s="1"/>
      <c r="N369" s="1"/>
      <c r="Q369" s="1"/>
      <c r="T369" s="1"/>
      <c r="W369" s="1"/>
      <c r="Y369" s="1"/>
      <c r="AB369" s="3"/>
    </row>
    <row r="370" ht="15.75" customHeight="1">
      <c r="E370" s="1"/>
      <c r="H370" s="1"/>
      <c r="K370" s="1"/>
      <c r="N370" s="1"/>
      <c r="Q370" s="1"/>
      <c r="T370" s="1"/>
      <c r="W370" s="1"/>
      <c r="Y370" s="1"/>
      <c r="AB370" s="3"/>
    </row>
    <row r="371" ht="15.75" customHeight="1">
      <c r="E371" s="1"/>
      <c r="H371" s="1"/>
      <c r="K371" s="1"/>
      <c r="N371" s="1"/>
      <c r="Q371" s="1"/>
      <c r="T371" s="1"/>
      <c r="W371" s="1"/>
      <c r="Y371" s="1"/>
      <c r="AB371" s="3"/>
    </row>
    <row r="372" ht="15.75" customHeight="1">
      <c r="E372" s="1"/>
      <c r="H372" s="1"/>
      <c r="K372" s="1"/>
      <c r="N372" s="1"/>
      <c r="Q372" s="1"/>
      <c r="T372" s="1"/>
      <c r="W372" s="1"/>
      <c r="Y372" s="1"/>
      <c r="AB372" s="3"/>
    </row>
    <row r="373" ht="15.75" customHeight="1">
      <c r="E373" s="1"/>
      <c r="H373" s="1"/>
      <c r="K373" s="1"/>
      <c r="N373" s="1"/>
      <c r="Q373" s="1"/>
      <c r="T373" s="1"/>
      <c r="W373" s="1"/>
      <c r="Y373" s="1"/>
      <c r="AB373" s="3"/>
    </row>
    <row r="374" ht="15.75" customHeight="1">
      <c r="E374" s="1"/>
      <c r="H374" s="1"/>
      <c r="K374" s="1"/>
      <c r="N374" s="1"/>
      <c r="Q374" s="1"/>
      <c r="T374" s="1"/>
      <c r="W374" s="1"/>
      <c r="Y374" s="1"/>
      <c r="AB374" s="3"/>
    </row>
    <row r="375" ht="15.75" customHeight="1">
      <c r="E375" s="1"/>
      <c r="H375" s="1"/>
      <c r="K375" s="1"/>
      <c r="N375" s="1"/>
      <c r="Q375" s="1"/>
      <c r="T375" s="1"/>
      <c r="W375" s="1"/>
      <c r="Y375" s="1"/>
      <c r="AB375" s="3"/>
    </row>
    <row r="376" ht="15.75" customHeight="1">
      <c r="E376" s="1"/>
      <c r="H376" s="1"/>
      <c r="K376" s="1"/>
      <c r="N376" s="1"/>
      <c r="Q376" s="1"/>
      <c r="T376" s="1"/>
      <c r="W376" s="1"/>
      <c r="Y376" s="1"/>
      <c r="AB376" s="3"/>
    </row>
    <row r="377" ht="15.75" customHeight="1">
      <c r="E377" s="1"/>
      <c r="H377" s="1"/>
      <c r="K377" s="1"/>
      <c r="N377" s="1"/>
      <c r="Q377" s="1"/>
      <c r="T377" s="1"/>
      <c r="W377" s="1"/>
      <c r="Y377" s="1"/>
      <c r="AB377" s="3"/>
    </row>
    <row r="378" ht="15.75" customHeight="1">
      <c r="E378" s="1"/>
      <c r="H378" s="1"/>
      <c r="K378" s="1"/>
      <c r="N378" s="1"/>
      <c r="Q378" s="1"/>
      <c r="T378" s="1"/>
      <c r="W378" s="1"/>
      <c r="Y378" s="1"/>
      <c r="AB378" s="3"/>
    </row>
    <row r="379" ht="15.75" customHeight="1">
      <c r="E379" s="1"/>
      <c r="H379" s="1"/>
      <c r="K379" s="1"/>
      <c r="N379" s="1"/>
      <c r="Q379" s="1"/>
      <c r="T379" s="1"/>
      <c r="W379" s="1"/>
      <c r="Y379" s="1"/>
      <c r="AB379" s="3"/>
    </row>
    <row r="380" ht="15.75" customHeight="1">
      <c r="E380" s="1"/>
      <c r="H380" s="1"/>
      <c r="K380" s="1"/>
      <c r="N380" s="1"/>
      <c r="Q380" s="1"/>
      <c r="T380" s="1"/>
      <c r="W380" s="1"/>
      <c r="Y380" s="1"/>
      <c r="AB380" s="3"/>
    </row>
    <row r="381" ht="15.75" customHeight="1">
      <c r="E381" s="1"/>
      <c r="H381" s="1"/>
      <c r="K381" s="1"/>
      <c r="N381" s="1"/>
      <c r="Q381" s="1"/>
      <c r="T381" s="1"/>
      <c r="W381" s="1"/>
      <c r="Y381" s="1"/>
      <c r="AB381" s="3"/>
    </row>
    <row r="382" ht="15.75" customHeight="1">
      <c r="E382" s="1"/>
      <c r="H382" s="1"/>
      <c r="K382" s="1"/>
      <c r="N382" s="1"/>
      <c r="Q382" s="1"/>
      <c r="T382" s="1"/>
      <c r="W382" s="1"/>
      <c r="Y382" s="1"/>
      <c r="AB382" s="3"/>
    </row>
    <row r="383" ht="15.75" customHeight="1">
      <c r="E383" s="1"/>
      <c r="H383" s="1"/>
      <c r="K383" s="1"/>
      <c r="N383" s="1"/>
      <c r="Q383" s="1"/>
      <c r="T383" s="1"/>
      <c r="W383" s="1"/>
      <c r="Y383" s="1"/>
      <c r="AB383" s="3"/>
    </row>
    <row r="384" ht="15.75" customHeight="1">
      <c r="E384" s="1"/>
      <c r="H384" s="1"/>
      <c r="K384" s="1"/>
      <c r="N384" s="1"/>
      <c r="Q384" s="1"/>
      <c r="T384" s="1"/>
      <c r="W384" s="1"/>
      <c r="Y384" s="1"/>
      <c r="AB384" s="3"/>
    </row>
    <row r="385" ht="15.75" customHeight="1">
      <c r="E385" s="1"/>
      <c r="H385" s="1"/>
      <c r="K385" s="1"/>
      <c r="N385" s="1"/>
      <c r="Q385" s="1"/>
      <c r="T385" s="1"/>
      <c r="W385" s="1"/>
      <c r="Y385" s="1"/>
      <c r="AB385" s="3"/>
    </row>
    <row r="386" ht="15.75" customHeight="1">
      <c r="E386" s="1"/>
      <c r="H386" s="1"/>
      <c r="K386" s="1"/>
      <c r="N386" s="1"/>
      <c r="Q386" s="1"/>
      <c r="T386" s="1"/>
      <c r="W386" s="1"/>
      <c r="Y386" s="1"/>
      <c r="AB386" s="3"/>
    </row>
    <row r="387" ht="15.75" customHeight="1">
      <c r="E387" s="1"/>
      <c r="H387" s="1"/>
      <c r="K387" s="1"/>
      <c r="N387" s="1"/>
      <c r="Q387" s="1"/>
      <c r="T387" s="1"/>
      <c r="W387" s="1"/>
      <c r="Y387" s="1"/>
      <c r="AB387" s="3"/>
    </row>
    <row r="388" ht="15.75" customHeight="1">
      <c r="E388" s="1"/>
      <c r="H388" s="1"/>
      <c r="K388" s="1"/>
      <c r="N388" s="1"/>
      <c r="Q388" s="1"/>
      <c r="T388" s="1"/>
      <c r="W388" s="1"/>
      <c r="Y388" s="1"/>
      <c r="AB388" s="3"/>
    </row>
    <row r="389" ht="15.75" customHeight="1">
      <c r="E389" s="1"/>
      <c r="H389" s="1"/>
      <c r="K389" s="1"/>
      <c r="N389" s="1"/>
      <c r="Q389" s="1"/>
      <c r="T389" s="1"/>
      <c r="W389" s="1"/>
      <c r="Y389" s="1"/>
      <c r="AB389" s="3"/>
    </row>
    <row r="390" ht="15.75" customHeight="1">
      <c r="E390" s="1"/>
      <c r="H390" s="1"/>
      <c r="K390" s="1"/>
      <c r="N390" s="1"/>
      <c r="Q390" s="1"/>
      <c r="T390" s="1"/>
      <c r="W390" s="1"/>
      <c r="Y390" s="1"/>
      <c r="AB390" s="3"/>
    </row>
    <row r="391" ht="15.75" customHeight="1">
      <c r="E391" s="1"/>
      <c r="H391" s="1"/>
      <c r="K391" s="1"/>
      <c r="N391" s="1"/>
      <c r="Q391" s="1"/>
      <c r="T391" s="1"/>
      <c r="W391" s="1"/>
      <c r="Y391" s="1"/>
      <c r="AB391" s="3"/>
    </row>
    <row r="392" ht="15.75" customHeight="1">
      <c r="E392" s="1"/>
      <c r="H392" s="1"/>
      <c r="K392" s="1"/>
      <c r="N392" s="1"/>
      <c r="Q392" s="1"/>
      <c r="T392" s="1"/>
      <c r="W392" s="1"/>
      <c r="Y392" s="1"/>
      <c r="AB392" s="3"/>
    </row>
    <row r="393" ht="15.75" customHeight="1">
      <c r="E393" s="1"/>
      <c r="H393" s="1"/>
      <c r="K393" s="1"/>
      <c r="N393" s="1"/>
      <c r="Q393" s="1"/>
      <c r="T393" s="1"/>
      <c r="W393" s="1"/>
      <c r="Y393" s="1"/>
      <c r="AB393" s="3"/>
    </row>
    <row r="394" ht="15.75" customHeight="1">
      <c r="E394" s="1"/>
      <c r="H394" s="1"/>
      <c r="K394" s="1"/>
      <c r="N394" s="1"/>
      <c r="Q394" s="1"/>
      <c r="T394" s="1"/>
      <c r="W394" s="1"/>
      <c r="Y394" s="1"/>
      <c r="AB394" s="3"/>
    </row>
    <row r="395" ht="15.75" customHeight="1">
      <c r="E395" s="1"/>
      <c r="H395" s="1"/>
      <c r="K395" s="1"/>
      <c r="N395" s="1"/>
      <c r="Q395" s="1"/>
      <c r="T395" s="1"/>
      <c r="W395" s="1"/>
      <c r="Y395" s="1"/>
      <c r="AB395" s="3"/>
    </row>
    <row r="396" ht="15.75" customHeight="1">
      <c r="E396" s="1"/>
      <c r="H396" s="1"/>
      <c r="K396" s="1"/>
      <c r="N396" s="1"/>
      <c r="Q396" s="1"/>
      <c r="T396" s="1"/>
      <c r="W396" s="1"/>
      <c r="Y396" s="1"/>
      <c r="AB396" s="3"/>
    </row>
    <row r="397" ht="15.75" customHeight="1">
      <c r="E397" s="1"/>
      <c r="H397" s="1"/>
      <c r="K397" s="1"/>
      <c r="N397" s="1"/>
      <c r="Q397" s="1"/>
      <c r="T397" s="1"/>
      <c r="W397" s="1"/>
      <c r="Y397" s="1"/>
      <c r="AB397" s="3"/>
    </row>
    <row r="398" ht="15.75" customHeight="1">
      <c r="E398" s="1"/>
      <c r="H398" s="1"/>
      <c r="K398" s="1"/>
      <c r="N398" s="1"/>
      <c r="Q398" s="1"/>
      <c r="T398" s="1"/>
      <c r="W398" s="1"/>
      <c r="Y398" s="1"/>
      <c r="AB398" s="3"/>
    </row>
    <row r="399" ht="15.75" customHeight="1">
      <c r="E399" s="1"/>
      <c r="H399" s="1"/>
      <c r="K399" s="1"/>
      <c r="N399" s="1"/>
      <c r="Q399" s="1"/>
      <c r="T399" s="1"/>
      <c r="W399" s="1"/>
      <c r="Y399" s="1"/>
      <c r="AB399" s="3"/>
    </row>
    <row r="400" ht="15.75" customHeight="1">
      <c r="E400" s="1"/>
      <c r="H400" s="1"/>
      <c r="K400" s="1"/>
      <c r="N400" s="1"/>
      <c r="Q400" s="1"/>
      <c r="T400" s="1"/>
      <c r="W400" s="1"/>
      <c r="Y400" s="1"/>
      <c r="AB400" s="3"/>
    </row>
    <row r="401" ht="15.75" customHeight="1">
      <c r="E401" s="1"/>
      <c r="H401" s="1"/>
      <c r="K401" s="1"/>
      <c r="N401" s="1"/>
      <c r="Q401" s="1"/>
      <c r="T401" s="1"/>
      <c r="W401" s="1"/>
      <c r="Y401" s="1"/>
      <c r="AB401" s="3"/>
    </row>
    <row r="402" ht="15.75" customHeight="1">
      <c r="E402" s="1"/>
      <c r="H402" s="1"/>
      <c r="K402" s="1"/>
      <c r="N402" s="1"/>
      <c r="Q402" s="1"/>
      <c r="T402" s="1"/>
      <c r="W402" s="1"/>
      <c r="Y402" s="1"/>
      <c r="AB402" s="3"/>
    </row>
    <row r="403" ht="15.75" customHeight="1">
      <c r="E403" s="1"/>
      <c r="H403" s="1"/>
      <c r="K403" s="1"/>
      <c r="N403" s="1"/>
      <c r="Q403" s="1"/>
      <c r="T403" s="1"/>
      <c r="W403" s="1"/>
      <c r="Y403" s="1"/>
      <c r="AB403" s="3"/>
    </row>
    <row r="404" ht="15.75" customHeight="1">
      <c r="E404" s="1"/>
      <c r="H404" s="1"/>
      <c r="K404" s="1"/>
      <c r="N404" s="1"/>
      <c r="Q404" s="1"/>
      <c r="T404" s="1"/>
      <c r="W404" s="1"/>
      <c r="Y404" s="1"/>
      <c r="AB404" s="3"/>
    </row>
    <row r="405" ht="15.75" customHeight="1">
      <c r="E405" s="1"/>
      <c r="H405" s="1"/>
      <c r="K405" s="1"/>
      <c r="N405" s="1"/>
      <c r="Q405" s="1"/>
      <c r="T405" s="1"/>
      <c r="W405" s="1"/>
      <c r="Y405" s="1"/>
      <c r="AB405" s="3"/>
    </row>
    <row r="406" ht="15.75" customHeight="1">
      <c r="E406" s="1"/>
      <c r="H406" s="1"/>
      <c r="K406" s="1"/>
      <c r="N406" s="1"/>
      <c r="Q406" s="1"/>
      <c r="T406" s="1"/>
      <c r="W406" s="1"/>
      <c r="Y406" s="1"/>
      <c r="AB406" s="3"/>
    </row>
    <row r="407" ht="15.75" customHeight="1">
      <c r="E407" s="1"/>
      <c r="H407" s="1"/>
      <c r="K407" s="1"/>
      <c r="N407" s="1"/>
      <c r="Q407" s="1"/>
      <c r="T407" s="1"/>
      <c r="W407" s="1"/>
      <c r="Y407" s="1"/>
      <c r="AB407" s="3"/>
    </row>
    <row r="408" ht="15.75" customHeight="1">
      <c r="E408" s="1"/>
      <c r="H408" s="1"/>
      <c r="K408" s="1"/>
      <c r="N408" s="1"/>
      <c r="Q408" s="1"/>
      <c r="T408" s="1"/>
      <c r="W408" s="1"/>
      <c r="Y408" s="1"/>
      <c r="AB408" s="3"/>
    </row>
    <row r="409" ht="15.75" customHeight="1">
      <c r="E409" s="1"/>
      <c r="H409" s="1"/>
      <c r="K409" s="1"/>
      <c r="N409" s="1"/>
      <c r="Q409" s="1"/>
      <c r="T409" s="1"/>
      <c r="W409" s="1"/>
      <c r="Y409" s="1"/>
      <c r="AB409" s="3"/>
    </row>
    <row r="410" ht="15.75" customHeight="1">
      <c r="E410" s="1"/>
      <c r="H410" s="1"/>
      <c r="K410" s="1"/>
      <c r="N410" s="1"/>
      <c r="Q410" s="1"/>
      <c r="T410" s="1"/>
      <c r="W410" s="1"/>
      <c r="Y410" s="1"/>
      <c r="AB410" s="3"/>
    </row>
    <row r="411" ht="15.75" customHeight="1">
      <c r="E411" s="1"/>
      <c r="H411" s="1"/>
      <c r="K411" s="1"/>
      <c r="N411" s="1"/>
      <c r="Q411" s="1"/>
      <c r="T411" s="1"/>
      <c r="W411" s="1"/>
      <c r="Y411" s="1"/>
      <c r="AB411" s="3"/>
    </row>
    <row r="412" ht="15.75" customHeight="1">
      <c r="E412" s="1"/>
      <c r="H412" s="1"/>
      <c r="K412" s="1"/>
      <c r="N412" s="1"/>
      <c r="Q412" s="1"/>
      <c r="T412" s="1"/>
      <c r="W412" s="1"/>
      <c r="Y412" s="1"/>
      <c r="AB412" s="3"/>
    </row>
    <row r="413" ht="15.75" customHeight="1">
      <c r="E413" s="1"/>
      <c r="H413" s="1"/>
      <c r="K413" s="1"/>
      <c r="N413" s="1"/>
      <c r="Q413" s="1"/>
      <c r="T413" s="1"/>
      <c r="W413" s="1"/>
      <c r="Y413" s="1"/>
      <c r="AB413" s="3"/>
    </row>
    <row r="414" ht="15.75" customHeight="1">
      <c r="E414" s="1"/>
      <c r="H414" s="1"/>
      <c r="K414" s="1"/>
      <c r="N414" s="1"/>
      <c r="Q414" s="1"/>
      <c r="T414" s="1"/>
      <c r="W414" s="1"/>
      <c r="Y414" s="1"/>
      <c r="AB414" s="3"/>
    </row>
    <row r="415" ht="15.75" customHeight="1">
      <c r="E415" s="1"/>
      <c r="H415" s="1"/>
      <c r="K415" s="1"/>
      <c r="N415" s="1"/>
      <c r="Q415" s="1"/>
      <c r="T415" s="1"/>
      <c r="W415" s="1"/>
      <c r="Y415" s="1"/>
      <c r="AB415" s="3"/>
    </row>
    <row r="416" ht="15.75" customHeight="1">
      <c r="E416" s="1"/>
      <c r="H416" s="1"/>
      <c r="K416" s="1"/>
      <c r="N416" s="1"/>
      <c r="Q416" s="1"/>
      <c r="T416" s="1"/>
      <c r="W416" s="1"/>
      <c r="Y416" s="1"/>
      <c r="AB416" s="3"/>
    </row>
    <row r="417" ht="15.75" customHeight="1">
      <c r="E417" s="1"/>
      <c r="H417" s="1"/>
      <c r="K417" s="1"/>
      <c r="N417" s="1"/>
      <c r="Q417" s="1"/>
      <c r="T417" s="1"/>
      <c r="W417" s="1"/>
      <c r="Y417" s="1"/>
      <c r="AB417" s="3"/>
    </row>
    <row r="418" ht="15.75" customHeight="1">
      <c r="E418" s="1"/>
      <c r="H418" s="1"/>
      <c r="K418" s="1"/>
      <c r="N418" s="1"/>
      <c r="Q418" s="1"/>
      <c r="T418" s="1"/>
      <c r="W418" s="1"/>
      <c r="Y418" s="1"/>
      <c r="AB418" s="3"/>
    </row>
    <row r="419" ht="15.75" customHeight="1">
      <c r="E419" s="1"/>
      <c r="H419" s="1"/>
      <c r="K419" s="1"/>
      <c r="N419" s="1"/>
      <c r="Q419" s="1"/>
      <c r="T419" s="1"/>
      <c r="W419" s="1"/>
      <c r="Y419" s="1"/>
      <c r="AB419" s="3"/>
    </row>
    <row r="420" ht="15.75" customHeight="1">
      <c r="E420" s="1"/>
      <c r="H420" s="1"/>
      <c r="K420" s="1"/>
      <c r="N420" s="1"/>
      <c r="Q420" s="1"/>
      <c r="T420" s="1"/>
      <c r="W420" s="1"/>
      <c r="Y420" s="1"/>
      <c r="AB420" s="3"/>
    </row>
    <row r="421" ht="15.75" customHeight="1">
      <c r="E421" s="1"/>
      <c r="H421" s="1"/>
      <c r="K421" s="1"/>
      <c r="N421" s="1"/>
      <c r="Q421" s="1"/>
      <c r="T421" s="1"/>
      <c r="W421" s="1"/>
      <c r="Y421" s="1"/>
      <c r="AB421" s="3"/>
    </row>
    <row r="422" ht="15.75" customHeight="1">
      <c r="E422" s="1"/>
      <c r="H422" s="1"/>
      <c r="K422" s="1"/>
      <c r="N422" s="1"/>
      <c r="Q422" s="1"/>
      <c r="T422" s="1"/>
      <c r="W422" s="1"/>
      <c r="Y422" s="1"/>
      <c r="AB422" s="3"/>
    </row>
    <row r="423" ht="15.75" customHeight="1">
      <c r="E423" s="1"/>
      <c r="H423" s="1"/>
      <c r="K423" s="1"/>
      <c r="N423" s="1"/>
      <c r="Q423" s="1"/>
      <c r="T423" s="1"/>
      <c r="W423" s="1"/>
      <c r="Y423" s="1"/>
      <c r="AB423" s="3"/>
    </row>
    <row r="424" ht="15.75" customHeight="1">
      <c r="E424" s="1"/>
      <c r="H424" s="1"/>
      <c r="K424" s="1"/>
      <c r="N424" s="1"/>
      <c r="Q424" s="1"/>
      <c r="T424" s="1"/>
      <c r="W424" s="1"/>
      <c r="Y424" s="1"/>
      <c r="AB424" s="3"/>
    </row>
    <row r="425" ht="15.75" customHeight="1">
      <c r="E425" s="1"/>
      <c r="H425" s="1"/>
      <c r="K425" s="1"/>
      <c r="N425" s="1"/>
      <c r="Q425" s="1"/>
      <c r="T425" s="1"/>
      <c r="W425" s="1"/>
      <c r="Y425" s="1"/>
      <c r="AB425" s="3"/>
    </row>
    <row r="426" ht="15.75" customHeight="1">
      <c r="E426" s="1"/>
      <c r="H426" s="1"/>
      <c r="K426" s="1"/>
      <c r="N426" s="1"/>
      <c r="Q426" s="1"/>
      <c r="T426" s="1"/>
      <c r="W426" s="1"/>
      <c r="Y426" s="1"/>
      <c r="AB426" s="3"/>
    </row>
    <row r="427" ht="15.75" customHeight="1">
      <c r="E427" s="1"/>
      <c r="H427" s="1"/>
      <c r="K427" s="1"/>
      <c r="N427" s="1"/>
      <c r="Q427" s="1"/>
      <c r="T427" s="1"/>
      <c r="W427" s="1"/>
      <c r="Y427" s="1"/>
      <c r="AB427" s="3"/>
    </row>
    <row r="428" ht="15.75" customHeight="1">
      <c r="E428" s="1"/>
      <c r="H428" s="1"/>
      <c r="K428" s="1"/>
      <c r="N428" s="1"/>
      <c r="Q428" s="1"/>
      <c r="T428" s="1"/>
      <c r="W428" s="1"/>
      <c r="Y428" s="1"/>
      <c r="AB428" s="3"/>
    </row>
    <row r="429" ht="15.75" customHeight="1">
      <c r="E429" s="1"/>
      <c r="H429" s="1"/>
      <c r="K429" s="1"/>
      <c r="N429" s="1"/>
      <c r="Q429" s="1"/>
      <c r="T429" s="1"/>
      <c r="W429" s="1"/>
      <c r="Y429" s="1"/>
      <c r="AB429" s="3"/>
    </row>
    <row r="430" ht="15.75" customHeight="1">
      <c r="E430" s="1"/>
      <c r="H430" s="1"/>
      <c r="K430" s="1"/>
      <c r="N430" s="1"/>
      <c r="Q430" s="1"/>
      <c r="T430" s="1"/>
      <c r="W430" s="1"/>
      <c r="Y430" s="1"/>
      <c r="AB430" s="3"/>
    </row>
    <row r="431" ht="15.75" customHeight="1">
      <c r="E431" s="1"/>
      <c r="H431" s="1"/>
      <c r="K431" s="1"/>
      <c r="N431" s="1"/>
      <c r="Q431" s="1"/>
      <c r="T431" s="1"/>
      <c r="W431" s="1"/>
      <c r="Y431" s="1"/>
      <c r="AB431" s="3"/>
    </row>
    <row r="432" ht="15.75" customHeight="1">
      <c r="E432" s="1"/>
      <c r="H432" s="1"/>
      <c r="K432" s="1"/>
      <c r="N432" s="1"/>
      <c r="Q432" s="1"/>
      <c r="T432" s="1"/>
      <c r="W432" s="1"/>
      <c r="Y432" s="1"/>
      <c r="AB432" s="3"/>
    </row>
    <row r="433" ht="15.75" customHeight="1">
      <c r="E433" s="1"/>
      <c r="H433" s="1"/>
      <c r="K433" s="1"/>
      <c r="N433" s="1"/>
      <c r="Q433" s="1"/>
      <c r="T433" s="1"/>
      <c r="W433" s="1"/>
      <c r="Y433" s="1"/>
      <c r="AB433" s="3"/>
    </row>
    <row r="434" ht="15.75" customHeight="1">
      <c r="E434" s="1"/>
      <c r="H434" s="1"/>
      <c r="K434" s="1"/>
      <c r="N434" s="1"/>
      <c r="Q434" s="1"/>
      <c r="T434" s="1"/>
      <c r="W434" s="1"/>
      <c r="Y434" s="1"/>
      <c r="AB434" s="3"/>
    </row>
    <row r="435" ht="15.75" customHeight="1">
      <c r="E435" s="1"/>
      <c r="H435" s="1"/>
      <c r="K435" s="1"/>
      <c r="N435" s="1"/>
      <c r="Q435" s="1"/>
      <c r="T435" s="1"/>
      <c r="W435" s="1"/>
      <c r="Y435" s="1"/>
      <c r="AB435" s="3"/>
    </row>
    <row r="436" ht="15.75" customHeight="1">
      <c r="E436" s="1"/>
      <c r="H436" s="1"/>
      <c r="K436" s="1"/>
      <c r="N436" s="1"/>
      <c r="Q436" s="1"/>
      <c r="T436" s="1"/>
      <c r="W436" s="1"/>
      <c r="Y436" s="1"/>
      <c r="AB436" s="3"/>
    </row>
    <row r="437" ht="15.75" customHeight="1">
      <c r="E437" s="1"/>
      <c r="H437" s="1"/>
      <c r="K437" s="1"/>
      <c r="N437" s="1"/>
      <c r="Q437" s="1"/>
      <c r="T437" s="1"/>
      <c r="W437" s="1"/>
      <c r="Y437" s="1"/>
      <c r="AB437" s="3"/>
    </row>
    <row r="438" ht="15.75" customHeight="1">
      <c r="E438" s="1"/>
      <c r="H438" s="1"/>
      <c r="K438" s="1"/>
      <c r="N438" s="1"/>
      <c r="Q438" s="1"/>
      <c r="T438" s="1"/>
      <c r="W438" s="1"/>
      <c r="Y438" s="1"/>
      <c r="AB438" s="3"/>
    </row>
    <row r="439" ht="15.75" customHeight="1">
      <c r="E439" s="1"/>
      <c r="H439" s="1"/>
      <c r="K439" s="1"/>
      <c r="N439" s="1"/>
      <c r="Q439" s="1"/>
      <c r="T439" s="1"/>
      <c r="W439" s="1"/>
      <c r="Y439" s="1"/>
      <c r="AB439" s="3"/>
    </row>
    <row r="440" ht="15.75" customHeight="1">
      <c r="E440" s="1"/>
      <c r="H440" s="1"/>
      <c r="K440" s="1"/>
      <c r="N440" s="1"/>
      <c r="Q440" s="1"/>
      <c r="T440" s="1"/>
      <c r="W440" s="1"/>
      <c r="Y440" s="1"/>
      <c r="AB440" s="3"/>
    </row>
    <row r="441" ht="15.75" customHeight="1">
      <c r="E441" s="1"/>
      <c r="H441" s="1"/>
      <c r="K441" s="1"/>
      <c r="N441" s="1"/>
      <c r="Q441" s="1"/>
      <c r="T441" s="1"/>
      <c r="W441" s="1"/>
      <c r="Y441" s="1"/>
      <c r="AB441" s="3"/>
    </row>
    <row r="442" ht="15.75" customHeight="1">
      <c r="E442" s="1"/>
      <c r="H442" s="1"/>
      <c r="K442" s="1"/>
      <c r="N442" s="1"/>
      <c r="Q442" s="1"/>
      <c r="T442" s="1"/>
      <c r="W442" s="1"/>
      <c r="Y442" s="1"/>
      <c r="AB442" s="3"/>
    </row>
    <row r="443" ht="15.75" customHeight="1">
      <c r="E443" s="1"/>
      <c r="H443" s="1"/>
      <c r="K443" s="1"/>
      <c r="N443" s="1"/>
      <c r="Q443" s="1"/>
      <c r="T443" s="1"/>
      <c r="W443" s="1"/>
      <c r="Y443" s="1"/>
      <c r="AB443" s="3"/>
    </row>
    <row r="444" ht="15.75" customHeight="1">
      <c r="E444" s="1"/>
      <c r="H444" s="1"/>
      <c r="K444" s="1"/>
      <c r="N444" s="1"/>
      <c r="Q444" s="1"/>
      <c r="T444" s="1"/>
      <c r="W444" s="1"/>
      <c r="Y444" s="1"/>
      <c r="AB444" s="3"/>
    </row>
    <row r="445" ht="15.75" customHeight="1">
      <c r="E445" s="1"/>
      <c r="H445" s="1"/>
      <c r="K445" s="1"/>
      <c r="N445" s="1"/>
      <c r="Q445" s="1"/>
      <c r="T445" s="1"/>
      <c r="W445" s="1"/>
      <c r="Y445" s="1"/>
      <c r="AB445" s="3"/>
    </row>
    <row r="446" ht="15.75" customHeight="1">
      <c r="E446" s="1"/>
      <c r="H446" s="1"/>
      <c r="K446" s="1"/>
      <c r="N446" s="1"/>
      <c r="Q446" s="1"/>
      <c r="T446" s="1"/>
      <c r="W446" s="1"/>
      <c r="Y446" s="1"/>
      <c r="AB446" s="3"/>
    </row>
    <row r="447" ht="15.75" customHeight="1">
      <c r="E447" s="1"/>
      <c r="H447" s="1"/>
      <c r="K447" s="1"/>
      <c r="N447" s="1"/>
      <c r="Q447" s="1"/>
      <c r="T447" s="1"/>
      <c r="W447" s="1"/>
      <c r="Y447" s="1"/>
      <c r="AB447" s="3"/>
    </row>
    <row r="448" ht="15.75" customHeight="1">
      <c r="E448" s="1"/>
      <c r="H448" s="1"/>
      <c r="K448" s="1"/>
      <c r="N448" s="1"/>
      <c r="Q448" s="1"/>
      <c r="T448" s="1"/>
      <c r="W448" s="1"/>
      <c r="Y448" s="1"/>
      <c r="AB448" s="3"/>
    </row>
    <row r="449" ht="15.75" customHeight="1">
      <c r="E449" s="1"/>
      <c r="H449" s="1"/>
      <c r="K449" s="1"/>
      <c r="N449" s="1"/>
      <c r="Q449" s="1"/>
      <c r="T449" s="1"/>
      <c r="W449" s="1"/>
      <c r="Y449" s="1"/>
      <c r="AB449" s="3"/>
    </row>
    <row r="450" ht="15.75" customHeight="1">
      <c r="E450" s="1"/>
      <c r="H450" s="1"/>
      <c r="K450" s="1"/>
      <c r="N450" s="1"/>
      <c r="Q450" s="1"/>
      <c r="T450" s="1"/>
      <c r="W450" s="1"/>
      <c r="Y450" s="1"/>
      <c r="AB450" s="3"/>
    </row>
    <row r="451" ht="15.75" customHeight="1">
      <c r="E451" s="1"/>
      <c r="H451" s="1"/>
      <c r="K451" s="1"/>
      <c r="N451" s="1"/>
      <c r="Q451" s="1"/>
      <c r="T451" s="1"/>
      <c r="W451" s="1"/>
      <c r="Y451" s="1"/>
      <c r="AB451" s="3"/>
    </row>
    <row r="452" ht="15.75" customHeight="1">
      <c r="E452" s="1"/>
      <c r="H452" s="1"/>
      <c r="K452" s="1"/>
      <c r="N452" s="1"/>
      <c r="Q452" s="1"/>
      <c r="T452" s="1"/>
      <c r="W452" s="1"/>
      <c r="Y452" s="1"/>
      <c r="AB452" s="3"/>
    </row>
    <row r="453" ht="15.75" customHeight="1">
      <c r="E453" s="1"/>
      <c r="H453" s="1"/>
      <c r="K453" s="1"/>
      <c r="N453" s="1"/>
      <c r="Q453" s="1"/>
      <c r="T453" s="1"/>
      <c r="W453" s="1"/>
      <c r="Y453" s="1"/>
      <c r="AB453" s="3"/>
    </row>
    <row r="454" ht="15.75" customHeight="1">
      <c r="E454" s="1"/>
      <c r="H454" s="1"/>
      <c r="K454" s="1"/>
      <c r="N454" s="1"/>
      <c r="Q454" s="1"/>
      <c r="T454" s="1"/>
      <c r="W454" s="1"/>
      <c r="Y454" s="1"/>
      <c r="AB454" s="3"/>
    </row>
    <row r="455" ht="15.75" customHeight="1">
      <c r="E455" s="1"/>
      <c r="H455" s="1"/>
      <c r="K455" s="1"/>
      <c r="N455" s="1"/>
      <c r="Q455" s="1"/>
      <c r="T455" s="1"/>
      <c r="W455" s="1"/>
      <c r="Y455" s="1"/>
      <c r="AB455" s="3"/>
    </row>
    <row r="456" ht="15.75" customHeight="1">
      <c r="E456" s="1"/>
      <c r="H456" s="1"/>
      <c r="K456" s="1"/>
      <c r="N456" s="1"/>
      <c r="Q456" s="1"/>
      <c r="T456" s="1"/>
      <c r="W456" s="1"/>
      <c r="Y456" s="1"/>
      <c r="AB456" s="3"/>
    </row>
    <row r="457" ht="15.75" customHeight="1">
      <c r="E457" s="1"/>
      <c r="H457" s="1"/>
      <c r="K457" s="1"/>
      <c r="N457" s="1"/>
      <c r="Q457" s="1"/>
      <c r="T457" s="1"/>
      <c r="W457" s="1"/>
      <c r="Y457" s="1"/>
      <c r="AB457" s="3"/>
    </row>
    <row r="458" ht="15.75" customHeight="1">
      <c r="E458" s="1"/>
      <c r="H458" s="1"/>
      <c r="K458" s="1"/>
      <c r="N458" s="1"/>
      <c r="Q458" s="1"/>
      <c r="T458" s="1"/>
      <c r="W458" s="1"/>
      <c r="Y458" s="1"/>
      <c r="AB458" s="3"/>
    </row>
    <row r="459" ht="15.75" customHeight="1">
      <c r="E459" s="1"/>
      <c r="H459" s="1"/>
      <c r="K459" s="1"/>
      <c r="N459" s="1"/>
      <c r="Q459" s="1"/>
      <c r="T459" s="1"/>
      <c r="W459" s="1"/>
      <c r="Y459" s="1"/>
      <c r="AB459" s="3"/>
    </row>
    <row r="460" ht="15.75" customHeight="1">
      <c r="E460" s="1"/>
      <c r="H460" s="1"/>
      <c r="K460" s="1"/>
      <c r="N460" s="1"/>
      <c r="Q460" s="1"/>
      <c r="T460" s="1"/>
      <c r="W460" s="1"/>
      <c r="Y460" s="1"/>
      <c r="AB460" s="3"/>
    </row>
    <row r="461" ht="15.75" customHeight="1">
      <c r="E461" s="1"/>
      <c r="H461" s="1"/>
      <c r="K461" s="1"/>
      <c r="N461" s="1"/>
      <c r="Q461" s="1"/>
      <c r="T461" s="1"/>
      <c r="W461" s="1"/>
      <c r="Y461" s="1"/>
      <c r="AB461" s="3"/>
    </row>
    <row r="462" ht="15.75" customHeight="1">
      <c r="E462" s="1"/>
      <c r="H462" s="1"/>
      <c r="K462" s="1"/>
      <c r="N462" s="1"/>
      <c r="Q462" s="1"/>
      <c r="T462" s="1"/>
      <c r="W462" s="1"/>
      <c r="Y462" s="1"/>
      <c r="AB462" s="3"/>
    </row>
    <row r="463" ht="15.75" customHeight="1">
      <c r="E463" s="1"/>
      <c r="H463" s="1"/>
      <c r="K463" s="1"/>
      <c r="N463" s="1"/>
      <c r="Q463" s="1"/>
      <c r="T463" s="1"/>
      <c r="W463" s="1"/>
      <c r="Y463" s="1"/>
      <c r="AB463" s="3"/>
    </row>
    <row r="464" ht="15.75" customHeight="1">
      <c r="E464" s="1"/>
      <c r="H464" s="1"/>
      <c r="K464" s="1"/>
      <c r="N464" s="1"/>
      <c r="Q464" s="1"/>
      <c r="T464" s="1"/>
      <c r="W464" s="1"/>
      <c r="Y464" s="1"/>
      <c r="AB464" s="3"/>
    </row>
    <row r="465" ht="15.75" customHeight="1">
      <c r="E465" s="1"/>
      <c r="H465" s="1"/>
      <c r="K465" s="1"/>
      <c r="N465" s="1"/>
      <c r="Q465" s="1"/>
      <c r="T465" s="1"/>
      <c r="W465" s="1"/>
      <c r="Y465" s="1"/>
      <c r="AB465" s="3"/>
    </row>
    <row r="466" ht="15.75" customHeight="1">
      <c r="E466" s="1"/>
      <c r="H466" s="1"/>
      <c r="K466" s="1"/>
      <c r="N466" s="1"/>
      <c r="Q466" s="1"/>
      <c r="T466" s="1"/>
      <c r="W466" s="1"/>
      <c r="Y466" s="1"/>
      <c r="AB466" s="3"/>
    </row>
    <row r="467" ht="15.75" customHeight="1">
      <c r="E467" s="1"/>
      <c r="H467" s="1"/>
      <c r="K467" s="1"/>
      <c r="N467" s="1"/>
      <c r="Q467" s="1"/>
      <c r="T467" s="1"/>
      <c r="W467" s="1"/>
      <c r="Y467" s="1"/>
      <c r="AB467" s="3"/>
    </row>
    <row r="468" ht="15.75" customHeight="1">
      <c r="E468" s="1"/>
      <c r="H468" s="1"/>
      <c r="K468" s="1"/>
      <c r="N468" s="1"/>
      <c r="Q468" s="1"/>
      <c r="T468" s="1"/>
      <c r="W468" s="1"/>
      <c r="Y468" s="1"/>
      <c r="AB468" s="3"/>
    </row>
    <row r="469" ht="15.75" customHeight="1">
      <c r="E469" s="1"/>
      <c r="H469" s="1"/>
      <c r="K469" s="1"/>
      <c r="N469" s="1"/>
      <c r="Q469" s="1"/>
      <c r="T469" s="1"/>
      <c r="W469" s="1"/>
      <c r="Y469" s="1"/>
      <c r="AB469" s="3"/>
    </row>
    <row r="470" ht="15.75" customHeight="1">
      <c r="E470" s="1"/>
      <c r="H470" s="1"/>
      <c r="K470" s="1"/>
      <c r="N470" s="1"/>
      <c r="Q470" s="1"/>
      <c r="T470" s="1"/>
      <c r="W470" s="1"/>
      <c r="Y470" s="1"/>
      <c r="AB470" s="3"/>
    </row>
    <row r="471" ht="15.75" customHeight="1">
      <c r="E471" s="1"/>
      <c r="H471" s="1"/>
      <c r="K471" s="1"/>
      <c r="N471" s="1"/>
      <c r="Q471" s="1"/>
      <c r="T471" s="1"/>
      <c r="W471" s="1"/>
      <c r="Y471" s="1"/>
      <c r="AB471" s="3"/>
    </row>
    <row r="472" ht="15.75" customHeight="1">
      <c r="E472" s="1"/>
      <c r="H472" s="1"/>
      <c r="K472" s="1"/>
      <c r="N472" s="1"/>
      <c r="Q472" s="1"/>
      <c r="T472" s="1"/>
      <c r="W472" s="1"/>
      <c r="Y472" s="1"/>
      <c r="AB472" s="3"/>
    </row>
    <row r="473" ht="15.75" customHeight="1">
      <c r="E473" s="1"/>
      <c r="H473" s="1"/>
      <c r="K473" s="1"/>
      <c r="N473" s="1"/>
      <c r="Q473" s="1"/>
      <c r="T473" s="1"/>
      <c r="W473" s="1"/>
      <c r="Y473" s="1"/>
      <c r="AB473" s="3"/>
    </row>
    <row r="474" ht="15.75" customHeight="1">
      <c r="E474" s="1"/>
      <c r="H474" s="1"/>
      <c r="K474" s="1"/>
      <c r="N474" s="1"/>
      <c r="Q474" s="1"/>
      <c r="T474" s="1"/>
      <c r="W474" s="1"/>
      <c r="Y474" s="1"/>
      <c r="AB474" s="3"/>
    </row>
    <row r="475" ht="15.75" customHeight="1">
      <c r="E475" s="1"/>
      <c r="H475" s="1"/>
      <c r="K475" s="1"/>
      <c r="N475" s="1"/>
      <c r="Q475" s="1"/>
      <c r="T475" s="1"/>
      <c r="W475" s="1"/>
      <c r="Y475" s="1"/>
      <c r="AB475" s="3"/>
    </row>
    <row r="476" ht="15.75" customHeight="1">
      <c r="E476" s="1"/>
      <c r="H476" s="1"/>
      <c r="K476" s="1"/>
      <c r="N476" s="1"/>
      <c r="Q476" s="1"/>
      <c r="T476" s="1"/>
      <c r="W476" s="1"/>
      <c r="Y476" s="1"/>
      <c r="AB476" s="3"/>
    </row>
    <row r="477" ht="15.75" customHeight="1">
      <c r="E477" s="1"/>
      <c r="H477" s="1"/>
      <c r="K477" s="1"/>
      <c r="N477" s="1"/>
      <c r="Q477" s="1"/>
      <c r="T477" s="1"/>
      <c r="W477" s="1"/>
      <c r="Y477" s="1"/>
      <c r="AB477" s="3"/>
    </row>
    <row r="478" ht="15.75" customHeight="1">
      <c r="E478" s="1"/>
      <c r="H478" s="1"/>
      <c r="K478" s="1"/>
      <c r="N478" s="1"/>
      <c r="Q478" s="1"/>
      <c r="T478" s="1"/>
      <c r="W478" s="1"/>
      <c r="Y478" s="1"/>
      <c r="AB478" s="3"/>
    </row>
    <row r="479" ht="15.75" customHeight="1">
      <c r="E479" s="1"/>
      <c r="H479" s="1"/>
      <c r="K479" s="1"/>
      <c r="N479" s="1"/>
      <c r="Q479" s="1"/>
      <c r="T479" s="1"/>
      <c r="W479" s="1"/>
      <c r="Y479" s="1"/>
      <c r="AB479" s="3"/>
    </row>
    <row r="480" ht="15.75" customHeight="1">
      <c r="E480" s="1"/>
      <c r="H480" s="1"/>
      <c r="K480" s="1"/>
      <c r="N480" s="1"/>
      <c r="Q480" s="1"/>
      <c r="T480" s="1"/>
      <c r="W480" s="1"/>
      <c r="Y480" s="1"/>
      <c r="AB480" s="3"/>
    </row>
    <row r="481" ht="15.75" customHeight="1">
      <c r="E481" s="1"/>
      <c r="H481" s="1"/>
      <c r="K481" s="1"/>
      <c r="N481" s="1"/>
      <c r="Q481" s="1"/>
      <c r="T481" s="1"/>
      <c r="W481" s="1"/>
      <c r="Y481" s="1"/>
      <c r="AB481" s="3"/>
    </row>
    <row r="482" ht="15.75" customHeight="1">
      <c r="E482" s="1"/>
      <c r="H482" s="1"/>
      <c r="K482" s="1"/>
      <c r="N482" s="1"/>
      <c r="Q482" s="1"/>
      <c r="T482" s="1"/>
      <c r="W482" s="1"/>
      <c r="Y482" s="1"/>
      <c r="AB482" s="3"/>
    </row>
    <row r="483" ht="15.75" customHeight="1">
      <c r="E483" s="1"/>
      <c r="H483" s="1"/>
      <c r="K483" s="1"/>
      <c r="N483" s="1"/>
      <c r="Q483" s="1"/>
      <c r="T483" s="1"/>
      <c r="W483" s="1"/>
      <c r="Y483" s="1"/>
      <c r="AB483" s="3"/>
    </row>
    <row r="484" ht="15.75" customHeight="1">
      <c r="E484" s="1"/>
      <c r="H484" s="1"/>
      <c r="K484" s="1"/>
      <c r="N484" s="1"/>
      <c r="Q484" s="1"/>
      <c r="T484" s="1"/>
      <c r="W484" s="1"/>
      <c r="Y484" s="1"/>
      <c r="AB484" s="3"/>
    </row>
    <row r="485" ht="15.75" customHeight="1">
      <c r="E485" s="1"/>
      <c r="H485" s="1"/>
      <c r="K485" s="1"/>
      <c r="N485" s="1"/>
      <c r="Q485" s="1"/>
      <c r="T485" s="1"/>
      <c r="W485" s="1"/>
      <c r="Y485" s="1"/>
      <c r="AB485" s="3"/>
    </row>
    <row r="486" ht="15.75" customHeight="1">
      <c r="E486" s="1"/>
      <c r="H486" s="1"/>
      <c r="K486" s="1"/>
      <c r="N486" s="1"/>
      <c r="Q486" s="1"/>
      <c r="T486" s="1"/>
      <c r="W486" s="1"/>
      <c r="Y486" s="1"/>
      <c r="AB486" s="3"/>
    </row>
    <row r="487" ht="15.75" customHeight="1">
      <c r="E487" s="1"/>
      <c r="H487" s="1"/>
      <c r="K487" s="1"/>
      <c r="N487" s="1"/>
      <c r="Q487" s="1"/>
      <c r="T487" s="1"/>
      <c r="W487" s="1"/>
      <c r="Y487" s="1"/>
      <c r="AB487" s="3"/>
    </row>
    <row r="488" ht="15.75" customHeight="1">
      <c r="E488" s="1"/>
      <c r="H488" s="1"/>
      <c r="K488" s="1"/>
      <c r="N488" s="1"/>
      <c r="Q488" s="1"/>
      <c r="T488" s="1"/>
      <c r="W488" s="1"/>
      <c r="Y488" s="1"/>
      <c r="AB488" s="3"/>
    </row>
    <row r="489" ht="15.75" customHeight="1">
      <c r="E489" s="1"/>
      <c r="H489" s="1"/>
      <c r="K489" s="1"/>
      <c r="N489" s="1"/>
      <c r="Q489" s="1"/>
      <c r="T489" s="1"/>
      <c r="W489" s="1"/>
      <c r="Y489" s="1"/>
      <c r="AB489" s="3"/>
    </row>
    <row r="490" ht="15.75" customHeight="1">
      <c r="E490" s="1"/>
      <c r="H490" s="1"/>
      <c r="K490" s="1"/>
      <c r="N490" s="1"/>
      <c r="Q490" s="1"/>
      <c r="T490" s="1"/>
      <c r="W490" s="1"/>
      <c r="Y490" s="1"/>
      <c r="AB490" s="3"/>
    </row>
    <row r="491" ht="15.75" customHeight="1">
      <c r="E491" s="1"/>
      <c r="H491" s="1"/>
      <c r="K491" s="1"/>
      <c r="N491" s="1"/>
      <c r="Q491" s="1"/>
      <c r="T491" s="1"/>
      <c r="W491" s="1"/>
      <c r="Y491" s="1"/>
      <c r="AB491" s="3"/>
    </row>
    <row r="492" ht="15.75" customHeight="1">
      <c r="E492" s="1"/>
      <c r="H492" s="1"/>
      <c r="K492" s="1"/>
      <c r="N492" s="1"/>
      <c r="Q492" s="1"/>
      <c r="T492" s="1"/>
      <c r="W492" s="1"/>
      <c r="Y492" s="1"/>
      <c r="AB492" s="3"/>
    </row>
    <row r="493" ht="15.75" customHeight="1">
      <c r="E493" s="1"/>
      <c r="H493" s="1"/>
      <c r="K493" s="1"/>
      <c r="N493" s="1"/>
      <c r="Q493" s="1"/>
      <c r="T493" s="1"/>
      <c r="W493" s="1"/>
      <c r="Y493" s="1"/>
      <c r="AB493" s="3"/>
    </row>
    <row r="494" ht="15.75" customHeight="1">
      <c r="E494" s="1"/>
      <c r="H494" s="1"/>
      <c r="K494" s="1"/>
      <c r="N494" s="1"/>
      <c r="Q494" s="1"/>
      <c r="T494" s="1"/>
      <c r="W494" s="1"/>
      <c r="Y494" s="1"/>
      <c r="AB494" s="3"/>
    </row>
    <row r="495" ht="15.75" customHeight="1">
      <c r="E495" s="1"/>
      <c r="H495" s="1"/>
      <c r="K495" s="1"/>
      <c r="N495" s="1"/>
      <c r="Q495" s="1"/>
      <c r="T495" s="1"/>
      <c r="W495" s="1"/>
      <c r="Y495" s="1"/>
      <c r="AB495" s="3"/>
    </row>
    <row r="496" ht="15.75" customHeight="1">
      <c r="E496" s="1"/>
      <c r="H496" s="1"/>
      <c r="K496" s="1"/>
      <c r="N496" s="1"/>
      <c r="Q496" s="1"/>
      <c r="T496" s="1"/>
      <c r="W496" s="1"/>
      <c r="Y496" s="1"/>
      <c r="AB496" s="3"/>
    </row>
    <row r="497" ht="15.75" customHeight="1">
      <c r="E497" s="1"/>
      <c r="H497" s="1"/>
      <c r="K497" s="1"/>
      <c r="N497" s="1"/>
      <c r="Q497" s="1"/>
      <c r="T497" s="1"/>
      <c r="W497" s="1"/>
      <c r="Y497" s="1"/>
      <c r="AB497" s="3"/>
    </row>
    <row r="498" ht="15.75" customHeight="1">
      <c r="E498" s="1"/>
      <c r="H498" s="1"/>
      <c r="K498" s="1"/>
      <c r="N498" s="1"/>
      <c r="Q498" s="1"/>
      <c r="T498" s="1"/>
      <c r="W498" s="1"/>
      <c r="Y498" s="1"/>
      <c r="AB498" s="3"/>
    </row>
    <row r="499" ht="15.75" customHeight="1">
      <c r="E499" s="1"/>
      <c r="H499" s="1"/>
      <c r="K499" s="1"/>
      <c r="N499" s="1"/>
      <c r="Q499" s="1"/>
      <c r="T499" s="1"/>
      <c r="W499" s="1"/>
      <c r="Y499" s="1"/>
      <c r="AB499" s="3"/>
    </row>
    <row r="500" ht="15.75" customHeight="1">
      <c r="E500" s="1"/>
      <c r="H500" s="1"/>
      <c r="K500" s="1"/>
      <c r="N500" s="1"/>
      <c r="Q500" s="1"/>
      <c r="T500" s="1"/>
      <c r="W500" s="1"/>
      <c r="Y500" s="1"/>
      <c r="AB500" s="3"/>
    </row>
    <row r="501" ht="15.75" customHeight="1">
      <c r="E501" s="1"/>
      <c r="H501" s="1"/>
      <c r="K501" s="1"/>
      <c r="N501" s="1"/>
      <c r="Q501" s="1"/>
      <c r="T501" s="1"/>
      <c r="W501" s="1"/>
      <c r="Y501" s="1"/>
      <c r="AB501" s="3"/>
    </row>
    <row r="502" ht="15.75" customHeight="1">
      <c r="E502" s="1"/>
      <c r="H502" s="1"/>
      <c r="K502" s="1"/>
      <c r="N502" s="1"/>
      <c r="Q502" s="1"/>
      <c r="T502" s="1"/>
      <c r="W502" s="1"/>
      <c r="Y502" s="1"/>
      <c r="AB502" s="3"/>
    </row>
    <row r="503" ht="15.75" customHeight="1">
      <c r="E503" s="1"/>
      <c r="H503" s="1"/>
      <c r="K503" s="1"/>
      <c r="N503" s="1"/>
      <c r="Q503" s="1"/>
      <c r="T503" s="1"/>
      <c r="W503" s="1"/>
      <c r="Y503" s="1"/>
      <c r="AB503" s="3"/>
    </row>
    <row r="504" ht="15.75" customHeight="1">
      <c r="E504" s="1"/>
      <c r="H504" s="1"/>
      <c r="K504" s="1"/>
      <c r="N504" s="1"/>
      <c r="Q504" s="1"/>
      <c r="T504" s="1"/>
      <c r="W504" s="1"/>
      <c r="Y504" s="1"/>
      <c r="AB504" s="3"/>
    </row>
    <row r="505" ht="15.75" customHeight="1">
      <c r="E505" s="1"/>
      <c r="H505" s="1"/>
      <c r="K505" s="1"/>
      <c r="N505" s="1"/>
      <c r="Q505" s="1"/>
      <c r="T505" s="1"/>
      <c r="W505" s="1"/>
      <c r="Y505" s="1"/>
      <c r="AB505" s="3"/>
    </row>
    <row r="506" ht="15.75" customHeight="1">
      <c r="E506" s="1"/>
      <c r="H506" s="1"/>
      <c r="K506" s="1"/>
      <c r="N506" s="1"/>
      <c r="Q506" s="1"/>
      <c r="T506" s="1"/>
      <c r="W506" s="1"/>
      <c r="Y506" s="1"/>
      <c r="AB506" s="3"/>
    </row>
    <row r="507" ht="15.75" customHeight="1">
      <c r="E507" s="1"/>
      <c r="H507" s="1"/>
      <c r="K507" s="1"/>
      <c r="N507" s="1"/>
      <c r="Q507" s="1"/>
      <c r="T507" s="1"/>
      <c r="W507" s="1"/>
      <c r="Y507" s="1"/>
      <c r="AB507" s="3"/>
    </row>
    <row r="508" ht="15.75" customHeight="1">
      <c r="E508" s="1"/>
      <c r="H508" s="1"/>
      <c r="K508" s="1"/>
      <c r="N508" s="1"/>
      <c r="Q508" s="1"/>
      <c r="T508" s="1"/>
      <c r="W508" s="1"/>
      <c r="Y508" s="1"/>
      <c r="AB508" s="3"/>
    </row>
    <row r="509" ht="15.75" customHeight="1">
      <c r="E509" s="1"/>
      <c r="H509" s="1"/>
      <c r="K509" s="1"/>
      <c r="N509" s="1"/>
      <c r="Q509" s="1"/>
      <c r="T509" s="1"/>
      <c r="W509" s="1"/>
      <c r="Y509" s="1"/>
      <c r="AB509" s="3"/>
    </row>
    <row r="510" ht="15.75" customHeight="1">
      <c r="E510" s="1"/>
      <c r="H510" s="1"/>
      <c r="K510" s="1"/>
      <c r="N510" s="1"/>
      <c r="Q510" s="1"/>
      <c r="T510" s="1"/>
      <c r="W510" s="1"/>
      <c r="Y510" s="1"/>
      <c r="AB510" s="3"/>
    </row>
    <row r="511" ht="15.75" customHeight="1">
      <c r="E511" s="1"/>
      <c r="H511" s="1"/>
      <c r="K511" s="1"/>
      <c r="N511" s="1"/>
      <c r="Q511" s="1"/>
      <c r="T511" s="1"/>
      <c r="W511" s="1"/>
      <c r="Y511" s="1"/>
      <c r="AB511" s="3"/>
    </row>
    <row r="512" ht="15.75" customHeight="1">
      <c r="E512" s="1"/>
      <c r="H512" s="1"/>
      <c r="K512" s="1"/>
      <c r="N512" s="1"/>
      <c r="Q512" s="1"/>
      <c r="T512" s="1"/>
      <c r="W512" s="1"/>
      <c r="Y512" s="1"/>
      <c r="AB512" s="3"/>
    </row>
    <row r="513" ht="15.75" customHeight="1">
      <c r="E513" s="1"/>
      <c r="H513" s="1"/>
      <c r="K513" s="1"/>
      <c r="N513" s="1"/>
      <c r="Q513" s="1"/>
      <c r="T513" s="1"/>
      <c r="W513" s="1"/>
      <c r="Y513" s="1"/>
      <c r="AB513" s="3"/>
    </row>
    <row r="514" ht="15.75" customHeight="1">
      <c r="E514" s="1"/>
      <c r="H514" s="1"/>
      <c r="K514" s="1"/>
      <c r="N514" s="1"/>
      <c r="Q514" s="1"/>
      <c r="T514" s="1"/>
      <c r="W514" s="1"/>
      <c r="Y514" s="1"/>
      <c r="AB514" s="3"/>
    </row>
    <row r="515" ht="15.75" customHeight="1">
      <c r="E515" s="1"/>
      <c r="H515" s="1"/>
      <c r="K515" s="1"/>
      <c r="N515" s="1"/>
      <c r="Q515" s="1"/>
      <c r="T515" s="1"/>
      <c r="W515" s="1"/>
      <c r="Y515" s="1"/>
      <c r="AB515" s="3"/>
    </row>
    <row r="516" ht="15.75" customHeight="1">
      <c r="E516" s="1"/>
      <c r="H516" s="1"/>
      <c r="K516" s="1"/>
      <c r="N516" s="1"/>
      <c r="Q516" s="1"/>
      <c r="T516" s="1"/>
      <c r="W516" s="1"/>
      <c r="Y516" s="1"/>
      <c r="AB516" s="3"/>
    </row>
    <row r="517" ht="15.75" customHeight="1">
      <c r="E517" s="1"/>
      <c r="H517" s="1"/>
      <c r="K517" s="1"/>
      <c r="N517" s="1"/>
      <c r="Q517" s="1"/>
      <c r="T517" s="1"/>
      <c r="W517" s="1"/>
      <c r="Y517" s="1"/>
      <c r="AB517" s="3"/>
    </row>
    <row r="518" ht="15.75" customHeight="1">
      <c r="E518" s="1"/>
      <c r="H518" s="1"/>
      <c r="K518" s="1"/>
      <c r="N518" s="1"/>
      <c r="Q518" s="1"/>
      <c r="T518" s="1"/>
      <c r="W518" s="1"/>
      <c r="Y518" s="1"/>
      <c r="AB518" s="3"/>
    </row>
    <row r="519" ht="15.75" customHeight="1">
      <c r="E519" s="1"/>
      <c r="H519" s="1"/>
      <c r="K519" s="1"/>
      <c r="N519" s="1"/>
      <c r="Q519" s="1"/>
      <c r="T519" s="1"/>
      <c r="W519" s="1"/>
      <c r="Y519" s="1"/>
      <c r="AB519" s="3"/>
    </row>
    <row r="520" ht="15.75" customHeight="1">
      <c r="E520" s="1"/>
      <c r="H520" s="1"/>
      <c r="K520" s="1"/>
      <c r="N520" s="1"/>
      <c r="Q520" s="1"/>
      <c r="T520" s="1"/>
      <c r="W520" s="1"/>
      <c r="Y520" s="1"/>
      <c r="AB520" s="3"/>
    </row>
    <row r="521" ht="15.75" customHeight="1">
      <c r="E521" s="1"/>
      <c r="H521" s="1"/>
      <c r="K521" s="1"/>
      <c r="N521" s="1"/>
      <c r="Q521" s="1"/>
      <c r="T521" s="1"/>
      <c r="W521" s="1"/>
      <c r="Y521" s="1"/>
      <c r="AB521" s="3"/>
    </row>
    <row r="522" ht="15.75" customHeight="1">
      <c r="E522" s="1"/>
      <c r="H522" s="1"/>
      <c r="K522" s="1"/>
      <c r="N522" s="1"/>
      <c r="Q522" s="1"/>
      <c r="T522" s="1"/>
      <c r="W522" s="1"/>
      <c r="Y522" s="1"/>
      <c r="AB522" s="3"/>
    </row>
    <row r="523" ht="15.75" customHeight="1">
      <c r="E523" s="1"/>
      <c r="H523" s="1"/>
      <c r="K523" s="1"/>
      <c r="N523" s="1"/>
      <c r="Q523" s="1"/>
      <c r="T523" s="1"/>
      <c r="W523" s="1"/>
      <c r="Y523" s="1"/>
      <c r="AB523" s="3"/>
    </row>
    <row r="524" ht="15.75" customHeight="1">
      <c r="E524" s="1"/>
      <c r="H524" s="1"/>
      <c r="K524" s="1"/>
      <c r="N524" s="1"/>
      <c r="Q524" s="1"/>
      <c r="T524" s="1"/>
      <c r="W524" s="1"/>
      <c r="Y524" s="1"/>
      <c r="AB524" s="3"/>
    </row>
    <row r="525" ht="15.75" customHeight="1">
      <c r="E525" s="1"/>
      <c r="H525" s="1"/>
      <c r="K525" s="1"/>
      <c r="N525" s="1"/>
      <c r="Q525" s="1"/>
      <c r="T525" s="1"/>
      <c r="W525" s="1"/>
      <c r="Y525" s="1"/>
      <c r="AB525" s="3"/>
    </row>
    <row r="526" ht="15.75" customHeight="1">
      <c r="E526" s="1"/>
      <c r="H526" s="1"/>
      <c r="K526" s="1"/>
      <c r="N526" s="1"/>
      <c r="Q526" s="1"/>
      <c r="T526" s="1"/>
      <c r="W526" s="1"/>
      <c r="Y526" s="1"/>
      <c r="AB526" s="3"/>
    </row>
    <row r="527" ht="15.75" customHeight="1">
      <c r="E527" s="1"/>
      <c r="H527" s="1"/>
      <c r="K527" s="1"/>
      <c r="N527" s="1"/>
      <c r="Q527" s="1"/>
      <c r="T527" s="1"/>
      <c r="W527" s="1"/>
      <c r="Y527" s="1"/>
      <c r="AB527" s="3"/>
    </row>
    <row r="528" ht="15.75" customHeight="1">
      <c r="E528" s="1"/>
      <c r="H528" s="1"/>
      <c r="K528" s="1"/>
      <c r="N528" s="1"/>
      <c r="Q528" s="1"/>
      <c r="T528" s="1"/>
      <c r="W528" s="1"/>
      <c r="Y528" s="1"/>
      <c r="AB528" s="3"/>
    </row>
    <row r="529" ht="15.75" customHeight="1">
      <c r="E529" s="1"/>
      <c r="H529" s="1"/>
      <c r="K529" s="1"/>
      <c r="N529" s="1"/>
      <c r="Q529" s="1"/>
      <c r="T529" s="1"/>
      <c r="W529" s="1"/>
      <c r="Y529" s="1"/>
      <c r="AB529" s="3"/>
    </row>
    <row r="530" ht="15.75" customHeight="1">
      <c r="E530" s="1"/>
      <c r="H530" s="1"/>
      <c r="K530" s="1"/>
      <c r="N530" s="1"/>
      <c r="Q530" s="1"/>
      <c r="T530" s="1"/>
      <c r="W530" s="1"/>
      <c r="Y530" s="1"/>
      <c r="AB530" s="3"/>
    </row>
    <row r="531" ht="15.75" customHeight="1">
      <c r="E531" s="1"/>
      <c r="H531" s="1"/>
      <c r="K531" s="1"/>
      <c r="N531" s="1"/>
      <c r="Q531" s="1"/>
      <c r="T531" s="1"/>
      <c r="W531" s="1"/>
      <c r="Y531" s="1"/>
      <c r="AB531" s="3"/>
    </row>
    <row r="532" ht="15.75" customHeight="1">
      <c r="E532" s="1"/>
      <c r="H532" s="1"/>
      <c r="K532" s="1"/>
      <c r="N532" s="1"/>
      <c r="Q532" s="1"/>
      <c r="T532" s="1"/>
      <c r="W532" s="1"/>
      <c r="Y532" s="1"/>
      <c r="AB532" s="3"/>
    </row>
    <row r="533" ht="15.75" customHeight="1">
      <c r="E533" s="1"/>
      <c r="H533" s="1"/>
      <c r="K533" s="1"/>
      <c r="N533" s="1"/>
      <c r="Q533" s="1"/>
      <c r="T533" s="1"/>
      <c r="W533" s="1"/>
      <c r="Y533" s="1"/>
      <c r="AB533" s="3"/>
    </row>
    <row r="534" ht="15.75" customHeight="1">
      <c r="E534" s="1"/>
      <c r="H534" s="1"/>
      <c r="K534" s="1"/>
      <c r="N534" s="1"/>
      <c r="Q534" s="1"/>
      <c r="T534" s="1"/>
      <c r="W534" s="1"/>
      <c r="Y534" s="1"/>
      <c r="AB534" s="3"/>
    </row>
    <row r="535" ht="15.75" customHeight="1">
      <c r="E535" s="1"/>
      <c r="H535" s="1"/>
      <c r="K535" s="1"/>
      <c r="N535" s="1"/>
      <c r="Q535" s="1"/>
      <c r="T535" s="1"/>
      <c r="W535" s="1"/>
      <c r="Y535" s="1"/>
      <c r="AB535" s="3"/>
    </row>
    <row r="536" ht="15.75" customHeight="1">
      <c r="E536" s="1"/>
      <c r="H536" s="1"/>
      <c r="K536" s="1"/>
      <c r="N536" s="1"/>
      <c r="Q536" s="1"/>
      <c r="T536" s="1"/>
      <c r="W536" s="1"/>
      <c r="Y536" s="1"/>
      <c r="AB536" s="3"/>
    </row>
    <row r="537" ht="15.75" customHeight="1">
      <c r="E537" s="1"/>
      <c r="H537" s="1"/>
      <c r="K537" s="1"/>
      <c r="N537" s="1"/>
      <c r="Q537" s="1"/>
      <c r="T537" s="1"/>
      <c r="W537" s="1"/>
      <c r="Y537" s="1"/>
      <c r="AB537" s="3"/>
    </row>
    <row r="538" ht="15.75" customHeight="1">
      <c r="E538" s="1"/>
      <c r="H538" s="1"/>
      <c r="K538" s="1"/>
      <c r="N538" s="1"/>
      <c r="Q538" s="1"/>
      <c r="T538" s="1"/>
      <c r="W538" s="1"/>
      <c r="Y538" s="1"/>
      <c r="AB538" s="3"/>
    </row>
    <row r="539" ht="15.75" customHeight="1">
      <c r="E539" s="1"/>
      <c r="H539" s="1"/>
      <c r="K539" s="1"/>
      <c r="N539" s="1"/>
      <c r="Q539" s="1"/>
      <c r="T539" s="1"/>
      <c r="W539" s="1"/>
      <c r="Y539" s="1"/>
      <c r="AB539" s="3"/>
    </row>
    <row r="540" ht="15.75" customHeight="1">
      <c r="E540" s="1"/>
      <c r="H540" s="1"/>
      <c r="K540" s="1"/>
      <c r="N540" s="1"/>
      <c r="Q540" s="1"/>
      <c r="T540" s="1"/>
      <c r="W540" s="1"/>
      <c r="Y540" s="1"/>
      <c r="AB540" s="3"/>
    </row>
    <row r="541" ht="15.75" customHeight="1">
      <c r="E541" s="1"/>
      <c r="H541" s="1"/>
      <c r="K541" s="1"/>
      <c r="N541" s="1"/>
      <c r="Q541" s="1"/>
      <c r="T541" s="1"/>
      <c r="W541" s="1"/>
      <c r="Y541" s="1"/>
      <c r="AB541" s="3"/>
    </row>
    <row r="542" ht="15.75" customHeight="1">
      <c r="E542" s="1"/>
      <c r="H542" s="1"/>
      <c r="K542" s="1"/>
      <c r="N542" s="1"/>
      <c r="Q542" s="1"/>
      <c r="T542" s="1"/>
      <c r="W542" s="1"/>
      <c r="Y542" s="1"/>
      <c r="AB542" s="3"/>
    </row>
    <row r="543" ht="15.75" customHeight="1">
      <c r="E543" s="1"/>
      <c r="H543" s="1"/>
      <c r="K543" s="1"/>
      <c r="N543" s="1"/>
      <c r="Q543" s="1"/>
      <c r="T543" s="1"/>
      <c r="W543" s="1"/>
      <c r="Y543" s="1"/>
      <c r="AB543" s="3"/>
    </row>
    <row r="544" ht="15.75" customHeight="1">
      <c r="E544" s="1"/>
      <c r="H544" s="1"/>
      <c r="K544" s="1"/>
      <c r="N544" s="1"/>
      <c r="Q544" s="1"/>
      <c r="T544" s="1"/>
      <c r="W544" s="1"/>
      <c r="Y544" s="1"/>
      <c r="AB544" s="3"/>
    </row>
    <row r="545" ht="15.75" customHeight="1">
      <c r="E545" s="1"/>
      <c r="H545" s="1"/>
      <c r="K545" s="1"/>
      <c r="N545" s="1"/>
      <c r="Q545" s="1"/>
      <c r="T545" s="1"/>
      <c r="W545" s="1"/>
      <c r="Y545" s="1"/>
      <c r="AB545" s="3"/>
    </row>
    <row r="546" ht="15.75" customHeight="1">
      <c r="E546" s="1"/>
      <c r="H546" s="1"/>
      <c r="K546" s="1"/>
      <c r="N546" s="1"/>
      <c r="Q546" s="1"/>
      <c r="T546" s="1"/>
      <c r="W546" s="1"/>
      <c r="Y546" s="1"/>
      <c r="AB546" s="3"/>
    </row>
    <row r="547" ht="15.75" customHeight="1">
      <c r="E547" s="1"/>
      <c r="H547" s="1"/>
      <c r="K547" s="1"/>
      <c r="N547" s="1"/>
      <c r="Q547" s="1"/>
      <c r="T547" s="1"/>
      <c r="W547" s="1"/>
      <c r="Y547" s="1"/>
      <c r="AB547" s="3"/>
    </row>
    <row r="548" ht="15.75" customHeight="1">
      <c r="E548" s="1"/>
      <c r="H548" s="1"/>
      <c r="K548" s="1"/>
      <c r="N548" s="1"/>
      <c r="Q548" s="1"/>
      <c r="T548" s="1"/>
      <c r="W548" s="1"/>
      <c r="Y548" s="1"/>
      <c r="AB548" s="3"/>
    </row>
    <row r="549" ht="15.75" customHeight="1">
      <c r="E549" s="1"/>
      <c r="H549" s="1"/>
      <c r="K549" s="1"/>
      <c r="N549" s="1"/>
      <c r="Q549" s="1"/>
      <c r="T549" s="1"/>
      <c r="W549" s="1"/>
      <c r="Y549" s="1"/>
      <c r="AB549" s="3"/>
    </row>
    <row r="550" ht="15.75" customHeight="1">
      <c r="E550" s="1"/>
      <c r="H550" s="1"/>
      <c r="K550" s="1"/>
      <c r="N550" s="1"/>
      <c r="Q550" s="1"/>
      <c r="T550" s="1"/>
      <c r="W550" s="1"/>
      <c r="Y550" s="1"/>
      <c r="AB550" s="3"/>
    </row>
    <row r="551" ht="15.75" customHeight="1">
      <c r="E551" s="1"/>
      <c r="H551" s="1"/>
      <c r="K551" s="1"/>
      <c r="N551" s="1"/>
      <c r="Q551" s="1"/>
      <c r="T551" s="1"/>
      <c r="W551" s="1"/>
      <c r="Y551" s="1"/>
      <c r="AB551" s="3"/>
    </row>
    <row r="552" ht="15.75" customHeight="1">
      <c r="E552" s="1"/>
      <c r="H552" s="1"/>
      <c r="K552" s="1"/>
      <c r="N552" s="1"/>
      <c r="Q552" s="1"/>
      <c r="T552" s="1"/>
      <c r="W552" s="1"/>
      <c r="Y552" s="1"/>
      <c r="AB552" s="3"/>
    </row>
    <row r="553" ht="15.75" customHeight="1">
      <c r="E553" s="1"/>
      <c r="H553" s="1"/>
      <c r="K553" s="1"/>
      <c r="N553" s="1"/>
      <c r="Q553" s="1"/>
      <c r="T553" s="1"/>
      <c r="W553" s="1"/>
      <c r="Y553" s="1"/>
      <c r="AB553" s="3"/>
    </row>
    <row r="554" ht="15.75" customHeight="1">
      <c r="E554" s="1"/>
      <c r="H554" s="1"/>
      <c r="K554" s="1"/>
      <c r="N554" s="1"/>
      <c r="Q554" s="1"/>
      <c r="T554" s="1"/>
      <c r="W554" s="1"/>
      <c r="Y554" s="1"/>
      <c r="AB554" s="3"/>
    </row>
    <row r="555" ht="15.75" customHeight="1">
      <c r="E555" s="1"/>
      <c r="H555" s="1"/>
      <c r="K555" s="1"/>
      <c r="N555" s="1"/>
      <c r="Q555" s="1"/>
      <c r="T555" s="1"/>
      <c r="W555" s="1"/>
      <c r="Y555" s="1"/>
      <c r="AB555" s="3"/>
    </row>
    <row r="556" ht="15.75" customHeight="1">
      <c r="E556" s="1"/>
      <c r="H556" s="1"/>
      <c r="K556" s="1"/>
      <c r="N556" s="1"/>
      <c r="Q556" s="1"/>
      <c r="T556" s="1"/>
      <c r="W556" s="1"/>
      <c r="Y556" s="1"/>
      <c r="AB556" s="3"/>
    </row>
    <row r="557" ht="15.75" customHeight="1">
      <c r="E557" s="1"/>
      <c r="H557" s="1"/>
      <c r="K557" s="1"/>
      <c r="N557" s="1"/>
      <c r="Q557" s="1"/>
      <c r="T557" s="1"/>
      <c r="W557" s="1"/>
      <c r="Y557" s="1"/>
      <c r="AB557" s="3"/>
    </row>
    <row r="558" ht="15.75" customHeight="1">
      <c r="E558" s="1"/>
      <c r="H558" s="1"/>
      <c r="K558" s="1"/>
      <c r="N558" s="1"/>
      <c r="Q558" s="1"/>
      <c r="T558" s="1"/>
      <c r="W558" s="1"/>
      <c r="Y558" s="1"/>
      <c r="AB558" s="3"/>
    </row>
    <row r="559" ht="15.75" customHeight="1">
      <c r="E559" s="1"/>
      <c r="H559" s="1"/>
      <c r="K559" s="1"/>
      <c r="N559" s="1"/>
      <c r="Q559" s="1"/>
      <c r="T559" s="1"/>
      <c r="W559" s="1"/>
      <c r="Y559" s="1"/>
      <c r="AB559" s="3"/>
    </row>
    <row r="560" ht="15.75" customHeight="1">
      <c r="E560" s="1"/>
      <c r="H560" s="1"/>
      <c r="K560" s="1"/>
      <c r="N560" s="1"/>
      <c r="Q560" s="1"/>
      <c r="T560" s="1"/>
      <c r="W560" s="1"/>
      <c r="Y560" s="1"/>
      <c r="AB560" s="3"/>
    </row>
    <row r="561" ht="15.75" customHeight="1">
      <c r="E561" s="1"/>
      <c r="H561" s="1"/>
      <c r="K561" s="1"/>
      <c r="N561" s="1"/>
      <c r="Q561" s="1"/>
      <c r="T561" s="1"/>
      <c r="W561" s="1"/>
      <c r="Y561" s="1"/>
      <c r="AB561" s="3"/>
    </row>
    <row r="562" ht="15.75" customHeight="1">
      <c r="E562" s="1"/>
      <c r="H562" s="1"/>
      <c r="K562" s="1"/>
      <c r="N562" s="1"/>
      <c r="Q562" s="1"/>
      <c r="T562" s="1"/>
      <c r="W562" s="1"/>
      <c r="Y562" s="1"/>
      <c r="AB562" s="3"/>
    </row>
    <row r="563" ht="15.75" customHeight="1">
      <c r="E563" s="1"/>
      <c r="H563" s="1"/>
      <c r="K563" s="1"/>
      <c r="N563" s="1"/>
      <c r="Q563" s="1"/>
      <c r="T563" s="1"/>
      <c r="W563" s="1"/>
      <c r="Y563" s="1"/>
      <c r="AB563" s="3"/>
    </row>
    <row r="564" ht="15.75" customHeight="1">
      <c r="E564" s="1"/>
      <c r="H564" s="1"/>
      <c r="K564" s="1"/>
      <c r="N564" s="1"/>
      <c r="Q564" s="1"/>
      <c r="T564" s="1"/>
      <c r="W564" s="1"/>
      <c r="Y564" s="1"/>
      <c r="AB564" s="3"/>
    </row>
    <row r="565" ht="15.75" customHeight="1">
      <c r="E565" s="1"/>
      <c r="H565" s="1"/>
      <c r="K565" s="1"/>
      <c r="N565" s="1"/>
      <c r="Q565" s="1"/>
      <c r="T565" s="1"/>
      <c r="W565" s="1"/>
      <c r="Y565" s="1"/>
      <c r="AB565" s="3"/>
    </row>
    <row r="566" ht="15.75" customHeight="1">
      <c r="E566" s="1"/>
      <c r="H566" s="1"/>
      <c r="K566" s="1"/>
      <c r="N566" s="1"/>
      <c r="Q566" s="1"/>
      <c r="T566" s="1"/>
      <c r="W566" s="1"/>
      <c r="Y566" s="1"/>
      <c r="AB566" s="3"/>
    </row>
    <row r="567" ht="15.75" customHeight="1">
      <c r="E567" s="1"/>
      <c r="H567" s="1"/>
      <c r="K567" s="1"/>
      <c r="N567" s="1"/>
      <c r="Q567" s="1"/>
      <c r="T567" s="1"/>
      <c r="W567" s="1"/>
      <c r="Y567" s="1"/>
      <c r="AB567" s="3"/>
    </row>
    <row r="568" ht="15.75" customHeight="1">
      <c r="E568" s="1"/>
      <c r="H568" s="1"/>
      <c r="K568" s="1"/>
      <c r="N568" s="1"/>
      <c r="Q568" s="1"/>
      <c r="T568" s="1"/>
      <c r="W568" s="1"/>
      <c r="Y568" s="1"/>
      <c r="AB568" s="3"/>
    </row>
    <row r="569" ht="15.75" customHeight="1">
      <c r="E569" s="1"/>
      <c r="H569" s="1"/>
      <c r="K569" s="1"/>
      <c r="N569" s="1"/>
      <c r="Q569" s="1"/>
      <c r="T569" s="1"/>
      <c r="W569" s="1"/>
      <c r="Y569" s="1"/>
      <c r="AB569" s="3"/>
    </row>
    <row r="570" ht="15.75" customHeight="1">
      <c r="E570" s="1"/>
      <c r="H570" s="1"/>
      <c r="K570" s="1"/>
      <c r="N570" s="1"/>
      <c r="Q570" s="1"/>
      <c r="T570" s="1"/>
      <c r="W570" s="1"/>
      <c r="Y570" s="1"/>
      <c r="AB570" s="3"/>
    </row>
    <row r="571" ht="15.75" customHeight="1">
      <c r="E571" s="1"/>
      <c r="H571" s="1"/>
      <c r="K571" s="1"/>
      <c r="N571" s="1"/>
      <c r="Q571" s="1"/>
      <c r="T571" s="1"/>
      <c r="W571" s="1"/>
      <c r="Y571" s="1"/>
      <c r="AB571" s="3"/>
    </row>
    <row r="572" ht="15.75" customHeight="1">
      <c r="E572" s="1"/>
      <c r="H572" s="1"/>
      <c r="K572" s="1"/>
      <c r="N572" s="1"/>
      <c r="Q572" s="1"/>
      <c r="T572" s="1"/>
      <c r="W572" s="1"/>
      <c r="Y572" s="1"/>
      <c r="AB572" s="3"/>
    </row>
    <row r="573" ht="15.75" customHeight="1">
      <c r="E573" s="1"/>
      <c r="H573" s="1"/>
      <c r="K573" s="1"/>
      <c r="N573" s="1"/>
      <c r="Q573" s="1"/>
      <c r="T573" s="1"/>
      <c r="W573" s="1"/>
      <c r="Y573" s="1"/>
      <c r="AB573" s="3"/>
    </row>
    <row r="574" ht="15.75" customHeight="1">
      <c r="E574" s="1"/>
      <c r="H574" s="1"/>
      <c r="K574" s="1"/>
      <c r="N574" s="1"/>
      <c r="Q574" s="1"/>
      <c r="T574" s="1"/>
      <c r="W574" s="1"/>
      <c r="Y574" s="1"/>
      <c r="AB574" s="3"/>
    </row>
    <row r="575" ht="15.75" customHeight="1">
      <c r="E575" s="1"/>
      <c r="H575" s="1"/>
      <c r="K575" s="1"/>
      <c r="N575" s="1"/>
      <c r="Q575" s="1"/>
      <c r="T575" s="1"/>
      <c r="W575" s="1"/>
      <c r="Y575" s="1"/>
      <c r="AB575" s="3"/>
    </row>
    <row r="576" ht="15.75" customHeight="1">
      <c r="E576" s="1"/>
      <c r="H576" s="1"/>
      <c r="K576" s="1"/>
      <c r="N576" s="1"/>
      <c r="Q576" s="1"/>
      <c r="T576" s="1"/>
      <c r="W576" s="1"/>
      <c r="Y576" s="1"/>
      <c r="AB576" s="3"/>
    </row>
    <row r="577" ht="15.75" customHeight="1">
      <c r="E577" s="1"/>
      <c r="H577" s="1"/>
      <c r="K577" s="1"/>
      <c r="N577" s="1"/>
      <c r="Q577" s="1"/>
      <c r="T577" s="1"/>
      <c r="W577" s="1"/>
      <c r="Y577" s="1"/>
      <c r="AB577" s="3"/>
    </row>
    <row r="578" ht="15.75" customHeight="1">
      <c r="E578" s="1"/>
      <c r="H578" s="1"/>
      <c r="K578" s="1"/>
      <c r="N578" s="1"/>
      <c r="Q578" s="1"/>
      <c r="T578" s="1"/>
      <c r="W578" s="1"/>
      <c r="Y578" s="1"/>
      <c r="AB578" s="3"/>
    </row>
    <row r="579" ht="15.75" customHeight="1">
      <c r="E579" s="1"/>
      <c r="H579" s="1"/>
      <c r="K579" s="1"/>
      <c r="N579" s="1"/>
      <c r="Q579" s="1"/>
      <c r="T579" s="1"/>
      <c r="W579" s="1"/>
      <c r="Y579" s="1"/>
      <c r="AB579" s="3"/>
    </row>
    <row r="580" ht="15.75" customHeight="1">
      <c r="E580" s="1"/>
      <c r="H580" s="1"/>
      <c r="K580" s="1"/>
      <c r="N580" s="1"/>
      <c r="Q580" s="1"/>
      <c r="T580" s="1"/>
      <c r="W580" s="1"/>
      <c r="Y580" s="1"/>
      <c r="AB580" s="3"/>
    </row>
    <row r="581" ht="15.75" customHeight="1">
      <c r="E581" s="1"/>
      <c r="H581" s="1"/>
      <c r="K581" s="1"/>
      <c r="N581" s="1"/>
      <c r="Q581" s="1"/>
      <c r="T581" s="1"/>
      <c r="W581" s="1"/>
      <c r="Y581" s="1"/>
      <c r="AB581" s="3"/>
    </row>
    <row r="582" ht="15.75" customHeight="1">
      <c r="E582" s="1"/>
      <c r="H582" s="1"/>
      <c r="K582" s="1"/>
      <c r="N582" s="1"/>
      <c r="Q582" s="1"/>
      <c r="T582" s="1"/>
      <c r="W582" s="1"/>
      <c r="Y582" s="1"/>
      <c r="AB582" s="3"/>
    </row>
    <row r="583" ht="15.75" customHeight="1">
      <c r="E583" s="1"/>
      <c r="H583" s="1"/>
      <c r="K583" s="1"/>
      <c r="N583" s="1"/>
      <c r="Q583" s="1"/>
      <c r="T583" s="1"/>
      <c r="W583" s="1"/>
      <c r="Y583" s="1"/>
      <c r="AB583" s="3"/>
    </row>
    <row r="584" ht="15.75" customHeight="1">
      <c r="E584" s="1"/>
      <c r="H584" s="1"/>
      <c r="K584" s="1"/>
      <c r="N584" s="1"/>
      <c r="Q584" s="1"/>
      <c r="T584" s="1"/>
      <c r="W584" s="1"/>
      <c r="Y584" s="1"/>
      <c r="AB584" s="3"/>
    </row>
    <row r="585" ht="15.75" customHeight="1">
      <c r="E585" s="1"/>
      <c r="H585" s="1"/>
      <c r="K585" s="1"/>
      <c r="N585" s="1"/>
      <c r="Q585" s="1"/>
      <c r="T585" s="1"/>
      <c r="W585" s="1"/>
      <c r="Y585" s="1"/>
      <c r="AB585" s="3"/>
    </row>
    <row r="586" ht="15.75" customHeight="1">
      <c r="E586" s="1"/>
      <c r="H586" s="1"/>
      <c r="K586" s="1"/>
      <c r="N586" s="1"/>
      <c r="Q586" s="1"/>
      <c r="T586" s="1"/>
      <c r="W586" s="1"/>
      <c r="Y586" s="1"/>
      <c r="AB586" s="3"/>
    </row>
    <row r="587" ht="15.75" customHeight="1">
      <c r="E587" s="1"/>
      <c r="H587" s="1"/>
      <c r="K587" s="1"/>
      <c r="N587" s="1"/>
      <c r="Q587" s="1"/>
      <c r="T587" s="1"/>
      <c r="W587" s="1"/>
      <c r="Y587" s="1"/>
      <c r="AB587" s="3"/>
    </row>
    <row r="588" ht="15.75" customHeight="1">
      <c r="E588" s="1"/>
      <c r="H588" s="1"/>
      <c r="K588" s="1"/>
      <c r="N588" s="1"/>
      <c r="Q588" s="1"/>
      <c r="T588" s="1"/>
      <c r="W588" s="1"/>
      <c r="Y588" s="1"/>
      <c r="AB588" s="3"/>
    </row>
    <row r="589" ht="15.75" customHeight="1">
      <c r="E589" s="1"/>
      <c r="H589" s="1"/>
      <c r="K589" s="1"/>
      <c r="N589" s="1"/>
      <c r="Q589" s="1"/>
      <c r="T589" s="1"/>
      <c r="W589" s="1"/>
      <c r="Y589" s="1"/>
      <c r="AB589" s="3"/>
    </row>
    <row r="590" ht="15.75" customHeight="1">
      <c r="E590" s="1"/>
      <c r="H590" s="1"/>
      <c r="K590" s="1"/>
      <c r="N590" s="1"/>
      <c r="Q590" s="1"/>
      <c r="T590" s="1"/>
      <c r="W590" s="1"/>
      <c r="Y590" s="1"/>
      <c r="AB590" s="3"/>
    </row>
    <row r="591" ht="15.75" customHeight="1">
      <c r="E591" s="1"/>
      <c r="H591" s="1"/>
      <c r="K591" s="1"/>
      <c r="N591" s="1"/>
      <c r="Q591" s="1"/>
      <c r="T591" s="1"/>
      <c r="W591" s="1"/>
      <c r="Y591" s="1"/>
      <c r="AB591" s="3"/>
    </row>
    <row r="592" ht="15.75" customHeight="1">
      <c r="E592" s="1"/>
      <c r="H592" s="1"/>
      <c r="K592" s="1"/>
      <c r="N592" s="1"/>
      <c r="Q592" s="1"/>
      <c r="T592" s="1"/>
      <c r="W592" s="1"/>
      <c r="Y592" s="1"/>
      <c r="AB592" s="3"/>
    </row>
    <row r="593" ht="15.75" customHeight="1">
      <c r="E593" s="1"/>
      <c r="H593" s="1"/>
      <c r="K593" s="1"/>
      <c r="N593" s="1"/>
      <c r="Q593" s="1"/>
      <c r="T593" s="1"/>
      <c r="W593" s="1"/>
      <c r="Y593" s="1"/>
      <c r="AB593" s="3"/>
    </row>
    <row r="594" ht="15.75" customHeight="1">
      <c r="E594" s="1"/>
      <c r="H594" s="1"/>
      <c r="K594" s="1"/>
      <c r="N594" s="1"/>
      <c r="Q594" s="1"/>
      <c r="T594" s="1"/>
      <c r="W594" s="1"/>
      <c r="Y594" s="1"/>
      <c r="AB594" s="3"/>
    </row>
    <row r="595" ht="15.75" customHeight="1">
      <c r="E595" s="1"/>
      <c r="H595" s="1"/>
      <c r="K595" s="1"/>
      <c r="N595" s="1"/>
      <c r="Q595" s="1"/>
      <c r="T595" s="1"/>
      <c r="W595" s="1"/>
      <c r="Y595" s="1"/>
      <c r="AB595" s="3"/>
    </row>
    <row r="596" ht="15.75" customHeight="1">
      <c r="E596" s="1"/>
      <c r="H596" s="1"/>
      <c r="K596" s="1"/>
      <c r="N596" s="1"/>
      <c r="Q596" s="1"/>
      <c r="T596" s="1"/>
      <c r="W596" s="1"/>
      <c r="Y596" s="1"/>
      <c r="AB596" s="3"/>
    </row>
    <row r="597" ht="15.75" customHeight="1">
      <c r="E597" s="1"/>
      <c r="H597" s="1"/>
      <c r="K597" s="1"/>
      <c r="N597" s="1"/>
      <c r="Q597" s="1"/>
      <c r="T597" s="1"/>
      <c r="W597" s="1"/>
      <c r="Y597" s="1"/>
      <c r="AB597" s="3"/>
    </row>
    <row r="598" ht="15.75" customHeight="1">
      <c r="E598" s="1"/>
      <c r="H598" s="1"/>
      <c r="K598" s="1"/>
      <c r="N598" s="1"/>
      <c r="Q598" s="1"/>
      <c r="T598" s="1"/>
      <c r="W598" s="1"/>
      <c r="Y598" s="1"/>
      <c r="AB598" s="3"/>
    </row>
    <row r="599" ht="15.75" customHeight="1">
      <c r="E599" s="1"/>
      <c r="H599" s="1"/>
      <c r="K599" s="1"/>
      <c r="N599" s="1"/>
      <c r="Q599" s="1"/>
      <c r="T599" s="1"/>
      <c r="W599" s="1"/>
      <c r="Y599" s="1"/>
      <c r="AB599" s="3"/>
    </row>
    <row r="600" ht="15.75" customHeight="1">
      <c r="E600" s="1"/>
      <c r="H600" s="1"/>
      <c r="K600" s="1"/>
      <c r="N600" s="1"/>
      <c r="Q600" s="1"/>
      <c r="T600" s="1"/>
      <c r="W600" s="1"/>
      <c r="Y600" s="1"/>
      <c r="AB600" s="3"/>
    </row>
    <row r="601" ht="15.75" customHeight="1">
      <c r="E601" s="1"/>
      <c r="H601" s="1"/>
      <c r="K601" s="1"/>
      <c r="N601" s="1"/>
      <c r="Q601" s="1"/>
      <c r="T601" s="1"/>
      <c r="W601" s="1"/>
      <c r="Y601" s="1"/>
      <c r="AB601" s="3"/>
    </row>
    <row r="602" ht="15.75" customHeight="1">
      <c r="E602" s="1"/>
      <c r="H602" s="1"/>
      <c r="K602" s="1"/>
      <c r="N602" s="1"/>
      <c r="Q602" s="1"/>
      <c r="T602" s="1"/>
      <c r="W602" s="1"/>
      <c r="Y602" s="1"/>
      <c r="AB602" s="3"/>
    </row>
    <row r="603" ht="15.75" customHeight="1">
      <c r="E603" s="1"/>
      <c r="H603" s="1"/>
      <c r="K603" s="1"/>
      <c r="N603" s="1"/>
      <c r="Q603" s="1"/>
      <c r="T603" s="1"/>
      <c r="W603" s="1"/>
      <c r="Y603" s="1"/>
      <c r="AB603" s="3"/>
    </row>
    <row r="604" ht="15.75" customHeight="1">
      <c r="E604" s="1"/>
      <c r="H604" s="1"/>
      <c r="K604" s="1"/>
      <c r="N604" s="1"/>
      <c r="Q604" s="1"/>
      <c r="T604" s="1"/>
      <c r="W604" s="1"/>
      <c r="Y604" s="1"/>
      <c r="AB604" s="3"/>
    </row>
    <row r="605" ht="15.75" customHeight="1">
      <c r="E605" s="1"/>
      <c r="H605" s="1"/>
      <c r="K605" s="1"/>
      <c r="N605" s="1"/>
      <c r="Q605" s="1"/>
      <c r="T605" s="1"/>
      <c r="W605" s="1"/>
      <c r="Y605" s="1"/>
      <c r="AB605" s="3"/>
    </row>
    <row r="606" ht="15.75" customHeight="1">
      <c r="E606" s="1"/>
      <c r="H606" s="1"/>
      <c r="K606" s="1"/>
      <c r="N606" s="1"/>
      <c r="Q606" s="1"/>
      <c r="T606" s="1"/>
      <c r="W606" s="1"/>
      <c r="Y606" s="1"/>
      <c r="AB606" s="3"/>
    </row>
    <row r="607" ht="15.75" customHeight="1">
      <c r="E607" s="1"/>
      <c r="H607" s="1"/>
      <c r="K607" s="1"/>
      <c r="N607" s="1"/>
      <c r="Q607" s="1"/>
      <c r="T607" s="1"/>
      <c r="W607" s="1"/>
      <c r="Y607" s="1"/>
      <c r="AB607" s="3"/>
    </row>
    <row r="608" ht="15.75" customHeight="1">
      <c r="E608" s="1"/>
      <c r="H608" s="1"/>
      <c r="K608" s="1"/>
      <c r="N608" s="1"/>
      <c r="Q608" s="1"/>
      <c r="T608" s="1"/>
      <c r="W608" s="1"/>
      <c r="Y608" s="1"/>
      <c r="AB608" s="3"/>
    </row>
    <row r="609" ht="15.75" customHeight="1">
      <c r="E609" s="1"/>
      <c r="H609" s="1"/>
      <c r="K609" s="1"/>
      <c r="N609" s="1"/>
      <c r="Q609" s="1"/>
      <c r="T609" s="1"/>
      <c r="W609" s="1"/>
      <c r="Y609" s="1"/>
      <c r="AB609" s="3"/>
    </row>
    <row r="610" ht="15.75" customHeight="1">
      <c r="E610" s="1"/>
      <c r="H610" s="1"/>
      <c r="K610" s="1"/>
      <c r="N610" s="1"/>
      <c r="Q610" s="1"/>
      <c r="T610" s="1"/>
      <c r="W610" s="1"/>
      <c r="Y610" s="1"/>
      <c r="AB610" s="3"/>
    </row>
    <row r="611" ht="15.75" customHeight="1">
      <c r="E611" s="1"/>
      <c r="H611" s="1"/>
      <c r="K611" s="1"/>
      <c r="N611" s="1"/>
      <c r="Q611" s="1"/>
      <c r="T611" s="1"/>
      <c r="W611" s="1"/>
      <c r="Y611" s="1"/>
      <c r="AB611" s="3"/>
    </row>
    <row r="612" ht="15.75" customHeight="1">
      <c r="E612" s="1"/>
      <c r="H612" s="1"/>
      <c r="K612" s="1"/>
      <c r="N612" s="1"/>
      <c r="Q612" s="1"/>
      <c r="T612" s="1"/>
      <c r="W612" s="1"/>
      <c r="Y612" s="1"/>
      <c r="AB612" s="3"/>
    </row>
    <row r="613" ht="15.75" customHeight="1">
      <c r="E613" s="1"/>
      <c r="H613" s="1"/>
      <c r="K613" s="1"/>
      <c r="N613" s="1"/>
      <c r="Q613" s="1"/>
      <c r="T613" s="1"/>
      <c r="W613" s="1"/>
      <c r="Y613" s="1"/>
      <c r="AB613" s="3"/>
    </row>
    <row r="614" ht="15.75" customHeight="1">
      <c r="E614" s="1"/>
      <c r="H614" s="1"/>
      <c r="K614" s="1"/>
      <c r="N614" s="1"/>
      <c r="Q614" s="1"/>
      <c r="T614" s="1"/>
      <c r="W614" s="1"/>
      <c r="Y614" s="1"/>
      <c r="AB614" s="3"/>
    </row>
    <row r="615" ht="15.75" customHeight="1">
      <c r="E615" s="1"/>
      <c r="H615" s="1"/>
      <c r="K615" s="1"/>
      <c r="N615" s="1"/>
      <c r="Q615" s="1"/>
      <c r="T615" s="1"/>
      <c r="W615" s="1"/>
      <c r="Y615" s="1"/>
      <c r="AB615" s="3"/>
    </row>
    <row r="616" ht="15.75" customHeight="1">
      <c r="E616" s="1"/>
      <c r="H616" s="1"/>
      <c r="K616" s="1"/>
      <c r="N616" s="1"/>
      <c r="Q616" s="1"/>
      <c r="T616" s="1"/>
      <c r="W616" s="1"/>
      <c r="Y616" s="1"/>
      <c r="AB616" s="3"/>
    </row>
    <row r="617" ht="15.75" customHeight="1">
      <c r="E617" s="1"/>
      <c r="H617" s="1"/>
      <c r="K617" s="1"/>
      <c r="N617" s="1"/>
      <c r="Q617" s="1"/>
      <c r="T617" s="1"/>
      <c r="W617" s="1"/>
      <c r="Y617" s="1"/>
      <c r="AB617" s="3"/>
    </row>
    <row r="618" ht="15.75" customHeight="1">
      <c r="E618" s="1"/>
      <c r="H618" s="1"/>
      <c r="K618" s="1"/>
      <c r="N618" s="1"/>
      <c r="Q618" s="1"/>
      <c r="T618" s="1"/>
      <c r="W618" s="1"/>
      <c r="Y618" s="1"/>
      <c r="AB618" s="3"/>
    </row>
    <row r="619" ht="15.75" customHeight="1">
      <c r="E619" s="1"/>
      <c r="H619" s="1"/>
      <c r="K619" s="1"/>
      <c r="N619" s="1"/>
      <c r="Q619" s="1"/>
      <c r="T619" s="1"/>
      <c r="W619" s="1"/>
      <c r="Y619" s="1"/>
      <c r="AB619" s="3"/>
    </row>
    <row r="620" ht="15.75" customHeight="1">
      <c r="E620" s="1"/>
      <c r="H620" s="1"/>
      <c r="K620" s="1"/>
      <c r="N620" s="1"/>
      <c r="Q620" s="1"/>
      <c r="T620" s="1"/>
      <c r="W620" s="1"/>
      <c r="Y620" s="1"/>
      <c r="AB620" s="3"/>
    </row>
    <row r="621" ht="15.75" customHeight="1">
      <c r="E621" s="1"/>
      <c r="H621" s="1"/>
      <c r="K621" s="1"/>
      <c r="N621" s="1"/>
      <c r="Q621" s="1"/>
      <c r="T621" s="1"/>
      <c r="W621" s="1"/>
      <c r="Y621" s="1"/>
      <c r="AB621" s="3"/>
    </row>
    <row r="622" ht="15.75" customHeight="1">
      <c r="E622" s="1"/>
      <c r="H622" s="1"/>
      <c r="K622" s="1"/>
      <c r="N622" s="1"/>
      <c r="Q622" s="1"/>
      <c r="T622" s="1"/>
      <c r="W622" s="1"/>
      <c r="Y622" s="1"/>
      <c r="AB622" s="3"/>
    </row>
    <row r="623" ht="15.75" customHeight="1">
      <c r="E623" s="1"/>
      <c r="H623" s="1"/>
      <c r="K623" s="1"/>
      <c r="N623" s="1"/>
      <c r="Q623" s="1"/>
      <c r="T623" s="1"/>
      <c r="W623" s="1"/>
      <c r="Y623" s="1"/>
      <c r="AB623" s="3"/>
    </row>
    <row r="624" ht="15.75" customHeight="1">
      <c r="E624" s="1"/>
      <c r="H624" s="1"/>
      <c r="K624" s="1"/>
      <c r="N624" s="1"/>
      <c r="Q624" s="1"/>
      <c r="T624" s="1"/>
      <c r="W624" s="1"/>
      <c r="Y624" s="1"/>
      <c r="AB624" s="3"/>
    </row>
    <row r="625" ht="15.75" customHeight="1">
      <c r="E625" s="1"/>
      <c r="H625" s="1"/>
      <c r="K625" s="1"/>
      <c r="N625" s="1"/>
      <c r="Q625" s="1"/>
      <c r="T625" s="1"/>
      <c r="W625" s="1"/>
      <c r="Y625" s="1"/>
      <c r="AB625" s="3"/>
    </row>
    <row r="626" ht="15.75" customHeight="1">
      <c r="E626" s="1"/>
      <c r="H626" s="1"/>
      <c r="K626" s="1"/>
      <c r="N626" s="1"/>
      <c r="Q626" s="1"/>
      <c r="T626" s="1"/>
      <c r="W626" s="1"/>
      <c r="Y626" s="1"/>
      <c r="AB626" s="3"/>
    </row>
    <row r="627" ht="15.75" customHeight="1">
      <c r="E627" s="1"/>
      <c r="H627" s="1"/>
      <c r="K627" s="1"/>
      <c r="N627" s="1"/>
      <c r="Q627" s="1"/>
      <c r="T627" s="1"/>
      <c r="W627" s="1"/>
      <c r="Y627" s="1"/>
      <c r="AB627" s="3"/>
    </row>
    <row r="628" ht="15.75" customHeight="1">
      <c r="E628" s="1"/>
      <c r="H628" s="1"/>
      <c r="K628" s="1"/>
      <c r="N628" s="1"/>
      <c r="Q628" s="1"/>
      <c r="T628" s="1"/>
      <c r="W628" s="1"/>
      <c r="Y628" s="1"/>
      <c r="AB628" s="3"/>
    </row>
    <row r="629" ht="15.75" customHeight="1">
      <c r="E629" s="1"/>
      <c r="H629" s="1"/>
      <c r="K629" s="1"/>
      <c r="N629" s="1"/>
      <c r="Q629" s="1"/>
      <c r="T629" s="1"/>
      <c r="W629" s="1"/>
      <c r="Y629" s="1"/>
      <c r="AB629" s="3"/>
    </row>
    <row r="630" ht="15.75" customHeight="1">
      <c r="E630" s="1"/>
      <c r="H630" s="1"/>
      <c r="K630" s="1"/>
      <c r="N630" s="1"/>
      <c r="Q630" s="1"/>
      <c r="T630" s="1"/>
      <c r="W630" s="1"/>
      <c r="Y630" s="1"/>
      <c r="AB630" s="3"/>
    </row>
    <row r="631" ht="15.75" customHeight="1">
      <c r="E631" s="1"/>
      <c r="H631" s="1"/>
      <c r="K631" s="1"/>
      <c r="N631" s="1"/>
      <c r="Q631" s="1"/>
      <c r="T631" s="1"/>
      <c r="W631" s="1"/>
      <c r="Y631" s="1"/>
      <c r="AB631" s="3"/>
    </row>
    <row r="632" ht="15.75" customHeight="1">
      <c r="E632" s="1"/>
      <c r="H632" s="1"/>
      <c r="K632" s="1"/>
      <c r="N632" s="1"/>
      <c r="Q632" s="1"/>
      <c r="T632" s="1"/>
      <c r="W632" s="1"/>
      <c r="Y632" s="1"/>
      <c r="AB632" s="3"/>
    </row>
    <row r="633" ht="15.75" customHeight="1">
      <c r="E633" s="1"/>
      <c r="H633" s="1"/>
      <c r="K633" s="1"/>
      <c r="N633" s="1"/>
      <c r="Q633" s="1"/>
      <c r="T633" s="1"/>
      <c r="W633" s="1"/>
      <c r="Y633" s="1"/>
      <c r="AB633" s="3"/>
    </row>
    <row r="634" ht="15.75" customHeight="1">
      <c r="E634" s="1"/>
      <c r="H634" s="1"/>
      <c r="K634" s="1"/>
      <c r="N634" s="1"/>
      <c r="Q634" s="1"/>
      <c r="T634" s="1"/>
      <c r="W634" s="1"/>
      <c r="Y634" s="1"/>
      <c r="AB634" s="3"/>
    </row>
    <row r="635" ht="15.75" customHeight="1">
      <c r="E635" s="1"/>
      <c r="H635" s="1"/>
      <c r="K635" s="1"/>
      <c r="N635" s="1"/>
      <c r="Q635" s="1"/>
      <c r="T635" s="1"/>
      <c r="W635" s="1"/>
      <c r="Y635" s="1"/>
      <c r="AB635" s="3"/>
    </row>
    <row r="636" ht="15.75" customHeight="1">
      <c r="E636" s="1"/>
      <c r="H636" s="1"/>
      <c r="K636" s="1"/>
      <c r="N636" s="1"/>
      <c r="Q636" s="1"/>
      <c r="T636" s="1"/>
      <c r="W636" s="1"/>
      <c r="Y636" s="1"/>
      <c r="AB636" s="3"/>
    </row>
    <row r="637" ht="15.75" customHeight="1">
      <c r="E637" s="1"/>
      <c r="H637" s="1"/>
      <c r="K637" s="1"/>
      <c r="N637" s="1"/>
      <c r="Q637" s="1"/>
      <c r="T637" s="1"/>
      <c r="W637" s="1"/>
      <c r="Y637" s="1"/>
      <c r="AB637" s="3"/>
    </row>
    <row r="638" ht="15.75" customHeight="1">
      <c r="E638" s="1"/>
      <c r="H638" s="1"/>
      <c r="K638" s="1"/>
      <c r="N638" s="1"/>
      <c r="Q638" s="1"/>
      <c r="T638" s="1"/>
      <c r="W638" s="1"/>
      <c r="Y638" s="1"/>
      <c r="AB638" s="3"/>
    </row>
    <row r="639" ht="15.75" customHeight="1">
      <c r="E639" s="1"/>
      <c r="H639" s="1"/>
      <c r="K639" s="1"/>
      <c r="N639" s="1"/>
      <c r="Q639" s="1"/>
      <c r="T639" s="1"/>
      <c r="W639" s="1"/>
      <c r="Y639" s="1"/>
      <c r="AB639" s="3"/>
    </row>
    <row r="640" ht="15.75" customHeight="1">
      <c r="E640" s="1"/>
      <c r="H640" s="1"/>
      <c r="K640" s="1"/>
      <c r="N640" s="1"/>
      <c r="Q640" s="1"/>
      <c r="T640" s="1"/>
      <c r="W640" s="1"/>
      <c r="Y640" s="1"/>
      <c r="AB640" s="3"/>
    </row>
    <row r="641" ht="15.75" customHeight="1">
      <c r="E641" s="1"/>
      <c r="H641" s="1"/>
      <c r="K641" s="1"/>
      <c r="N641" s="1"/>
      <c r="Q641" s="1"/>
      <c r="T641" s="1"/>
      <c r="W641" s="1"/>
      <c r="Y641" s="1"/>
      <c r="AB641" s="3"/>
    </row>
    <row r="642" ht="15.75" customHeight="1">
      <c r="E642" s="1"/>
      <c r="H642" s="1"/>
      <c r="K642" s="1"/>
      <c r="N642" s="1"/>
      <c r="Q642" s="1"/>
      <c r="T642" s="1"/>
      <c r="W642" s="1"/>
      <c r="Y642" s="1"/>
      <c r="AB642" s="3"/>
    </row>
    <row r="643" ht="15.75" customHeight="1">
      <c r="E643" s="1"/>
      <c r="H643" s="1"/>
      <c r="K643" s="1"/>
      <c r="N643" s="1"/>
      <c r="Q643" s="1"/>
      <c r="T643" s="1"/>
      <c r="W643" s="1"/>
      <c r="Y643" s="1"/>
      <c r="AB643" s="3"/>
    </row>
    <row r="644" ht="15.75" customHeight="1">
      <c r="E644" s="1"/>
      <c r="H644" s="1"/>
      <c r="K644" s="1"/>
      <c r="N644" s="1"/>
      <c r="Q644" s="1"/>
      <c r="T644" s="1"/>
      <c r="W644" s="1"/>
      <c r="Y644" s="1"/>
      <c r="AB644" s="3"/>
    </row>
    <row r="645" ht="15.75" customHeight="1">
      <c r="E645" s="1"/>
      <c r="H645" s="1"/>
      <c r="K645" s="1"/>
      <c r="N645" s="1"/>
      <c r="Q645" s="1"/>
      <c r="T645" s="1"/>
      <c r="W645" s="1"/>
      <c r="Y645" s="1"/>
      <c r="AB645" s="3"/>
    </row>
    <row r="646" ht="15.75" customHeight="1">
      <c r="E646" s="1"/>
      <c r="H646" s="1"/>
      <c r="K646" s="1"/>
      <c r="N646" s="1"/>
      <c r="Q646" s="1"/>
      <c r="T646" s="1"/>
      <c r="W646" s="1"/>
      <c r="Y646" s="1"/>
      <c r="AB646" s="3"/>
    </row>
    <row r="647" ht="15.75" customHeight="1">
      <c r="E647" s="1"/>
      <c r="H647" s="1"/>
      <c r="K647" s="1"/>
      <c r="N647" s="1"/>
      <c r="Q647" s="1"/>
      <c r="T647" s="1"/>
      <c r="W647" s="1"/>
      <c r="Y647" s="1"/>
      <c r="AB647" s="3"/>
    </row>
    <row r="648" ht="15.75" customHeight="1">
      <c r="E648" s="1"/>
      <c r="H648" s="1"/>
      <c r="K648" s="1"/>
      <c r="N648" s="1"/>
      <c r="Q648" s="1"/>
      <c r="T648" s="1"/>
      <c r="W648" s="1"/>
      <c r="Y648" s="1"/>
      <c r="AB648" s="3"/>
    </row>
    <row r="649" ht="15.75" customHeight="1">
      <c r="E649" s="1"/>
      <c r="H649" s="1"/>
      <c r="K649" s="1"/>
      <c r="N649" s="1"/>
      <c r="Q649" s="1"/>
      <c r="T649" s="1"/>
      <c r="W649" s="1"/>
      <c r="Y649" s="1"/>
      <c r="AB649" s="3"/>
    </row>
    <row r="650" ht="15.75" customHeight="1">
      <c r="E650" s="1"/>
      <c r="H650" s="1"/>
      <c r="K650" s="1"/>
      <c r="N650" s="1"/>
      <c r="Q650" s="1"/>
      <c r="T650" s="1"/>
      <c r="W650" s="1"/>
      <c r="Y650" s="1"/>
      <c r="AB650" s="3"/>
    </row>
    <row r="651" ht="15.75" customHeight="1">
      <c r="E651" s="1"/>
      <c r="H651" s="1"/>
      <c r="K651" s="1"/>
      <c r="N651" s="1"/>
      <c r="Q651" s="1"/>
      <c r="T651" s="1"/>
      <c r="W651" s="1"/>
      <c r="Y651" s="1"/>
      <c r="AB651" s="3"/>
    </row>
    <row r="652" ht="15.75" customHeight="1">
      <c r="E652" s="1"/>
      <c r="H652" s="1"/>
      <c r="K652" s="1"/>
      <c r="N652" s="1"/>
      <c r="Q652" s="1"/>
      <c r="T652" s="1"/>
      <c r="W652" s="1"/>
      <c r="Y652" s="1"/>
      <c r="AB652" s="3"/>
    </row>
    <row r="653" ht="15.75" customHeight="1">
      <c r="E653" s="1"/>
      <c r="H653" s="1"/>
      <c r="K653" s="1"/>
      <c r="N653" s="1"/>
      <c r="Q653" s="1"/>
      <c r="T653" s="1"/>
      <c r="W653" s="1"/>
      <c r="Y653" s="1"/>
      <c r="AB653" s="3"/>
    </row>
    <row r="654" ht="15.75" customHeight="1">
      <c r="E654" s="1"/>
      <c r="H654" s="1"/>
      <c r="K654" s="1"/>
      <c r="N654" s="1"/>
      <c r="Q654" s="1"/>
      <c r="T654" s="1"/>
      <c r="W654" s="1"/>
      <c r="Y654" s="1"/>
      <c r="AB654" s="3"/>
    </row>
    <row r="655" ht="15.75" customHeight="1">
      <c r="E655" s="1"/>
      <c r="H655" s="1"/>
      <c r="K655" s="1"/>
      <c r="N655" s="1"/>
      <c r="Q655" s="1"/>
      <c r="T655" s="1"/>
      <c r="W655" s="1"/>
      <c r="Y655" s="1"/>
      <c r="AB655" s="3"/>
    </row>
    <row r="656" ht="15.75" customHeight="1">
      <c r="E656" s="1"/>
      <c r="H656" s="1"/>
      <c r="K656" s="1"/>
      <c r="N656" s="1"/>
      <c r="Q656" s="1"/>
      <c r="T656" s="1"/>
      <c r="W656" s="1"/>
      <c r="Y656" s="1"/>
      <c r="AB656" s="3"/>
    </row>
    <row r="657" ht="15.75" customHeight="1">
      <c r="E657" s="1"/>
      <c r="H657" s="1"/>
      <c r="K657" s="1"/>
      <c r="N657" s="1"/>
      <c r="Q657" s="1"/>
      <c r="T657" s="1"/>
      <c r="W657" s="1"/>
      <c r="Y657" s="1"/>
      <c r="AB657" s="3"/>
    </row>
    <row r="658" ht="15.75" customHeight="1">
      <c r="E658" s="1"/>
      <c r="H658" s="1"/>
      <c r="K658" s="1"/>
      <c r="N658" s="1"/>
      <c r="Q658" s="1"/>
      <c r="T658" s="1"/>
      <c r="W658" s="1"/>
      <c r="Y658" s="1"/>
      <c r="AB658" s="3"/>
    </row>
    <row r="659" ht="15.75" customHeight="1">
      <c r="E659" s="1"/>
      <c r="H659" s="1"/>
      <c r="K659" s="1"/>
      <c r="N659" s="1"/>
      <c r="Q659" s="1"/>
      <c r="T659" s="1"/>
      <c r="W659" s="1"/>
      <c r="Y659" s="1"/>
      <c r="AB659" s="3"/>
    </row>
    <row r="660" ht="15.75" customHeight="1">
      <c r="E660" s="1"/>
      <c r="H660" s="1"/>
      <c r="K660" s="1"/>
      <c r="N660" s="1"/>
      <c r="Q660" s="1"/>
      <c r="T660" s="1"/>
      <c r="W660" s="1"/>
      <c r="Y660" s="1"/>
      <c r="AB660" s="3"/>
    </row>
    <row r="661" ht="15.75" customHeight="1">
      <c r="E661" s="1"/>
      <c r="H661" s="1"/>
      <c r="K661" s="1"/>
      <c r="N661" s="1"/>
      <c r="Q661" s="1"/>
      <c r="T661" s="1"/>
      <c r="W661" s="1"/>
      <c r="Y661" s="1"/>
      <c r="AB661" s="3"/>
    </row>
    <row r="662" ht="15.75" customHeight="1">
      <c r="E662" s="1"/>
      <c r="H662" s="1"/>
      <c r="K662" s="1"/>
      <c r="N662" s="1"/>
      <c r="Q662" s="1"/>
      <c r="T662" s="1"/>
      <c r="W662" s="1"/>
      <c r="Y662" s="1"/>
      <c r="AB662" s="3"/>
    </row>
    <row r="663" ht="15.75" customHeight="1">
      <c r="E663" s="1"/>
      <c r="H663" s="1"/>
      <c r="K663" s="1"/>
      <c r="N663" s="1"/>
      <c r="Q663" s="1"/>
      <c r="T663" s="1"/>
      <c r="W663" s="1"/>
      <c r="Y663" s="1"/>
      <c r="AB663" s="3"/>
    </row>
    <row r="664" ht="15.75" customHeight="1">
      <c r="E664" s="1"/>
      <c r="H664" s="1"/>
      <c r="K664" s="1"/>
      <c r="N664" s="1"/>
      <c r="Q664" s="1"/>
      <c r="T664" s="1"/>
      <c r="W664" s="1"/>
      <c r="Y664" s="1"/>
      <c r="AB664" s="3"/>
    </row>
    <row r="665" ht="15.75" customHeight="1">
      <c r="E665" s="1"/>
      <c r="H665" s="1"/>
      <c r="K665" s="1"/>
      <c r="N665" s="1"/>
      <c r="Q665" s="1"/>
      <c r="T665" s="1"/>
      <c r="W665" s="1"/>
      <c r="Y665" s="1"/>
      <c r="AB665" s="3"/>
    </row>
    <row r="666" ht="15.75" customHeight="1">
      <c r="E666" s="1"/>
      <c r="H666" s="1"/>
      <c r="K666" s="1"/>
      <c r="N666" s="1"/>
      <c r="Q666" s="1"/>
      <c r="T666" s="1"/>
      <c r="W666" s="1"/>
      <c r="Y666" s="1"/>
      <c r="AB666" s="3"/>
    </row>
    <row r="667" ht="15.75" customHeight="1">
      <c r="E667" s="1"/>
      <c r="H667" s="1"/>
      <c r="K667" s="1"/>
      <c r="N667" s="1"/>
      <c r="Q667" s="1"/>
      <c r="T667" s="1"/>
      <c r="W667" s="1"/>
      <c r="Y667" s="1"/>
      <c r="AB667" s="3"/>
    </row>
    <row r="668" ht="15.75" customHeight="1">
      <c r="E668" s="1"/>
      <c r="H668" s="1"/>
      <c r="K668" s="1"/>
      <c r="N668" s="1"/>
      <c r="Q668" s="1"/>
      <c r="T668" s="1"/>
      <c r="W668" s="1"/>
      <c r="Y668" s="1"/>
      <c r="AB668" s="3"/>
    </row>
    <row r="669" ht="15.75" customHeight="1">
      <c r="E669" s="1"/>
      <c r="H669" s="1"/>
      <c r="K669" s="1"/>
      <c r="N669" s="1"/>
      <c r="Q669" s="1"/>
      <c r="T669" s="1"/>
      <c r="W669" s="1"/>
      <c r="Y669" s="1"/>
      <c r="AB669" s="3"/>
    </row>
    <row r="670" ht="15.75" customHeight="1">
      <c r="E670" s="1"/>
      <c r="H670" s="1"/>
      <c r="K670" s="1"/>
      <c r="N670" s="1"/>
      <c r="Q670" s="1"/>
      <c r="T670" s="1"/>
      <c r="W670" s="1"/>
      <c r="Y670" s="1"/>
      <c r="AB670" s="3"/>
    </row>
    <row r="671" ht="15.75" customHeight="1">
      <c r="E671" s="1"/>
      <c r="H671" s="1"/>
      <c r="K671" s="1"/>
      <c r="N671" s="1"/>
      <c r="Q671" s="1"/>
      <c r="T671" s="1"/>
      <c r="W671" s="1"/>
      <c r="Y671" s="1"/>
      <c r="AB671" s="3"/>
    </row>
    <row r="672" ht="15.75" customHeight="1">
      <c r="E672" s="1"/>
      <c r="H672" s="1"/>
      <c r="K672" s="1"/>
      <c r="N672" s="1"/>
      <c r="Q672" s="1"/>
      <c r="T672" s="1"/>
      <c r="W672" s="1"/>
      <c r="Y672" s="1"/>
      <c r="AB672" s="3"/>
    </row>
    <row r="673" ht="15.75" customHeight="1">
      <c r="E673" s="1"/>
      <c r="H673" s="1"/>
      <c r="K673" s="1"/>
      <c r="N673" s="1"/>
      <c r="Q673" s="1"/>
      <c r="T673" s="1"/>
      <c r="W673" s="1"/>
      <c r="Y673" s="1"/>
      <c r="AB673" s="3"/>
    </row>
    <row r="674" ht="15.75" customHeight="1">
      <c r="E674" s="1"/>
      <c r="H674" s="1"/>
      <c r="K674" s="1"/>
      <c r="N674" s="1"/>
      <c r="Q674" s="1"/>
      <c r="T674" s="1"/>
      <c r="W674" s="1"/>
      <c r="Y674" s="1"/>
      <c r="AB674" s="3"/>
    </row>
    <row r="675" ht="15.75" customHeight="1">
      <c r="E675" s="1"/>
      <c r="H675" s="1"/>
      <c r="K675" s="1"/>
      <c r="N675" s="1"/>
      <c r="Q675" s="1"/>
      <c r="T675" s="1"/>
      <c r="W675" s="1"/>
      <c r="Y675" s="1"/>
      <c r="AB675" s="3"/>
    </row>
    <row r="676" ht="15.75" customHeight="1">
      <c r="E676" s="1"/>
      <c r="H676" s="1"/>
      <c r="K676" s="1"/>
      <c r="N676" s="1"/>
      <c r="Q676" s="1"/>
      <c r="T676" s="1"/>
      <c r="W676" s="1"/>
      <c r="Y676" s="1"/>
      <c r="AB676" s="3"/>
    </row>
    <row r="677" ht="15.75" customHeight="1">
      <c r="E677" s="1"/>
      <c r="H677" s="1"/>
      <c r="K677" s="1"/>
      <c r="N677" s="1"/>
      <c r="Q677" s="1"/>
      <c r="T677" s="1"/>
      <c r="W677" s="1"/>
      <c r="Y677" s="1"/>
      <c r="AB677" s="3"/>
    </row>
    <row r="678" ht="15.75" customHeight="1">
      <c r="E678" s="1"/>
      <c r="H678" s="1"/>
      <c r="K678" s="1"/>
      <c r="N678" s="1"/>
      <c r="Q678" s="1"/>
      <c r="T678" s="1"/>
      <c r="W678" s="1"/>
      <c r="Y678" s="1"/>
      <c r="AB678" s="3"/>
    </row>
    <row r="679" ht="15.75" customHeight="1">
      <c r="E679" s="1"/>
      <c r="H679" s="1"/>
      <c r="K679" s="1"/>
      <c r="N679" s="1"/>
      <c r="Q679" s="1"/>
      <c r="T679" s="1"/>
      <c r="W679" s="1"/>
      <c r="Y679" s="1"/>
      <c r="AB679" s="3"/>
    </row>
    <row r="680" ht="15.75" customHeight="1">
      <c r="E680" s="1"/>
      <c r="H680" s="1"/>
      <c r="K680" s="1"/>
      <c r="N680" s="1"/>
      <c r="Q680" s="1"/>
      <c r="T680" s="1"/>
      <c r="W680" s="1"/>
      <c r="Y680" s="1"/>
      <c r="AB680" s="3"/>
    </row>
    <row r="681" ht="15.75" customHeight="1">
      <c r="E681" s="1"/>
      <c r="H681" s="1"/>
      <c r="K681" s="1"/>
      <c r="N681" s="1"/>
      <c r="Q681" s="1"/>
      <c r="T681" s="1"/>
      <c r="W681" s="1"/>
      <c r="Y681" s="1"/>
      <c r="AB681" s="3"/>
    </row>
    <row r="682" ht="15.75" customHeight="1">
      <c r="E682" s="1"/>
      <c r="H682" s="1"/>
      <c r="K682" s="1"/>
      <c r="N682" s="1"/>
      <c r="Q682" s="1"/>
      <c r="T682" s="1"/>
      <c r="W682" s="1"/>
      <c r="Y682" s="1"/>
      <c r="AB682" s="3"/>
    </row>
    <row r="683" ht="15.75" customHeight="1">
      <c r="E683" s="1"/>
      <c r="H683" s="1"/>
      <c r="K683" s="1"/>
      <c r="N683" s="1"/>
      <c r="Q683" s="1"/>
      <c r="T683" s="1"/>
      <c r="W683" s="1"/>
      <c r="Y683" s="1"/>
      <c r="AB683" s="3"/>
    </row>
    <row r="684" ht="15.75" customHeight="1">
      <c r="E684" s="1"/>
      <c r="H684" s="1"/>
      <c r="K684" s="1"/>
      <c r="N684" s="1"/>
      <c r="Q684" s="1"/>
      <c r="T684" s="1"/>
      <c r="W684" s="1"/>
      <c r="Y684" s="1"/>
      <c r="AB684" s="3"/>
    </row>
    <row r="685" ht="15.75" customHeight="1">
      <c r="E685" s="1"/>
      <c r="H685" s="1"/>
      <c r="K685" s="1"/>
      <c r="N685" s="1"/>
      <c r="Q685" s="1"/>
      <c r="T685" s="1"/>
      <c r="W685" s="1"/>
      <c r="Y685" s="1"/>
      <c r="AB685" s="3"/>
    </row>
    <row r="686" ht="15.75" customHeight="1">
      <c r="E686" s="1"/>
      <c r="H686" s="1"/>
      <c r="K686" s="1"/>
      <c r="N686" s="1"/>
      <c r="Q686" s="1"/>
      <c r="T686" s="1"/>
      <c r="W686" s="1"/>
      <c r="Y686" s="1"/>
      <c r="AB686" s="3"/>
    </row>
    <row r="687" ht="15.75" customHeight="1">
      <c r="E687" s="1"/>
      <c r="H687" s="1"/>
      <c r="K687" s="1"/>
      <c r="N687" s="1"/>
      <c r="Q687" s="1"/>
      <c r="T687" s="1"/>
      <c r="W687" s="1"/>
      <c r="Y687" s="1"/>
      <c r="AB687" s="3"/>
    </row>
    <row r="688" ht="15.75" customHeight="1">
      <c r="E688" s="1"/>
      <c r="H688" s="1"/>
      <c r="K688" s="1"/>
      <c r="N688" s="1"/>
      <c r="Q688" s="1"/>
      <c r="T688" s="1"/>
      <c r="W688" s="1"/>
      <c r="Y688" s="1"/>
      <c r="AB688" s="3"/>
    </row>
    <row r="689" ht="15.75" customHeight="1">
      <c r="E689" s="1"/>
      <c r="H689" s="1"/>
      <c r="K689" s="1"/>
      <c r="N689" s="1"/>
      <c r="Q689" s="1"/>
      <c r="T689" s="1"/>
      <c r="W689" s="1"/>
      <c r="Y689" s="1"/>
      <c r="AB689" s="3"/>
    </row>
    <row r="690" ht="15.75" customHeight="1">
      <c r="E690" s="1"/>
      <c r="H690" s="1"/>
      <c r="K690" s="1"/>
      <c r="N690" s="1"/>
      <c r="Q690" s="1"/>
      <c r="T690" s="1"/>
      <c r="W690" s="1"/>
      <c r="Y690" s="1"/>
      <c r="AB690" s="3"/>
    </row>
    <row r="691" ht="15.75" customHeight="1">
      <c r="E691" s="1"/>
      <c r="H691" s="1"/>
      <c r="K691" s="1"/>
      <c r="N691" s="1"/>
      <c r="Q691" s="1"/>
      <c r="T691" s="1"/>
      <c r="W691" s="1"/>
      <c r="Y691" s="1"/>
      <c r="AB691" s="3"/>
    </row>
    <row r="692" ht="15.75" customHeight="1">
      <c r="E692" s="1"/>
      <c r="H692" s="1"/>
      <c r="K692" s="1"/>
      <c r="N692" s="1"/>
      <c r="Q692" s="1"/>
      <c r="T692" s="1"/>
      <c r="W692" s="1"/>
      <c r="Y692" s="1"/>
      <c r="AB692" s="3"/>
    </row>
    <row r="693" ht="15.75" customHeight="1">
      <c r="E693" s="1"/>
      <c r="H693" s="1"/>
      <c r="K693" s="1"/>
      <c r="N693" s="1"/>
      <c r="Q693" s="1"/>
      <c r="T693" s="1"/>
      <c r="W693" s="1"/>
      <c r="Y693" s="1"/>
      <c r="AB693" s="3"/>
    </row>
    <row r="694" ht="15.75" customHeight="1">
      <c r="E694" s="1"/>
      <c r="H694" s="1"/>
      <c r="K694" s="1"/>
      <c r="N694" s="1"/>
      <c r="Q694" s="1"/>
      <c r="T694" s="1"/>
      <c r="W694" s="1"/>
      <c r="Y694" s="1"/>
      <c r="AB694" s="3"/>
    </row>
    <row r="695" ht="15.75" customHeight="1">
      <c r="E695" s="1"/>
      <c r="H695" s="1"/>
      <c r="K695" s="1"/>
      <c r="N695" s="1"/>
      <c r="Q695" s="1"/>
      <c r="T695" s="1"/>
      <c r="W695" s="1"/>
      <c r="Y695" s="1"/>
      <c r="AB695" s="3"/>
    </row>
    <row r="696" ht="15.75" customHeight="1">
      <c r="E696" s="1"/>
      <c r="H696" s="1"/>
      <c r="K696" s="1"/>
      <c r="N696" s="1"/>
      <c r="Q696" s="1"/>
      <c r="T696" s="1"/>
      <c r="W696" s="1"/>
      <c r="Y696" s="1"/>
      <c r="AB696" s="3"/>
    </row>
    <row r="697" ht="15.75" customHeight="1">
      <c r="E697" s="1"/>
      <c r="H697" s="1"/>
      <c r="K697" s="1"/>
      <c r="N697" s="1"/>
      <c r="Q697" s="1"/>
      <c r="T697" s="1"/>
      <c r="W697" s="1"/>
      <c r="Y697" s="1"/>
      <c r="AB697" s="3"/>
    </row>
    <row r="698" ht="15.75" customHeight="1">
      <c r="E698" s="1"/>
      <c r="H698" s="1"/>
      <c r="K698" s="1"/>
      <c r="N698" s="1"/>
      <c r="Q698" s="1"/>
      <c r="T698" s="1"/>
      <c r="W698" s="1"/>
      <c r="Y698" s="1"/>
      <c r="AB698" s="3"/>
    </row>
    <row r="699" ht="15.75" customHeight="1">
      <c r="E699" s="1"/>
      <c r="H699" s="1"/>
      <c r="K699" s="1"/>
      <c r="N699" s="1"/>
      <c r="Q699" s="1"/>
      <c r="T699" s="1"/>
      <c r="W699" s="1"/>
      <c r="Y699" s="1"/>
      <c r="AB699" s="3"/>
    </row>
    <row r="700" ht="15.75" customHeight="1">
      <c r="E700" s="1"/>
      <c r="H700" s="1"/>
      <c r="K700" s="1"/>
      <c r="N700" s="1"/>
      <c r="Q700" s="1"/>
      <c r="T700" s="1"/>
      <c r="W700" s="1"/>
      <c r="Y700" s="1"/>
      <c r="AB700" s="3"/>
    </row>
    <row r="701" ht="15.75" customHeight="1">
      <c r="E701" s="1"/>
      <c r="H701" s="1"/>
      <c r="K701" s="1"/>
      <c r="N701" s="1"/>
      <c r="Q701" s="1"/>
      <c r="T701" s="1"/>
      <c r="W701" s="1"/>
      <c r="Y701" s="1"/>
      <c r="AB701" s="3"/>
    </row>
    <row r="702" ht="15.75" customHeight="1">
      <c r="E702" s="1"/>
      <c r="H702" s="1"/>
      <c r="K702" s="1"/>
      <c r="N702" s="1"/>
      <c r="Q702" s="1"/>
      <c r="T702" s="1"/>
      <c r="W702" s="1"/>
      <c r="Y702" s="1"/>
      <c r="AB702" s="3"/>
    </row>
    <row r="703" ht="15.75" customHeight="1">
      <c r="E703" s="1"/>
      <c r="H703" s="1"/>
      <c r="K703" s="1"/>
      <c r="N703" s="1"/>
      <c r="Q703" s="1"/>
      <c r="T703" s="1"/>
      <c r="W703" s="1"/>
      <c r="Y703" s="1"/>
      <c r="AB703" s="3"/>
    </row>
    <row r="704" ht="15.75" customHeight="1">
      <c r="E704" s="1"/>
      <c r="H704" s="1"/>
      <c r="K704" s="1"/>
      <c r="N704" s="1"/>
      <c r="Q704" s="1"/>
      <c r="T704" s="1"/>
      <c r="W704" s="1"/>
      <c r="Y704" s="1"/>
      <c r="AB704" s="3"/>
    </row>
    <row r="705" ht="15.75" customHeight="1">
      <c r="E705" s="1"/>
      <c r="H705" s="1"/>
      <c r="K705" s="1"/>
      <c r="N705" s="1"/>
      <c r="Q705" s="1"/>
      <c r="T705" s="1"/>
      <c r="W705" s="1"/>
      <c r="Y705" s="1"/>
      <c r="AB705" s="3"/>
    </row>
    <row r="706" ht="15.75" customHeight="1">
      <c r="E706" s="1"/>
      <c r="H706" s="1"/>
      <c r="K706" s="1"/>
      <c r="N706" s="1"/>
      <c r="Q706" s="1"/>
      <c r="T706" s="1"/>
      <c r="W706" s="1"/>
      <c r="Y706" s="1"/>
      <c r="AB706" s="3"/>
    </row>
    <row r="707" ht="15.75" customHeight="1">
      <c r="E707" s="1"/>
      <c r="H707" s="1"/>
      <c r="K707" s="1"/>
      <c r="N707" s="1"/>
      <c r="Q707" s="1"/>
      <c r="T707" s="1"/>
      <c r="W707" s="1"/>
      <c r="Y707" s="1"/>
      <c r="AB707" s="3"/>
    </row>
    <row r="708" ht="15.75" customHeight="1">
      <c r="E708" s="1"/>
      <c r="H708" s="1"/>
      <c r="K708" s="1"/>
      <c r="N708" s="1"/>
      <c r="Q708" s="1"/>
      <c r="T708" s="1"/>
      <c r="W708" s="1"/>
      <c r="Y708" s="1"/>
      <c r="AB708" s="3"/>
    </row>
    <row r="709" ht="15.75" customHeight="1">
      <c r="E709" s="1"/>
      <c r="H709" s="1"/>
      <c r="K709" s="1"/>
      <c r="N709" s="1"/>
      <c r="Q709" s="1"/>
      <c r="T709" s="1"/>
      <c r="W709" s="1"/>
      <c r="Y709" s="1"/>
      <c r="AB709" s="3"/>
    </row>
    <row r="710" ht="15.75" customHeight="1">
      <c r="E710" s="1"/>
      <c r="H710" s="1"/>
      <c r="K710" s="1"/>
      <c r="N710" s="1"/>
      <c r="Q710" s="1"/>
      <c r="T710" s="1"/>
      <c r="W710" s="1"/>
      <c r="Y710" s="1"/>
      <c r="AB710" s="3"/>
    </row>
    <row r="711" ht="15.75" customHeight="1">
      <c r="E711" s="1"/>
      <c r="H711" s="1"/>
      <c r="K711" s="1"/>
      <c r="N711" s="1"/>
      <c r="Q711" s="1"/>
      <c r="T711" s="1"/>
      <c r="W711" s="1"/>
      <c r="Y711" s="1"/>
      <c r="AB711" s="3"/>
    </row>
    <row r="712" ht="15.75" customHeight="1">
      <c r="E712" s="1"/>
      <c r="H712" s="1"/>
      <c r="K712" s="1"/>
      <c r="N712" s="1"/>
      <c r="Q712" s="1"/>
      <c r="T712" s="1"/>
      <c r="W712" s="1"/>
      <c r="Y712" s="1"/>
      <c r="AB712" s="3"/>
    </row>
    <row r="713" ht="15.75" customHeight="1">
      <c r="E713" s="1"/>
      <c r="H713" s="1"/>
      <c r="K713" s="1"/>
      <c r="N713" s="1"/>
      <c r="Q713" s="1"/>
      <c r="T713" s="1"/>
      <c r="W713" s="1"/>
      <c r="Y713" s="1"/>
      <c r="AB713" s="3"/>
    </row>
    <row r="714" ht="15.75" customHeight="1">
      <c r="E714" s="1"/>
      <c r="H714" s="1"/>
      <c r="K714" s="1"/>
      <c r="N714" s="1"/>
      <c r="Q714" s="1"/>
      <c r="T714" s="1"/>
      <c r="W714" s="1"/>
      <c r="Y714" s="1"/>
      <c r="AB714" s="3"/>
    </row>
    <row r="715" ht="15.75" customHeight="1">
      <c r="E715" s="1"/>
      <c r="H715" s="1"/>
      <c r="K715" s="1"/>
      <c r="N715" s="1"/>
      <c r="Q715" s="1"/>
      <c r="T715" s="1"/>
      <c r="W715" s="1"/>
      <c r="Y715" s="1"/>
      <c r="AB715" s="3"/>
    </row>
    <row r="716" ht="15.75" customHeight="1">
      <c r="E716" s="1"/>
      <c r="H716" s="1"/>
      <c r="K716" s="1"/>
      <c r="N716" s="1"/>
      <c r="Q716" s="1"/>
      <c r="T716" s="1"/>
      <c r="W716" s="1"/>
      <c r="Y716" s="1"/>
      <c r="AB716" s="3"/>
    </row>
    <row r="717" ht="15.75" customHeight="1">
      <c r="E717" s="1"/>
      <c r="H717" s="1"/>
      <c r="K717" s="1"/>
      <c r="N717" s="1"/>
      <c r="Q717" s="1"/>
      <c r="T717" s="1"/>
      <c r="W717" s="1"/>
      <c r="Y717" s="1"/>
      <c r="AB717" s="3"/>
    </row>
    <row r="718" ht="15.75" customHeight="1">
      <c r="E718" s="1"/>
      <c r="H718" s="1"/>
      <c r="K718" s="1"/>
      <c r="N718" s="1"/>
      <c r="Q718" s="1"/>
      <c r="T718" s="1"/>
      <c r="W718" s="1"/>
      <c r="Y718" s="1"/>
      <c r="AB718" s="3"/>
    </row>
    <row r="719" ht="15.75" customHeight="1">
      <c r="E719" s="1"/>
      <c r="H719" s="1"/>
      <c r="K719" s="1"/>
      <c r="N719" s="1"/>
      <c r="Q719" s="1"/>
      <c r="T719" s="1"/>
      <c r="W719" s="1"/>
      <c r="Y719" s="1"/>
      <c r="AB719" s="3"/>
    </row>
    <row r="720" ht="15.75" customHeight="1">
      <c r="E720" s="1"/>
      <c r="H720" s="1"/>
      <c r="K720" s="1"/>
      <c r="N720" s="1"/>
      <c r="Q720" s="1"/>
      <c r="T720" s="1"/>
      <c r="W720" s="1"/>
      <c r="Y720" s="1"/>
      <c r="AB720" s="3"/>
    </row>
    <row r="721" ht="15.75" customHeight="1">
      <c r="E721" s="1"/>
      <c r="H721" s="1"/>
      <c r="K721" s="1"/>
      <c r="N721" s="1"/>
      <c r="Q721" s="1"/>
      <c r="T721" s="1"/>
      <c r="W721" s="1"/>
      <c r="Y721" s="1"/>
      <c r="AB721" s="3"/>
    </row>
    <row r="722" ht="15.75" customHeight="1">
      <c r="E722" s="1"/>
      <c r="H722" s="1"/>
      <c r="K722" s="1"/>
      <c r="N722" s="1"/>
      <c r="Q722" s="1"/>
      <c r="T722" s="1"/>
      <c r="W722" s="1"/>
      <c r="Y722" s="1"/>
      <c r="AB722" s="3"/>
    </row>
    <row r="723" ht="15.75" customHeight="1">
      <c r="E723" s="1"/>
      <c r="H723" s="1"/>
      <c r="K723" s="1"/>
      <c r="N723" s="1"/>
      <c r="Q723" s="1"/>
      <c r="T723" s="1"/>
      <c r="W723" s="1"/>
      <c r="Y723" s="1"/>
      <c r="AB723" s="3"/>
    </row>
    <row r="724" ht="15.75" customHeight="1">
      <c r="E724" s="1"/>
      <c r="H724" s="1"/>
      <c r="K724" s="1"/>
      <c r="N724" s="1"/>
      <c r="Q724" s="1"/>
      <c r="T724" s="1"/>
      <c r="W724" s="1"/>
      <c r="Y724" s="1"/>
      <c r="AB724" s="3"/>
    </row>
    <row r="725" ht="15.75" customHeight="1">
      <c r="E725" s="1"/>
      <c r="H725" s="1"/>
      <c r="K725" s="1"/>
      <c r="N725" s="1"/>
      <c r="Q725" s="1"/>
      <c r="T725" s="1"/>
      <c r="W725" s="1"/>
      <c r="Y725" s="1"/>
      <c r="AB725" s="3"/>
    </row>
    <row r="726" ht="15.75" customHeight="1">
      <c r="E726" s="1"/>
      <c r="H726" s="1"/>
      <c r="K726" s="1"/>
      <c r="N726" s="1"/>
      <c r="Q726" s="1"/>
      <c r="T726" s="1"/>
      <c r="W726" s="1"/>
      <c r="Y726" s="1"/>
      <c r="AB726" s="3"/>
    </row>
    <row r="727" ht="15.75" customHeight="1">
      <c r="E727" s="1"/>
      <c r="H727" s="1"/>
      <c r="K727" s="1"/>
      <c r="N727" s="1"/>
      <c r="Q727" s="1"/>
      <c r="T727" s="1"/>
      <c r="W727" s="1"/>
      <c r="Y727" s="1"/>
      <c r="AB727" s="3"/>
    </row>
    <row r="728" ht="15.75" customHeight="1">
      <c r="E728" s="1"/>
      <c r="H728" s="1"/>
      <c r="K728" s="1"/>
      <c r="N728" s="1"/>
      <c r="Q728" s="1"/>
      <c r="T728" s="1"/>
      <c r="W728" s="1"/>
      <c r="Y728" s="1"/>
      <c r="AB728" s="3"/>
    </row>
    <row r="729" ht="15.75" customHeight="1">
      <c r="E729" s="1"/>
      <c r="H729" s="1"/>
      <c r="K729" s="1"/>
      <c r="N729" s="1"/>
      <c r="Q729" s="1"/>
      <c r="T729" s="1"/>
      <c r="W729" s="1"/>
      <c r="Y729" s="1"/>
      <c r="AB729" s="3"/>
    </row>
    <row r="730" ht="15.75" customHeight="1">
      <c r="E730" s="1"/>
      <c r="H730" s="1"/>
      <c r="K730" s="1"/>
      <c r="N730" s="1"/>
      <c r="Q730" s="1"/>
      <c r="T730" s="1"/>
      <c r="W730" s="1"/>
      <c r="Y730" s="1"/>
      <c r="AB730" s="3"/>
    </row>
    <row r="731" ht="15.75" customHeight="1">
      <c r="E731" s="1"/>
      <c r="H731" s="1"/>
      <c r="K731" s="1"/>
      <c r="N731" s="1"/>
      <c r="Q731" s="1"/>
      <c r="T731" s="1"/>
      <c r="W731" s="1"/>
      <c r="Y731" s="1"/>
      <c r="AB731" s="3"/>
    </row>
    <row r="732" ht="15.75" customHeight="1">
      <c r="E732" s="1"/>
      <c r="H732" s="1"/>
      <c r="K732" s="1"/>
      <c r="N732" s="1"/>
      <c r="Q732" s="1"/>
      <c r="T732" s="1"/>
      <c r="W732" s="1"/>
      <c r="Y732" s="1"/>
      <c r="AB732" s="3"/>
    </row>
    <row r="733" ht="15.75" customHeight="1">
      <c r="E733" s="1"/>
      <c r="H733" s="1"/>
      <c r="K733" s="1"/>
      <c r="N733" s="1"/>
      <c r="Q733" s="1"/>
      <c r="T733" s="1"/>
      <c r="W733" s="1"/>
      <c r="Y733" s="1"/>
      <c r="AB733" s="3"/>
    </row>
    <row r="734" ht="15.75" customHeight="1">
      <c r="E734" s="1"/>
      <c r="H734" s="1"/>
      <c r="K734" s="1"/>
      <c r="N734" s="1"/>
      <c r="Q734" s="1"/>
      <c r="T734" s="1"/>
      <c r="W734" s="1"/>
      <c r="Y734" s="1"/>
      <c r="AB734" s="3"/>
    </row>
    <row r="735" ht="15.75" customHeight="1">
      <c r="E735" s="1"/>
      <c r="H735" s="1"/>
      <c r="K735" s="1"/>
      <c r="N735" s="1"/>
      <c r="Q735" s="1"/>
      <c r="T735" s="1"/>
      <c r="W735" s="1"/>
      <c r="Y735" s="1"/>
      <c r="AB735" s="3"/>
    </row>
    <row r="736" ht="15.75" customHeight="1">
      <c r="E736" s="1"/>
      <c r="H736" s="1"/>
      <c r="K736" s="1"/>
      <c r="N736" s="1"/>
      <c r="Q736" s="1"/>
      <c r="T736" s="1"/>
      <c r="W736" s="1"/>
      <c r="Y736" s="1"/>
      <c r="AB736" s="3"/>
    </row>
    <row r="737" ht="15.75" customHeight="1">
      <c r="E737" s="1"/>
      <c r="H737" s="1"/>
      <c r="K737" s="1"/>
      <c r="N737" s="1"/>
      <c r="Q737" s="1"/>
      <c r="T737" s="1"/>
      <c r="W737" s="1"/>
      <c r="Y737" s="1"/>
      <c r="AB737" s="3"/>
    </row>
    <row r="738" ht="15.75" customHeight="1">
      <c r="E738" s="1"/>
      <c r="H738" s="1"/>
      <c r="K738" s="1"/>
      <c r="N738" s="1"/>
      <c r="Q738" s="1"/>
      <c r="T738" s="1"/>
      <c r="W738" s="1"/>
      <c r="Y738" s="1"/>
      <c r="AB738" s="3"/>
    </row>
    <row r="739" ht="15.75" customHeight="1">
      <c r="E739" s="1"/>
      <c r="H739" s="1"/>
      <c r="K739" s="1"/>
      <c r="N739" s="1"/>
      <c r="Q739" s="1"/>
      <c r="T739" s="1"/>
      <c r="W739" s="1"/>
      <c r="Y739" s="1"/>
      <c r="AB739" s="3"/>
    </row>
    <row r="740" ht="15.75" customHeight="1">
      <c r="E740" s="1"/>
      <c r="H740" s="1"/>
      <c r="K740" s="1"/>
      <c r="N740" s="1"/>
      <c r="Q740" s="1"/>
      <c r="T740" s="1"/>
      <c r="W740" s="1"/>
      <c r="Y740" s="1"/>
      <c r="AB740" s="3"/>
    </row>
    <row r="741" ht="15.75" customHeight="1">
      <c r="E741" s="1"/>
      <c r="H741" s="1"/>
      <c r="K741" s="1"/>
      <c r="N741" s="1"/>
      <c r="Q741" s="1"/>
      <c r="T741" s="1"/>
      <c r="W741" s="1"/>
      <c r="Y741" s="1"/>
      <c r="AB741" s="3"/>
    </row>
    <row r="742" ht="15.75" customHeight="1">
      <c r="E742" s="1"/>
      <c r="H742" s="1"/>
      <c r="K742" s="1"/>
      <c r="N742" s="1"/>
      <c r="Q742" s="1"/>
      <c r="T742" s="1"/>
      <c r="W742" s="1"/>
      <c r="Y742" s="1"/>
      <c r="AB742" s="3"/>
    </row>
    <row r="743" ht="15.75" customHeight="1">
      <c r="E743" s="1"/>
      <c r="H743" s="1"/>
      <c r="K743" s="1"/>
      <c r="N743" s="1"/>
      <c r="Q743" s="1"/>
      <c r="T743" s="1"/>
      <c r="W743" s="1"/>
      <c r="Y743" s="1"/>
      <c r="AB743" s="3"/>
    </row>
    <row r="744" ht="15.75" customHeight="1">
      <c r="E744" s="1"/>
      <c r="H744" s="1"/>
      <c r="K744" s="1"/>
      <c r="N744" s="1"/>
      <c r="Q744" s="1"/>
      <c r="T744" s="1"/>
      <c r="W744" s="1"/>
      <c r="Y744" s="1"/>
      <c r="AB744" s="3"/>
    </row>
    <row r="745" ht="15.75" customHeight="1">
      <c r="E745" s="1"/>
      <c r="H745" s="1"/>
      <c r="K745" s="1"/>
      <c r="N745" s="1"/>
      <c r="Q745" s="1"/>
      <c r="T745" s="1"/>
      <c r="W745" s="1"/>
      <c r="Y745" s="1"/>
      <c r="AB745" s="3"/>
    </row>
    <row r="746" ht="15.75" customHeight="1">
      <c r="E746" s="1"/>
      <c r="H746" s="1"/>
      <c r="K746" s="1"/>
      <c r="N746" s="1"/>
      <c r="Q746" s="1"/>
      <c r="T746" s="1"/>
      <c r="W746" s="1"/>
      <c r="Y746" s="1"/>
      <c r="AB746" s="3"/>
    </row>
    <row r="747" ht="15.75" customHeight="1">
      <c r="E747" s="1"/>
      <c r="H747" s="1"/>
      <c r="K747" s="1"/>
      <c r="N747" s="1"/>
      <c r="Q747" s="1"/>
      <c r="T747" s="1"/>
      <c r="W747" s="1"/>
      <c r="Y747" s="1"/>
      <c r="AB747" s="3"/>
    </row>
    <row r="748" ht="15.75" customHeight="1">
      <c r="E748" s="1"/>
      <c r="H748" s="1"/>
      <c r="K748" s="1"/>
      <c r="N748" s="1"/>
      <c r="Q748" s="1"/>
      <c r="T748" s="1"/>
      <c r="W748" s="1"/>
      <c r="Y748" s="1"/>
      <c r="AB748" s="3"/>
    </row>
    <row r="749" ht="15.75" customHeight="1">
      <c r="E749" s="1"/>
      <c r="H749" s="1"/>
      <c r="K749" s="1"/>
      <c r="N749" s="1"/>
      <c r="Q749" s="1"/>
      <c r="T749" s="1"/>
      <c r="W749" s="1"/>
      <c r="Y749" s="1"/>
      <c r="AB749" s="3"/>
    </row>
    <row r="750" ht="15.75" customHeight="1">
      <c r="E750" s="1"/>
      <c r="H750" s="1"/>
      <c r="K750" s="1"/>
      <c r="N750" s="1"/>
      <c r="Q750" s="1"/>
      <c r="T750" s="1"/>
      <c r="W750" s="1"/>
      <c r="Y750" s="1"/>
      <c r="AB750" s="3"/>
    </row>
    <row r="751" ht="15.75" customHeight="1">
      <c r="E751" s="1"/>
      <c r="H751" s="1"/>
      <c r="K751" s="1"/>
      <c r="N751" s="1"/>
      <c r="Q751" s="1"/>
      <c r="T751" s="1"/>
      <c r="W751" s="1"/>
      <c r="Y751" s="1"/>
      <c r="AB751" s="3"/>
    </row>
    <row r="752" ht="15.75" customHeight="1">
      <c r="E752" s="1"/>
      <c r="H752" s="1"/>
      <c r="K752" s="1"/>
      <c r="N752" s="1"/>
      <c r="Q752" s="1"/>
      <c r="T752" s="1"/>
      <c r="W752" s="1"/>
      <c r="Y752" s="1"/>
      <c r="AB752" s="3"/>
    </row>
    <row r="753" ht="15.75" customHeight="1">
      <c r="E753" s="1"/>
      <c r="H753" s="1"/>
      <c r="K753" s="1"/>
      <c r="N753" s="1"/>
      <c r="Q753" s="1"/>
      <c r="T753" s="1"/>
      <c r="W753" s="1"/>
      <c r="Y753" s="1"/>
      <c r="AB753" s="3"/>
    </row>
    <row r="754" ht="15.75" customHeight="1">
      <c r="E754" s="1"/>
      <c r="H754" s="1"/>
      <c r="K754" s="1"/>
      <c r="N754" s="1"/>
      <c r="Q754" s="1"/>
      <c r="T754" s="1"/>
      <c r="W754" s="1"/>
      <c r="Y754" s="1"/>
      <c r="AB754" s="3"/>
    </row>
    <row r="755" ht="15.75" customHeight="1">
      <c r="E755" s="1"/>
      <c r="H755" s="1"/>
      <c r="K755" s="1"/>
      <c r="N755" s="1"/>
      <c r="Q755" s="1"/>
      <c r="T755" s="1"/>
      <c r="W755" s="1"/>
      <c r="Y755" s="1"/>
      <c r="AB755" s="3"/>
    </row>
    <row r="756" ht="15.75" customHeight="1">
      <c r="E756" s="1"/>
      <c r="H756" s="1"/>
      <c r="K756" s="1"/>
      <c r="N756" s="1"/>
      <c r="Q756" s="1"/>
      <c r="T756" s="1"/>
      <c r="W756" s="1"/>
      <c r="Y756" s="1"/>
      <c r="AB756" s="3"/>
    </row>
    <row r="757" ht="15.75" customHeight="1">
      <c r="E757" s="1"/>
      <c r="H757" s="1"/>
      <c r="K757" s="1"/>
      <c r="N757" s="1"/>
      <c r="Q757" s="1"/>
      <c r="T757" s="1"/>
      <c r="W757" s="1"/>
      <c r="Y757" s="1"/>
      <c r="AB757" s="3"/>
    </row>
    <row r="758" ht="15.75" customHeight="1">
      <c r="E758" s="1"/>
      <c r="H758" s="1"/>
      <c r="K758" s="1"/>
      <c r="N758" s="1"/>
      <c r="Q758" s="1"/>
      <c r="T758" s="1"/>
      <c r="W758" s="1"/>
      <c r="Y758" s="1"/>
      <c r="AB758" s="3"/>
    </row>
    <row r="759" ht="15.75" customHeight="1">
      <c r="E759" s="1"/>
      <c r="H759" s="1"/>
      <c r="K759" s="1"/>
      <c r="N759" s="1"/>
      <c r="Q759" s="1"/>
      <c r="T759" s="1"/>
      <c r="W759" s="1"/>
      <c r="Y759" s="1"/>
      <c r="AB759" s="3"/>
    </row>
    <row r="760" ht="15.75" customHeight="1">
      <c r="E760" s="1"/>
      <c r="H760" s="1"/>
      <c r="K760" s="1"/>
      <c r="N760" s="1"/>
      <c r="Q760" s="1"/>
      <c r="T760" s="1"/>
      <c r="W760" s="1"/>
      <c r="Y760" s="1"/>
      <c r="AB760" s="3"/>
    </row>
    <row r="761" ht="15.75" customHeight="1">
      <c r="E761" s="1"/>
      <c r="H761" s="1"/>
      <c r="K761" s="1"/>
      <c r="N761" s="1"/>
      <c r="Q761" s="1"/>
      <c r="T761" s="1"/>
      <c r="W761" s="1"/>
      <c r="Y761" s="1"/>
      <c r="AB761" s="3"/>
    </row>
    <row r="762" ht="15.75" customHeight="1">
      <c r="E762" s="1"/>
      <c r="H762" s="1"/>
      <c r="K762" s="1"/>
      <c r="N762" s="1"/>
      <c r="Q762" s="1"/>
      <c r="T762" s="1"/>
      <c r="W762" s="1"/>
      <c r="Y762" s="1"/>
      <c r="AB762" s="3"/>
    </row>
    <row r="763" ht="15.75" customHeight="1">
      <c r="E763" s="1"/>
      <c r="H763" s="1"/>
      <c r="K763" s="1"/>
      <c r="N763" s="1"/>
      <c r="Q763" s="1"/>
      <c r="T763" s="1"/>
      <c r="W763" s="1"/>
      <c r="Y763" s="1"/>
      <c r="AB763" s="3"/>
    </row>
    <row r="764" ht="15.75" customHeight="1">
      <c r="E764" s="1"/>
      <c r="H764" s="1"/>
      <c r="K764" s="1"/>
      <c r="N764" s="1"/>
      <c r="Q764" s="1"/>
      <c r="T764" s="1"/>
      <c r="W764" s="1"/>
      <c r="Y764" s="1"/>
      <c r="AB764" s="3"/>
    </row>
    <row r="765" ht="15.75" customHeight="1">
      <c r="E765" s="1"/>
      <c r="H765" s="1"/>
      <c r="K765" s="1"/>
      <c r="N765" s="1"/>
      <c r="Q765" s="1"/>
      <c r="T765" s="1"/>
      <c r="W765" s="1"/>
      <c r="Y765" s="1"/>
      <c r="AB765" s="3"/>
    </row>
    <row r="766" ht="15.75" customHeight="1">
      <c r="E766" s="1"/>
      <c r="H766" s="1"/>
      <c r="K766" s="1"/>
      <c r="N766" s="1"/>
      <c r="Q766" s="1"/>
      <c r="T766" s="1"/>
      <c r="W766" s="1"/>
      <c r="Y766" s="1"/>
      <c r="AB766" s="3"/>
    </row>
    <row r="767" ht="15.75" customHeight="1">
      <c r="E767" s="1"/>
      <c r="H767" s="1"/>
      <c r="K767" s="1"/>
      <c r="N767" s="1"/>
      <c r="Q767" s="1"/>
      <c r="T767" s="1"/>
      <c r="W767" s="1"/>
      <c r="Y767" s="1"/>
      <c r="AB767" s="3"/>
    </row>
    <row r="768" ht="15.75" customHeight="1">
      <c r="E768" s="1"/>
      <c r="H768" s="1"/>
      <c r="K768" s="1"/>
      <c r="N768" s="1"/>
      <c r="Q768" s="1"/>
      <c r="T768" s="1"/>
      <c r="W768" s="1"/>
      <c r="Y768" s="1"/>
      <c r="AB768" s="3"/>
    </row>
    <row r="769" ht="15.75" customHeight="1">
      <c r="E769" s="1"/>
      <c r="H769" s="1"/>
      <c r="K769" s="1"/>
      <c r="N769" s="1"/>
      <c r="Q769" s="1"/>
      <c r="T769" s="1"/>
      <c r="W769" s="1"/>
      <c r="Y769" s="1"/>
      <c r="AB769" s="3"/>
    </row>
    <row r="770" ht="15.75" customHeight="1">
      <c r="E770" s="1"/>
      <c r="H770" s="1"/>
      <c r="K770" s="1"/>
      <c r="N770" s="1"/>
      <c r="Q770" s="1"/>
      <c r="T770" s="1"/>
      <c r="W770" s="1"/>
      <c r="Y770" s="1"/>
      <c r="AB770" s="3"/>
    </row>
    <row r="771" ht="15.75" customHeight="1">
      <c r="E771" s="1"/>
      <c r="H771" s="1"/>
      <c r="K771" s="1"/>
      <c r="N771" s="1"/>
      <c r="Q771" s="1"/>
      <c r="T771" s="1"/>
      <c r="W771" s="1"/>
      <c r="Y771" s="1"/>
      <c r="AB771" s="3"/>
    </row>
    <row r="772" ht="15.75" customHeight="1">
      <c r="E772" s="1"/>
      <c r="H772" s="1"/>
      <c r="K772" s="1"/>
      <c r="N772" s="1"/>
      <c r="Q772" s="1"/>
      <c r="T772" s="1"/>
      <c r="W772" s="1"/>
      <c r="Y772" s="1"/>
      <c r="AB772" s="3"/>
    </row>
    <row r="773" ht="15.75" customHeight="1">
      <c r="E773" s="1"/>
      <c r="H773" s="1"/>
      <c r="K773" s="1"/>
      <c r="N773" s="1"/>
      <c r="Q773" s="1"/>
      <c r="T773" s="1"/>
      <c r="W773" s="1"/>
      <c r="Y773" s="1"/>
      <c r="AB773" s="3"/>
    </row>
    <row r="774" ht="15.75" customHeight="1">
      <c r="E774" s="1"/>
      <c r="H774" s="1"/>
      <c r="K774" s="1"/>
      <c r="N774" s="1"/>
      <c r="Q774" s="1"/>
      <c r="T774" s="1"/>
      <c r="W774" s="1"/>
      <c r="Y774" s="1"/>
      <c r="AB774" s="3"/>
    </row>
    <row r="775" ht="15.75" customHeight="1">
      <c r="E775" s="1"/>
      <c r="H775" s="1"/>
      <c r="K775" s="1"/>
      <c r="N775" s="1"/>
      <c r="Q775" s="1"/>
      <c r="T775" s="1"/>
      <c r="W775" s="1"/>
      <c r="Y775" s="1"/>
      <c r="AB775" s="3"/>
    </row>
    <row r="776" ht="15.75" customHeight="1">
      <c r="E776" s="1"/>
      <c r="H776" s="1"/>
      <c r="K776" s="1"/>
      <c r="N776" s="1"/>
      <c r="Q776" s="1"/>
      <c r="T776" s="1"/>
      <c r="W776" s="1"/>
      <c r="Y776" s="1"/>
      <c r="AB776" s="3"/>
    </row>
    <row r="777" ht="15.75" customHeight="1">
      <c r="E777" s="1"/>
      <c r="H777" s="1"/>
      <c r="K777" s="1"/>
      <c r="N777" s="1"/>
      <c r="Q777" s="1"/>
      <c r="T777" s="1"/>
      <c r="W777" s="1"/>
      <c r="Y777" s="1"/>
      <c r="AB777" s="3"/>
    </row>
    <row r="778" ht="15.75" customHeight="1">
      <c r="E778" s="1"/>
      <c r="H778" s="1"/>
      <c r="K778" s="1"/>
      <c r="N778" s="1"/>
      <c r="Q778" s="1"/>
      <c r="T778" s="1"/>
      <c r="W778" s="1"/>
      <c r="Y778" s="1"/>
      <c r="AB778" s="3"/>
    </row>
    <row r="779" ht="15.75" customHeight="1">
      <c r="E779" s="1"/>
      <c r="H779" s="1"/>
      <c r="K779" s="1"/>
      <c r="N779" s="1"/>
      <c r="Q779" s="1"/>
      <c r="T779" s="1"/>
      <c r="W779" s="1"/>
      <c r="Y779" s="1"/>
      <c r="AB779" s="3"/>
    </row>
    <row r="780" ht="15.75" customHeight="1">
      <c r="E780" s="1"/>
      <c r="H780" s="1"/>
      <c r="K780" s="1"/>
      <c r="N780" s="1"/>
      <c r="Q780" s="1"/>
      <c r="T780" s="1"/>
      <c r="W780" s="1"/>
      <c r="Y780" s="1"/>
      <c r="AB780" s="3"/>
    </row>
    <row r="781" ht="15.75" customHeight="1">
      <c r="E781" s="1"/>
      <c r="H781" s="1"/>
      <c r="K781" s="1"/>
      <c r="N781" s="1"/>
      <c r="Q781" s="1"/>
      <c r="T781" s="1"/>
      <c r="W781" s="1"/>
      <c r="Y781" s="1"/>
      <c r="AB781" s="3"/>
    </row>
    <row r="782" ht="15.75" customHeight="1">
      <c r="E782" s="1"/>
      <c r="H782" s="1"/>
      <c r="K782" s="1"/>
      <c r="N782" s="1"/>
      <c r="Q782" s="1"/>
      <c r="T782" s="1"/>
      <c r="W782" s="1"/>
      <c r="Y782" s="1"/>
      <c r="AB782" s="3"/>
    </row>
    <row r="783" ht="15.75" customHeight="1">
      <c r="E783" s="1"/>
      <c r="H783" s="1"/>
      <c r="K783" s="1"/>
      <c r="N783" s="1"/>
      <c r="Q783" s="1"/>
      <c r="T783" s="1"/>
      <c r="W783" s="1"/>
      <c r="Y783" s="1"/>
      <c r="AB783" s="3"/>
    </row>
    <row r="784" ht="15.75" customHeight="1">
      <c r="E784" s="1"/>
      <c r="H784" s="1"/>
      <c r="K784" s="1"/>
      <c r="N784" s="1"/>
      <c r="Q784" s="1"/>
      <c r="T784" s="1"/>
      <c r="W784" s="1"/>
      <c r="Y784" s="1"/>
      <c r="AB784" s="3"/>
    </row>
    <row r="785" ht="15.75" customHeight="1">
      <c r="E785" s="1"/>
      <c r="H785" s="1"/>
      <c r="K785" s="1"/>
      <c r="N785" s="1"/>
      <c r="Q785" s="1"/>
      <c r="T785" s="1"/>
      <c r="W785" s="1"/>
      <c r="Y785" s="1"/>
      <c r="AB785" s="3"/>
    </row>
    <row r="786" ht="15.75" customHeight="1">
      <c r="E786" s="1"/>
      <c r="H786" s="1"/>
      <c r="K786" s="1"/>
      <c r="N786" s="1"/>
      <c r="Q786" s="1"/>
      <c r="T786" s="1"/>
      <c r="W786" s="1"/>
      <c r="Y786" s="1"/>
      <c r="AB786" s="3"/>
    </row>
    <row r="787" ht="15.75" customHeight="1">
      <c r="E787" s="1"/>
      <c r="H787" s="1"/>
      <c r="K787" s="1"/>
      <c r="N787" s="1"/>
      <c r="Q787" s="1"/>
      <c r="T787" s="1"/>
      <c r="W787" s="1"/>
      <c r="Y787" s="1"/>
      <c r="AB787" s="3"/>
    </row>
    <row r="788" ht="15.75" customHeight="1">
      <c r="E788" s="1"/>
      <c r="H788" s="1"/>
      <c r="K788" s="1"/>
      <c r="N788" s="1"/>
      <c r="Q788" s="1"/>
      <c r="T788" s="1"/>
      <c r="W788" s="1"/>
      <c r="Y788" s="1"/>
      <c r="AB788" s="3"/>
    </row>
    <row r="789" ht="15.75" customHeight="1">
      <c r="E789" s="1"/>
      <c r="H789" s="1"/>
      <c r="K789" s="1"/>
      <c r="N789" s="1"/>
      <c r="Q789" s="1"/>
      <c r="T789" s="1"/>
      <c r="W789" s="1"/>
      <c r="Y789" s="1"/>
      <c r="AB789" s="3"/>
    </row>
    <row r="790" ht="15.75" customHeight="1">
      <c r="E790" s="1"/>
      <c r="H790" s="1"/>
      <c r="K790" s="1"/>
      <c r="N790" s="1"/>
      <c r="Q790" s="1"/>
      <c r="T790" s="1"/>
      <c r="W790" s="1"/>
      <c r="Y790" s="1"/>
      <c r="AB790" s="3"/>
    </row>
    <row r="791" ht="15.75" customHeight="1">
      <c r="E791" s="1"/>
      <c r="H791" s="1"/>
      <c r="K791" s="1"/>
      <c r="N791" s="1"/>
      <c r="Q791" s="1"/>
      <c r="T791" s="1"/>
      <c r="W791" s="1"/>
      <c r="Y791" s="1"/>
      <c r="AB791" s="3"/>
    </row>
    <row r="792" ht="15.75" customHeight="1">
      <c r="E792" s="1"/>
      <c r="H792" s="1"/>
      <c r="K792" s="1"/>
      <c r="N792" s="1"/>
      <c r="Q792" s="1"/>
      <c r="T792" s="1"/>
      <c r="W792" s="1"/>
      <c r="Y792" s="1"/>
      <c r="AB792" s="3"/>
    </row>
    <row r="793" ht="15.75" customHeight="1">
      <c r="E793" s="1"/>
      <c r="H793" s="1"/>
      <c r="K793" s="1"/>
      <c r="N793" s="1"/>
      <c r="Q793" s="1"/>
      <c r="T793" s="1"/>
      <c r="W793" s="1"/>
      <c r="Y793" s="1"/>
      <c r="AB793" s="3"/>
    </row>
    <row r="794" ht="15.75" customHeight="1">
      <c r="E794" s="1"/>
      <c r="H794" s="1"/>
      <c r="K794" s="1"/>
      <c r="N794" s="1"/>
      <c r="Q794" s="1"/>
      <c r="T794" s="1"/>
      <c r="W794" s="1"/>
      <c r="Y794" s="1"/>
      <c r="AB794" s="3"/>
    </row>
    <row r="795" ht="15.75" customHeight="1">
      <c r="E795" s="1"/>
      <c r="H795" s="1"/>
      <c r="K795" s="1"/>
      <c r="N795" s="1"/>
      <c r="Q795" s="1"/>
      <c r="T795" s="1"/>
      <c r="W795" s="1"/>
      <c r="Y795" s="1"/>
      <c r="AB795" s="3"/>
    </row>
    <row r="796" ht="15.75" customHeight="1">
      <c r="E796" s="1"/>
      <c r="H796" s="1"/>
      <c r="K796" s="1"/>
      <c r="N796" s="1"/>
      <c r="Q796" s="1"/>
      <c r="T796" s="1"/>
      <c r="W796" s="1"/>
      <c r="Y796" s="1"/>
      <c r="AB796" s="3"/>
    </row>
    <row r="797" ht="15.75" customHeight="1">
      <c r="E797" s="1"/>
      <c r="H797" s="1"/>
      <c r="K797" s="1"/>
      <c r="N797" s="1"/>
      <c r="Q797" s="1"/>
      <c r="T797" s="1"/>
      <c r="W797" s="1"/>
      <c r="Y797" s="1"/>
      <c r="AB797" s="3"/>
    </row>
    <row r="798" ht="15.75" customHeight="1">
      <c r="E798" s="1"/>
      <c r="H798" s="1"/>
      <c r="K798" s="1"/>
      <c r="N798" s="1"/>
      <c r="Q798" s="1"/>
      <c r="T798" s="1"/>
      <c r="W798" s="1"/>
      <c r="Y798" s="1"/>
      <c r="AB798" s="3"/>
    </row>
    <row r="799" ht="15.75" customHeight="1">
      <c r="E799" s="1"/>
      <c r="H799" s="1"/>
      <c r="K799" s="1"/>
      <c r="N799" s="1"/>
      <c r="Q799" s="1"/>
      <c r="T799" s="1"/>
      <c r="W799" s="1"/>
      <c r="Y799" s="1"/>
      <c r="AB799" s="3"/>
    </row>
    <row r="800" ht="15.75" customHeight="1">
      <c r="E800" s="1"/>
      <c r="H800" s="1"/>
      <c r="K800" s="1"/>
      <c r="N800" s="1"/>
      <c r="Q800" s="1"/>
      <c r="T800" s="1"/>
      <c r="W800" s="1"/>
      <c r="Y800" s="1"/>
      <c r="AB800" s="3"/>
    </row>
    <row r="801" ht="15.75" customHeight="1">
      <c r="E801" s="1"/>
      <c r="H801" s="1"/>
      <c r="K801" s="1"/>
      <c r="N801" s="1"/>
      <c r="Q801" s="1"/>
      <c r="T801" s="1"/>
      <c r="W801" s="1"/>
      <c r="Y801" s="1"/>
      <c r="AB801" s="3"/>
    </row>
    <row r="802" ht="15.75" customHeight="1">
      <c r="E802" s="1"/>
      <c r="H802" s="1"/>
      <c r="K802" s="1"/>
      <c r="N802" s="1"/>
      <c r="Q802" s="1"/>
      <c r="T802" s="1"/>
      <c r="W802" s="1"/>
      <c r="Y802" s="1"/>
      <c r="AB802" s="3"/>
    </row>
    <row r="803" ht="15.75" customHeight="1">
      <c r="E803" s="1"/>
      <c r="H803" s="1"/>
      <c r="K803" s="1"/>
      <c r="N803" s="1"/>
      <c r="Q803" s="1"/>
      <c r="T803" s="1"/>
      <c r="W803" s="1"/>
      <c r="Y803" s="1"/>
      <c r="AB803" s="3"/>
    </row>
    <row r="804" ht="15.75" customHeight="1">
      <c r="E804" s="1"/>
      <c r="H804" s="1"/>
      <c r="K804" s="1"/>
      <c r="N804" s="1"/>
      <c r="Q804" s="1"/>
      <c r="T804" s="1"/>
      <c r="W804" s="1"/>
      <c r="Y804" s="1"/>
      <c r="AB804" s="3"/>
    </row>
    <row r="805" ht="15.75" customHeight="1">
      <c r="E805" s="1"/>
      <c r="H805" s="1"/>
      <c r="K805" s="1"/>
      <c r="N805" s="1"/>
      <c r="Q805" s="1"/>
      <c r="T805" s="1"/>
      <c r="W805" s="1"/>
      <c r="Y805" s="1"/>
      <c r="AB805" s="3"/>
    </row>
    <row r="806" ht="15.75" customHeight="1">
      <c r="E806" s="1"/>
      <c r="H806" s="1"/>
      <c r="K806" s="1"/>
      <c r="N806" s="1"/>
      <c r="Q806" s="1"/>
      <c r="T806" s="1"/>
      <c r="W806" s="1"/>
      <c r="Y806" s="1"/>
      <c r="AB806" s="3"/>
    </row>
    <row r="807" ht="15.75" customHeight="1">
      <c r="E807" s="1"/>
      <c r="H807" s="1"/>
      <c r="K807" s="1"/>
      <c r="N807" s="1"/>
      <c r="Q807" s="1"/>
      <c r="T807" s="1"/>
      <c r="W807" s="1"/>
      <c r="Y807" s="1"/>
      <c r="AB807" s="3"/>
    </row>
    <row r="808" ht="15.75" customHeight="1">
      <c r="E808" s="1"/>
      <c r="H808" s="1"/>
      <c r="K808" s="1"/>
      <c r="N808" s="1"/>
      <c r="Q808" s="1"/>
      <c r="T808" s="1"/>
      <c r="W808" s="1"/>
      <c r="Y808" s="1"/>
      <c r="AB808" s="3"/>
    </row>
    <row r="809" ht="15.75" customHeight="1">
      <c r="E809" s="1"/>
      <c r="H809" s="1"/>
      <c r="K809" s="1"/>
      <c r="N809" s="1"/>
      <c r="Q809" s="1"/>
      <c r="T809" s="1"/>
      <c r="W809" s="1"/>
      <c r="Y809" s="1"/>
      <c r="AB809" s="3"/>
    </row>
    <row r="810" ht="15.75" customHeight="1">
      <c r="E810" s="1"/>
      <c r="H810" s="1"/>
      <c r="K810" s="1"/>
      <c r="N810" s="1"/>
      <c r="Q810" s="1"/>
      <c r="T810" s="1"/>
      <c r="W810" s="1"/>
      <c r="Y810" s="1"/>
      <c r="AB810" s="3"/>
    </row>
    <row r="811" ht="15.75" customHeight="1">
      <c r="E811" s="1"/>
      <c r="H811" s="1"/>
      <c r="K811" s="1"/>
      <c r="N811" s="1"/>
      <c r="Q811" s="1"/>
      <c r="T811" s="1"/>
      <c r="W811" s="1"/>
      <c r="Y811" s="1"/>
      <c r="AB811" s="3"/>
    </row>
    <row r="812" ht="15.75" customHeight="1">
      <c r="E812" s="1"/>
      <c r="H812" s="1"/>
      <c r="K812" s="1"/>
      <c r="N812" s="1"/>
      <c r="Q812" s="1"/>
      <c r="T812" s="1"/>
      <c r="W812" s="1"/>
      <c r="Y812" s="1"/>
      <c r="AB812" s="3"/>
    </row>
    <row r="813" ht="15.75" customHeight="1">
      <c r="E813" s="1"/>
      <c r="H813" s="1"/>
      <c r="K813" s="1"/>
      <c r="N813" s="1"/>
      <c r="Q813" s="1"/>
      <c r="T813" s="1"/>
      <c r="W813" s="1"/>
      <c r="Y813" s="1"/>
      <c r="AB813" s="3"/>
    </row>
    <row r="814" ht="15.75" customHeight="1">
      <c r="E814" s="1"/>
      <c r="H814" s="1"/>
      <c r="K814" s="1"/>
      <c r="N814" s="1"/>
      <c r="Q814" s="1"/>
      <c r="T814" s="1"/>
      <c r="W814" s="1"/>
      <c r="Y814" s="1"/>
      <c r="AB814" s="3"/>
    </row>
    <row r="815" ht="15.75" customHeight="1">
      <c r="E815" s="1"/>
      <c r="H815" s="1"/>
      <c r="K815" s="1"/>
      <c r="N815" s="1"/>
      <c r="Q815" s="1"/>
      <c r="T815" s="1"/>
      <c r="W815" s="1"/>
      <c r="Y815" s="1"/>
      <c r="AB815" s="3"/>
    </row>
    <row r="816" ht="15.75" customHeight="1">
      <c r="E816" s="1"/>
      <c r="H816" s="1"/>
      <c r="K816" s="1"/>
      <c r="N816" s="1"/>
      <c r="Q816" s="1"/>
      <c r="T816" s="1"/>
      <c r="W816" s="1"/>
      <c r="Y816" s="1"/>
      <c r="AB816" s="3"/>
    </row>
    <row r="817" ht="15.75" customHeight="1">
      <c r="E817" s="1"/>
      <c r="H817" s="1"/>
      <c r="K817" s="1"/>
      <c r="N817" s="1"/>
      <c r="Q817" s="1"/>
      <c r="T817" s="1"/>
      <c r="W817" s="1"/>
      <c r="Y817" s="1"/>
      <c r="AB817" s="3"/>
    </row>
    <row r="818" ht="15.75" customHeight="1">
      <c r="E818" s="1"/>
      <c r="H818" s="1"/>
      <c r="K818" s="1"/>
      <c r="N818" s="1"/>
      <c r="Q818" s="1"/>
      <c r="T818" s="1"/>
      <c r="W818" s="1"/>
      <c r="Y818" s="1"/>
      <c r="AB818" s="3"/>
    </row>
    <row r="819" ht="15.75" customHeight="1">
      <c r="E819" s="1"/>
      <c r="H819" s="1"/>
      <c r="K819" s="1"/>
      <c r="N819" s="1"/>
      <c r="Q819" s="1"/>
      <c r="T819" s="1"/>
      <c r="W819" s="1"/>
      <c r="Y819" s="1"/>
      <c r="AB819" s="3"/>
    </row>
    <row r="820" ht="15.75" customHeight="1">
      <c r="E820" s="1"/>
      <c r="H820" s="1"/>
      <c r="K820" s="1"/>
      <c r="N820" s="1"/>
      <c r="Q820" s="1"/>
      <c r="T820" s="1"/>
      <c r="W820" s="1"/>
      <c r="Y820" s="1"/>
      <c r="AB820" s="3"/>
    </row>
    <row r="821" ht="15.75" customHeight="1">
      <c r="E821" s="1"/>
      <c r="H821" s="1"/>
      <c r="K821" s="1"/>
      <c r="N821" s="1"/>
      <c r="Q821" s="1"/>
      <c r="T821" s="1"/>
      <c r="W821" s="1"/>
      <c r="Y821" s="1"/>
      <c r="AB821" s="3"/>
    </row>
    <row r="822" ht="15.75" customHeight="1">
      <c r="E822" s="1"/>
      <c r="H822" s="1"/>
      <c r="K822" s="1"/>
      <c r="N822" s="1"/>
      <c r="Q822" s="1"/>
      <c r="T822" s="1"/>
      <c r="W822" s="1"/>
      <c r="Y822" s="1"/>
      <c r="AB822" s="3"/>
    </row>
    <row r="823" ht="15.75" customHeight="1">
      <c r="E823" s="1"/>
      <c r="H823" s="1"/>
      <c r="K823" s="1"/>
      <c r="N823" s="1"/>
      <c r="Q823" s="1"/>
      <c r="T823" s="1"/>
      <c r="W823" s="1"/>
      <c r="Y823" s="1"/>
      <c r="AB823" s="3"/>
    </row>
    <row r="824" ht="15.75" customHeight="1">
      <c r="E824" s="1"/>
      <c r="H824" s="1"/>
      <c r="K824" s="1"/>
      <c r="N824" s="1"/>
      <c r="Q824" s="1"/>
      <c r="T824" s="1"/>
      <c r="W824" s="1"/>
      <c r="Y824" s="1"/>
      <c r="AB824" s="3"/>
    </row>
    <row r="825" ht="15.75" customHeight="1">
      <c r="E825" s="1"/>
      <c r="H825" s="1"/>
      <c r="K825" s="1"/>
      <c r="N825" s="1"/>
      <c r="Q825" s="1"/>
      <c r="T825" s="1"/>
      <c r="W825" s="1"/>
      <c r="Y825" s="1"/>
      <c r="AB825" s="3"/>
    </row>
    <row r="826" ht="15.75" customHeight="1">
      <c r="E826" s="1"/>
      <c r="H826" s="1"/>
      <c r="K826" s="1"/>
      <c r="N826" s="1"/>
      <c r="Q826" s="1"/>
      <c r="T826" s="1"/>
      <c r="W826" s="1"/>
      <c r="Y826" s="1"/>
      <c r="AB826" s="3"/>
    </row>
    <row r="827" ht="15.75" customHeight="1">
      <c r="E827" s="1"/>
      <c r="H827" s="1"/>
      <c r="K827" s="1"/>
      <c r="N827" s="1"/>
      <c r="Q827" s="1"/>
      <c r="T827" s="1"/>
      <c r="W827" s="1"/>
      <c r="Y827" s="1"/>
      <c r="AB827" s="3"/>
    </row>
    <row r="828" ht="15.75" customHeight="1">
      <c r="E828" s="1"/>
      <c r="H828" s="1"/>
      <c r="K828" s="1"/>
      <c r="N828" s="1"/>
      <c r="Q828" s="1"/>
      <c r="T828" s="1"/>
      <c r="W828" s="1"/>
      <c r="Y828" s="1"/>
      <c r="AB828" s="3"/>
    </row>
    <row r="829" ht="15.75" customHeight="1">
      <c r="E829" s="1"/>
      <c r="H829" s="1"/>
      <c r="K829" s="1"/>
      <c r="N829" s="1"/>
      <c r="Q829" s="1"/>
      <c r="T829" s="1"/>
      <c r="W829" s="1"/>
      <c r="Y829" s="1"/>
      <c r="AB829" s="3"/>
    </row>
    <row r="830" ht="15.75" customHeight="1">
      <c r="E830" s="1"/>
      <c r="H830" s="1"/>
      <c r="K830" s="1"/>
      <c r="N830" s="1"/>
      <c r="Q830" s="1"/>
      <c r="T830" s="1"/>
      <c r="W830" s="1"/>
      <c r="Y830" s="1"/>
      <c r="AB830" s="3"/>
    </row>
    <row r="831" ht="15.75" customHeight="1">
      <c r="E831" s="1"/>
      <c r="H831" s="1"/>
      <c r="K831" s="1"/>
      <c r="N831" s="1"/>
      <c r="Q831" s="1"/>
      <c r="T831" s="1"/>
      <c r="W831" s="1"/>
      <c r="Y831" s="1"/>
      <c r="AB831" s="3"/>
    </row>
    <row r="832" ht="15.75" customHeight="1">
      <c r="E832" s="1"/>
      <c r="H832" s="1"/>
      <c r="K832" s="1"/>
      <c r="N832" s="1"/>
      <c r="Q832" s="1"/>
      <c r="T832" s="1"/>
      <c r="W832" s="1"/>
      <c r="Y832" s="1"/>
      <c r="AB832" s="3"/>
    </row>
    <row r="833" ht="15.75" customHeight="1">
      <c r="E833" s="1"/>
      <c r="H833" s="1"/>
      <c r="K833" s="1"/>
      <c r="N833" s="1"/>
      <c r="Q833" s="1"/>
      <c r="T833" s="1"/>
      <c r="W833" s="1"/>
      <c r="Y833" s="1"/>
      <c r="AB833" s="3"/>
    </row>
    <row r="834" ht="15.75" customHeight="1">
      <c r="E834" s="1"/>
      <c r="H834" s="1"/>
      <c r="K834" s="1"/>
      <c r="N834" s="1"/>
      <c r="Q834" s="1"/>
      <c r="T834" s="1"/>
      <c r="W834" s="1"/>
      <c r="Y834" s="1"/>
      <c r="AB834" s="3"/>
    </row>
    <row r="835" ht="15.75" customHeight="1">
      <c r="E835" s="1"/>
      <c r="H835" s="1"/>
      <c r="K835" s="1"/>
      <c r="N835" s="1"/>
      <c r="Q835" s="1"/>
      <c r="T835" s="1"/>
      <c r="W835" s="1"/>
      <c r="Y835" s="1"/>
      <c r="AB835" s="3"/>
    </row>
    <row r="836" ht="15.75" customHeight="1">
      <c r="E836" s="1"/>
      <c r="H836" s="1"/>
      <c r="K836" s="1"/>
      <c r="N836" s="1"/>
      <c r="Q836" s="1"/>
      <c r="T836" s="1"/>
      <c r="W836" s="1"/>
      <c r="Y836" s="1"/>
      <c r="AB836" s="3"/>
    </row>
    <row r="837" ht="15.75" customHeight="1">
      <c r="E837" s="1"/>
      <c r="H837" s="1"/>
      <c r="K837" s="1"/>
      <c r="N837" s="1"/>
      <c r="Q837" s="1"/>
      <c r="T837" s="1"/>
      <c r="W837" s="1"/>
      <c r="Y837" s="1"/>
      <c r="AB837" s="3"/>
    </row>
    <row r="838" ht="15.75" customHeight="1">
      <c r="E838" s="1"/>
      <c r="H838" s="1"/>
      <c r="K838" s="1"/>
      <c r="N838" s="1"/>
      <c r="Q838" s="1"/>
      <c r="T838" s="1"/>
      <c r="W838" s="1"/>
      <c r="Y838" s="1"/>
      <c r="AB838" s="3"/>
    </row>
    <row r="839" ht="15.75" customHeight="1">
      <c r="E839" s="1"/>
      <c r="H839" s="1"/>
      <c r="K839" s="1"/>
      <c r="N839" s="1"/>
      <c r="Q839" s="1"/>
      <c r="T839" s="1"/>
      <c r="W839" s="1"/>
      <c r="Y839" s="1"/>
      <c r="AB839" s="3"/>
    </row>
    <row r="840" ht="15.75" customHeight="1">
      <c r="E840" s="1"/>
      <c r="H840" s="1"/>
      <c r="K840" s="1"/>
      <c r="N840" s="1"/>
      <c r="Q840" s="1"/>
      <c r="T840" s="1"/>
      <c r="W840" s="1"/>
      <c r="Y840" s="1"/>
      <c r="AB840" s="3"/>
    </row>
    <row r="841" ht="15.75" customHeight="1">
      <c r="E841" s="1"/>
      <c r="H841" s="1"/>
      <c r="K841" s="1"/>
      <c r="N841" s="1"/>
      <c r="Q841" s="1"/>
      <c r="T841" s="1"/>
      <c r="W841" s="1"/>
      <c r="Y841" s="1"/>
      <c r="AB841" s="3"/>
    </row>
    <row r="842" ht="15.75" customHeight="1">
      <c r="E842" s="1"/>
      <c r="H842" s="1"/>
      <c r="K842" s="1"/>
      <c r="N842" s="1"/>
      <c r="Q842" s="1"/>
      <c r="T842" s="1"/>
      <c r="W842" s="1"/>
      <c r="Y842" s="1"/>
      <c r="AB842" s="3"/>
    </row>
    <row r="843" ht="15.75" customHeight="1">
      <c r="E843" s="1"/>
      <c r="H843" s="1"/>
      <c r="K843" s="1"/>
      <c r="N843" s="1"/>
      <c r="Q843" s="1"/>
      <c r="T843" s="1"/>
      <c r="W843" s="1"/>
      <c r="Y843" s="1"/>
      <c r="AB843" s="3"/>
    </row>
    <row r="844" ht="15.75" customHeight="1">
      <c r="E844" s="1"/>
      <c r="H844" s="1"/>
      <c r="K844" s="1"/>
      <c r="N844" s="1"/>
      <c r="Q844" s="1"/>
      <c r="T844" s="1"/>
      <c r="W844" s="1"/>
      <c r="Y844" s="1"/>
      <c r="AB844" s="3"/>
    </row>
    <row r="845" ht="15.75" customHeight="1">
      <c r="E845" s="1"/>
      <c r="H845" s="1"/>
      <c r="K845" s="1"/>
      <c r="N845" s="1"/>
      <c r="Q845" s="1"/>
      <c r="T845" s="1"/>
      <c r="W845" s="1"/>
      <c r="Y845" s="1"/>
      <c r="AB845" s="3"/>
    </row>
    <row r="846" ht="15.75" customHeight="1">
      <c r="E846" s="1"/>
      <c r="H846" s="1"/>
      <c r="K846" s="1"/>
      <c r="N846" s="1"/>
      <c r="Q846" s="1"/>
      <c r="T846" s="1"/>
      <c r="W846" s="1"/>
      <c r="Y846" s="1"/>
      <c r="AB846" s="3"/>
    </row>
    <row r="847" ht="15.75" customHeight="1">
      <c r="E847" s="1"/>
      <c r="H847" s="1"/>
      <c r="K847" s="1"/>
      <c r="N847" s="1"/>
      <c r="Q847" s="1"/>
      <c r="T847" s="1"/>
      <c r="W847" s="1"/>
      <c r="Y847" s="1"/>
      <c r="AB847" s="3"/>
    </row>
    <row r="848" ht="15.75" customHeight="1">
      <c r="E848" s="1"/>
      <c r="H848" s="1"/>
      <c r="K848" s="1"/>
      <c r="N848" s="1"/>
      <c r="Q848" s="1"/>
      <c r="T848" s="1"/>
      <c r="W848" s="1"/>
      <c r="Y848" s="1"/>
      <c r="AB848" s="3"/>
    </row>
    <row r="849" ht="15.75" customHeight="1">
      <c r="E849" s="1"/>
      <c r="H849" s="1"/>
      <c r="K849" s="1"/>
      <c r="N849" s="1"/>
      <c r="Q849" s="1"/>
      <c r="T849" s="1"/>
      <c r="W849" s="1"/>
      <c r="Y849" s="1"/>
      <c r="AB849" s="3"/>
    </row>
    <row r="850" ht="15.75" customHeight="1">
      <c r="E850" s="1"/>
      <c r="H850" s="1"/>
      <c r="K850" s="1"/>
      <c r="N850" s="1"/>
      <c r="Q850" s="1"/>
      <c r="T850" s="1"/>
      <c r="W850" s="1"/>
      <c r="Y850" s="1"/>
      <c r="AB850" s="3"/>
    </row>
    <row r="851" ht="15.75" customHeight="1">
      <c r="E851" s="1"/>
      <c r="H851" s="1"/>
      <c r="K851" s="1"/>
      <c r="N851" s="1"/>
      <c r="Q851" s="1"/>
      <c r="T851" s="1"/>
      <c r="W851" s="1"/>
      <c r="Y851" s="1"/>
      <c r="AB851" s="3"/>
    </row>
    <row r="852" ht="15.75" customHeight="1">
      <c r="E852" s="1"/>
      <c r="H852" s="1"/>
      <c r="K852" s="1"/>
      <c r="N852" s="1"/>
      <c r="Q852" s="1"/>
      <c r="T852" s="1"/>
      <c r="W852" s="1"/>
      <c r="Y852" s="1"/>
      <c r="AB852" s="3"/>
    </row>
    <row r="853" ht="15.75" customHeight="1">
      <c r="E853" s="1"/>
      <c r="H853" s="1"/>
      <c r="K853" s="1"/>
      <c r="N853" s="1"/>
      <c r="Q853" s="1"/>
      <c r="T853" s="1"/>
      <c r="W853" s="1"/>
      <c r="Y853" s="1"/>
      <c r="AB853" s="3"/>
    </row>
    <row r="854" ht="15.75" customHeight="1">
      <c r="E854" s="1"/>
      <c r="H854" s="1"/>
      <c r="K854" s="1"/>
      <c r="N854" s="1"/>
      <c r="Q854" s="1"/>
      <c r="T854" s="1"/>
      <c r="W854" s="1"/>
      <c r="Y854" s="1"/>
      <c r="AB854" s="3"/>
    </row>
    <row r="855" ht="15.75" customHeight="1">
      <c r="E855" s="1"/>
      <c r="H855" s="1"/>
      <c r="K855" s="1"/>
      <c r="N855" s="1"/>
      <c r="Q855" s="1"/>
      <c r="T855" s="1"/>
      <c r="W855" s="1"/>
      <c r="Y855" s="1"/>
      <c r="AB855" s="3"/>
    </row>
    <row r="856" ht="15.75" customHeight="1">
      <c r="E856" s="1"/>
      <c r="H856" s="1"/>
      <c r="K856" s="1"/>
      <c r="N856" s="1"/>
      <c r="Q856" s="1"/>
      <c r="T856" s="1"/>
      <c r="W856" s="1"/>
      <c r="Y856" s="1"/>
      <c r="AB856" s="3"/>
    </row>
    <row r="857" ht="15.75" customHeight="1">
      <c r="E857" s="1"/>
      <c r="H857" s="1"/>
      <c r="K857" s="1"/>
      <c r="N857" s="1"/>
      <c r="Q857" s="1"/>
      <c r="T857" s="1"/>
      <c r="W857" s="1"/>
      <c r="Y857" s="1"/>
      <c r="AB857" s="3"/>
    </row>
    <row r="858" ht="15.75" customHeight="1">
      <c r="E858" s="1"/>
      <c r="H858" s="1"/>
      <c r="K858" s="1"/>
      <c r="N858" s="1"/>
      <c r="Q858" s="1"/>
      <c r="T858" s="1"/>
      <c r="W858" s="1"/>
      <c r="Y858" s="1"/>
      <c r="AB858" s="3"/>
    </row>
    <row r="859" ht="15.75" customHeight="1">
      <c r="E859" s="1"/>
      <c r="H859" s="1"/>
      <c r="K859" s="1"/>
      <c r="N859" s="1"/>
      <c r="Q859" s="1"/>
      <c r="T859" s="1"/>
      <c r="W859" s="1"/>
      <c r="Y859" s="1"/>
      <c r="AB859" s="3"/>
    </row>
    <row r="860" ht="15.75" customHeight="1">
      <c r="E860" s="1"/>
      <c r="H860" s="1"/>
      <c r="K860" s="1"/>
      <c r="N860" s="1"/>
      <c r="Q860" s="1"/>
      <c r="T860" s="1"/>
      <c r="W860" s="1"/>
      <c r="Y860" s="1"/>
      <c r="AB860" s="3"/>
    </row>
    <row r="861" ht="15.75" customHeight="1">
      <c r="E861" s="1"/>
      <c r="H861" s="1"/>
      <c r="K861" s="1"/>
      <c r="N861" s="1"/>
      <c r="Q861" s="1"/>
      <c r="T861" s="1"/>
      <c r="W861" s="1"/>
      <c r="Y861" s="1"/>
      <c r="AB861" s="3"/>
    </row>
    <row r="862" ht="15.75" customHeight="1">
      <c r="E862" s="1"/>
      <c r="H862" s="1"/>
      <c r="K862" s="1"/>
      <c r="N862" s="1"/>
      <c r="Q862" s="1"/>
      <c r="T862" s="1"/>
      <c r="W862" s="1"/>
      <c r="Y862" s="1"/>
      <c r="AB862" s="3"/>
    </row>
    <row r="863" ht="15.75" customHeight="1">
      <c r="E863" s="1"/>
      <c r="H863" s="1"/>
      <c r="K863" s="1"/>
      <c r="N863" s="1"/>
      <c r="Q863" s="1"/>
      <c r="T863" s="1"/>
      <c r="W863" s="1"/>
      <c r="Y863" s="1"/>
      <c r="AB863" s="3"/>
    </row>
    <row r="864" ht="15.75" customHeight="1">
      <c r="E864" s="1"/>
      <c r="H864" s="1"/>
      <c r="K864" s="1"/>
      <c r="N864" s="1"/>
      <c r="Q864" s="1"/>
      <c r="T864" s="1"/>
      <c r="W864" s="1"/>
      <c r="Y864" s="1"/>
      <c r="AB864" s="3"/>
    </row>
    <row r="865" ht="15.75" customHeight="1">
      <c r="E865" s="1"/>
      <c r="H865" s="1"/>
      <c r="K865" s="1"/>
      <c r="N865" s="1"/>
      <c r="Q865" s="1"/>
      <c r="T865" s="1"/>
      <c r="W865" s="1"/>
      <c r="Y865" s="1"/>
      <c r="AB865" s="3"/>
    </row>
    <row r="866" ht="15.75" customHeight="1">
      <c r="E866" s="1"/>
      <c r="H866" s="1"/>
      <c r="K866" s="1"/>
      <c r="N866" s="1"/>
      <c r="Q866" s="1"/>
      <c r="T866" s="1"/>
      <c r="W866" s="1"/>
      <c r="Y866" s="1"/>
      <c r="AB866" s="3"/>
    </row>
    <row r="867" ht="15.75" customHeight="1">
      <c r="E867" s="1"/>
      <c r="H867" s="1"/>
      <c r="K867" s="1"/>
      <c r="N867" s="1"/>
      <c r="Q867" s="1"/>
      <c r="T867" s="1"/>
      <c r="W867" s="1"/>
      <c r="Y867" s="1"/>
      <c r="AB867" s="3"/>
    </row>
    <row r="868" ht="15.75" customHeight="1">
      <c r="E868" s="1"/>
      <c r="H868" s="1"/>
      <c r="K868" s="1"/>
      <c r="N868" s="1"/>
      <c r="Q868" s="1"/>
      <c r="T868" s="1"/>
      <c r="W868" s="1"/>
      <c r="Y868" s="1"/>
      <c r="AB868" s="3"/>
    </row>
    <row r="869" ht="15.75" customHeight="1">
      <c r="E869" s="1"/>
      <c r="H869" s="1"/>
      <c r="K869" s="1"/>
      <c r="N869" s="1"/>
      <c r="Q869" s="1"/>
      <c r="T869" s="1"/>
      <c r="W869" s="1"/>
      <c r="Y869" s="1"/>
      <c r="AB869" s="3"/>
    </row>
    <row r="870" ht="15.75" customHeight="1">
      <c r="E870" s="1"/>
      <c r="H870" s="1"/>
      <c r="K870" s="1"/>
      <c r="N870" s="1"/>
      <c r="Q870" s="1"/>
      <c r="T870" s="1"/>
      <c r="W870" s="1"/>
      <c r="Y870" s="1"/>
      <c r="AB870" s="3"/>
    </row>
    <row r="871" ht="15.75" customHeight="1">
      <c r="E871" s="1"/>
      <c r="H871" s="1"/>
      <c r="K871" s="1"/>
      <c r="N871" s="1"/>
      <c r="Q871" s="1"/>
      <c r="T871" s="1"/>
      <c r="W871" s="1"/>
      <c r="Y871" s="1"/>
      <c r="AB871" s="3"/>
    </row>
    <row r="872" ht="15.75" customHeight="1">
      <c r="E872" s="1"/>
      <c r="H872" s="1"/>
      <c r="K872" s="1"/>
      <c r="N872" s="1"/>
      <c r="Q872" s="1"/>
      <c r="T872" s="1"/>
      <c r="W872" s="1"/>
      <c r="Y872" s="1"/>
      <c r="AB872" s="3"/>
    </row>
    <row r="873" ht="15.75" customHeight="1">
      <c r="E873" s="1"/>
      <c r="H873" s="1"/>
      <c r="K873" s="1"/>
      <c r="N873" s="1"/>
      <c r="Q873" s="1"/>
      <c r="T873" s="1"/>
      <c r="W873" s="1"/>
      <c r="Y873" s="1"/>
      <c r="AB873" s="3"/>
    </row>
    <row r="874" ht="15.75" customHeight="1">
      <c r="E874" s="1"/>
      <c r="H874" s="1"/>
      <c r="K874" s="1"/>
      <c r="N874" s="1"/>
      <c r="Q874" s="1"/>
      <c r="T874" s="1"/>
      <c r="W874" s="1"/>
      <c r="Y874" s="1"/>
      <c r="AB874" s="3"/>
    </row>
    <row r="875" ht="15.75" customHeight="1">
      <c r="E875" s="1"/>
      <c r="H875" s="1"/>
      <c r="K875" s="1"/>
      <c r="N875" s="1"/>
      <c r="Q875" s="1"/>
      <c r="T875" s="1"/>
      <c r="W875" s="1"/>
      <c r="Y875" s="1"/>
      <c r="AB875" s="3"/>
    </row>
    <row r="876" ht="15.75" customHeight="1">
      <c r="E876" s="1"/>
      <c r="H876" s="1"/>
      <c r="K876" s="1"/>
      <c r="N876" s="1"/>
      <c r="Q876" s="1"/>
      <c r="T876" s="1"/>
      <c r="W876" s="1"/>
      <c r="Y876" s="1"/>
      <c r="AB876" s="3"/>
    </row>
    <row r="877" ht="15.75" customHeight="1">
      <c r="E877" s="1"/>
      <c r="H877" s="1"/>
      <c r="K877" s="1"/>
      <c r="N877" s="1"/>
      <c r="Q877" s="1"/>
      <c r="T877" s="1"/>
      <c r="W877" s="1"/>
      <c r="Y877" s="1"/>
      <c r="AB877" s="3"/>
    </row>
    <row r="878" ht="15.75" customHeight="1">
      <c r="E878" s="1"/>
      <c r="H878" s="1"/>
      <c r="K878" s="1"/>
      <c r="N878" s="1"/>
      <c r="Q878" s="1"/>
      <c r="T878" s="1"/>
      <c r="W878" s="1"/>
      <c r="Y878" s="1"/>
      <c r="AB878" s="3"/>
    </row>
    <row r="879" ht="15.75" customHeight="1">
      <c r="E879" s="1"/>
      <c r="H879" s="1"/>
      <c r="K879" s="1"/>
      <c r="N879" s="1"/>
      <c r="Q879" s="1"/>
      <c r="T879" s="1"/>
      <c r="W879" s="1"/>
      <c r="Y879" s="1"/>
      <c r="AB879" s="3"/>
    </row>
    <row r="880" ht="15.75" customHeight="1">
      <c r="E880" s="1"/>
      <c r="H880" s="1"/>
      <c r="K880" s="1"/>
      <c r="N880" s="1"/>
      <c r="Q880" s="1"/>
      <c r="T880" s="1"/>
      <c r="W880" s="1"/>
      <c r="Y880" s="1"/>
      <c r="AB880" s="3"/>
    </row>
    <row r="881" ht="15.75" customHeight="1">
      <c r="E881" s="1"/>
      <c r="H881" s="1"/>
      <c r="K881" s="1"/>
      <c r="N881" s="1"/>
      <c r="Q881" s="1"/>
      <c r="T881" s="1"/>
      <c r="W881" s="1"/>
      <c r="Y881" s="1"/>
      <c r="AB881" s="3"/>
    </row>
    <row r="882" ht="15.75" customHeight="1">
      <c r="E882" s="1"/>
      <c r="H882" s="1"/>
      <c r="K882" s="1"/>
      <c r="N882" s="1"/>
      <c r="Q882" s="1"/>
      <c r="T882" s="1"/>
      <c r="W882" s="1"/>
      <c r="Y882" s="1"/>
      <c r="AB882" s="3"/>
    </row>
    <row r="883" ht="15.75" customHeight="1">
      <c r="E883" s="1"/>
      <c r="H883" s="1"/>
      <c r="K883" s="1"/>
      <c r="N883" s="1"/>
      <c r="Q883" s="1"/>
      <c r="T883" s="1"/>
      <c r="W883" s="1"/>
      <c r="Y883" s="1"/>
      <c r="AB883" s="3"/>
    </row>
    <row r="884" ht="15.75" customHeight="1">
      <c r="E884" s="1"/>
      <c r="H884" s="1"/>
      <c r="K884" s="1"/>
      <c r="N884" s="1"/>
      <c r="Q884" s="1"/>
      <c r="T884" s="1"/>
      <c r="W884" s="1"/>
      <c r="Y884" s="1"/>
      <c r="AB884" s="3"/>
    </row>
    <row r="885" ht="15.75" customHeight="1">
      <c r="E885" s="1"/>
      <c r="H885" s="1"/>
      <c r="K885" s="1"/>
      <c r="N885" s="1"/>
      <c r="Q885" s="1"/>
      <c r="T885" s="1"/>
      <c r="W885" s="1"/>
      <c r="Y885" s="1"/>
      <c r="AB885" s="3"/>
    </row>
    <row r="886" ht="15.75" customHeight="1">
      <c r="E886" s="1"/>
      <c r="H886" s="1"/>
      <c r="K886" s="1"/>
      <c r="N886" s="1"/>
      <c r="Q886" s="1"/>
      <c r="T886" s="1"/>
      <c r="W886" s="1"/>
      <c r="Y886" s="1"/>
      <c r="AB886" s="3"/>
    </row>
    <row r="887" ht="15.75" customHeight="1">
      <c r="E887" s="1"/>
      <c r="H887" s="1"/>
      <c r="K887" s="1"/>
      <c r="N887" s="1"/>
      <c r="Q887" s="1"/>
      <c r="T887" s="1"/>
      <c r="W887" s="1"/>
      <c r="Y887" s="1"/>
      <c r="AB887" s="3"/>
    </row>
    <row r="888" ht="15.75" customHeight="1">
      <c r="E888" s="1"/>
      <c r="H888" s="1"/>
      <c r="K888" s="1"/>
      <c r="N888" s="1"/>
      <c r="Q888" s="1"/>
      <c r="T888" s="1"/>
      <c r="W888" s="1"/>
      <c r="Y888" s="1"/>
      <c r="AB888" s="3"/>
    </row>
    <row r="889" ht="15.75" customHeight="1">
      <c r="E889" s="1"/>
      <c r="H889" s="1"/>
      <c r="K889" s="1"/>
      <c r="N889" s="1"/>
      <c r="Q889" s="1"/>
      <c r="T889" s="1"/>
      <c r="W889" s="1"/>
      <c r="Y889" s="1"/>
      <c r="AB889" s="3"/>
    </row>
    <row r="890" ht="15.75" customHeight="1">
      <c r="E890" s="1"/>
      <c r="H890" s="1"/>
      <c r="K890" s="1"/>
      <c r="N890" s="1"/>
      <c r="Q890" s="1"/>
      <c r="T890" s="1"/>
      <c r="W890" s="1"/>
      <c r="Y890" s="1"/>
      <c r="AB890" s="3"/>
    </row>
    <row r="891" ht="15.75" customHeight="1">
      <c r="E891" s="1"/>
      <c r="H891" s="1"/>
      <c r="K891" s="1"/>
      <c r="N891" s="1"/>
      <c r="Q891" s="1"/>
      <c r="T891" s="1"/>
      <c r="W891" s="1"/>
      <c r="Y891" s="1"/>
      <c r="AB891" s="3"/>
    </row>
    <row r="892" ht="15.75" customHeight="1">
      <c r="E892" s="1"/>
      <c r="H892" s="1"/>
      <c r="K892" s="1"/>
      <c r="N892" s="1"/>
      <c r="Q892" s="1"/>
      <c r="T892" s="1"/>
      <c r="W892" s="1"/>
      <c r="Y892" s="1"/>
      <c r="AB892" s="3"/>
    </row>
    <row r="893" ht="15.75" customHeight="1">
      <c r="E893" s="1"/>
      <c r="H893" s="1"/>
      <c r="K893" s="1"/>
      <c r="N893" s="1"/>
      <c r="Q893" s="1"/>
      <c r="T893" s="1"/>
      <c r="W893" s="1"/>
      <c r="Y893" s="1"/>
      <c r="AB893" s="3"/>
    </row>
    <row r="894" ht="15.75" customHeight="1">
      <c r="E894" s="1"/>
      <c r="H894" s="1"/>
      <c r="K894" s="1"/>
      <c r="N894" s="1"/>
      <c r="Q894" s="1"/>
      <c r="T894" s="1"/>
      <c r="W894" s="1"/>
      <c r="Y894" s="1"/>
      <c r="AB894" s="3"/>
    </row>
    <row r="895" ht="15.75" customHeight="1">
      <c r="E895" s="1"/>
      <c r="H895" s="1"/>
      <c r="K895" s="1"/>
      <c r="N895" s="1"/>
      <c r="Q895" s="1"/>
      <c r="T895" s="1"/>
      <c r="W895" s="1"/>
      <c r="Y895" s="1"/>
      <c r="AB895" s="3"/>
    </row>
    <row r="896" ht="15.75" customHeight="1">
      <c r="E896" s="1"/>
      <c r="H896" s="1"/>
      <c r="K896" s="1"/>
      <c r="N896" s="1"/>
      <c r="Q896" s="1"/>
      <c r="T896" s="1"/>
      <c r="W896" s="1"/>
      <c r="Y896" s="1"/>
      <c r="AB896" s="3"/>
    </row>
    <row r="897" ht="15.75" customHeight="1">
      <c r="E897" s="1"/>
      <c r="H897" s="1"/>
      <c r="K897" s="1"/>
      <c r="N897" s="1"/>
      <c r="Q897" s="1"/>
      <c r="T897" s="1"/>
      <c r="W897" s="1"/>
      <c r="Y897" s="1"/>
      <c r="AB897" s="3"/>
    </row>
    <row r="898" ht="15.75" customHeight="1">
      <c r="E898" s="1"/>
      <c r="H898" s="1"/>
      <c r="K898" s="1"/>
      <c r="N898" s="1"/>
      <c r="Q898" s="1"/>
      <c r="T898" s="1"/>
      <c r="W898" s="1"/>
      <c r="Y898" s="1"/>
      <c r="AB898" s="3"/>
    </row>
    <row r="899" ht="15.75" customHeight="1">
      <c r="E899" s="1"/>
      <c r="H899" s="1"/>
      <c r="K899" s="1"/>
      <c r="N899" s="1"/>
      <c r="Q899" s="1"/>
      <c r="T899" s="1"/>
      <c r="W899" s="1"/>
      <c r="Y899" s="1"/>
      <c r="AB899" s="3"/>
    </row>
    <row r="900" ht="15.75" customHeight="1">
      <c r="E900" s="1"/>
      <c r="H900" s="1"/>
      <c r="K900" s="1"/>
      <c r="N900" s="1"/>
      <c r="Q900" s="1"/>
      <c r="T900" s="1"/>
      <c r="W900" s="1"/>
      <c r="Y900" s="1"/>
      <c r="AB900" s="3"/>
    </row>
    <row r="901" ht="15.75" customHeight="1">
      <c r="E901" s="1"/>
      <c r="H901" s="1"/>
      <c r="K901" s="1"/>
      <c r="N901" s="1"/>
      <c r="Q901" s="1"/>
      <c r="T901" s="1"/>
      <c r="W901" s="1"/>
      <c r="Y901" s="1"/>
      <c r="AB901" s="3"/>
    </row>
    <row r="902" ht="15.75" customHeight="1">
      <c r="E902" s="1"/>
      <c r="H902" s="1"/>
      <c r="K902" s="1"/>
      <c r="N902" s="1"/>
      <c r="Q902" s="1"/>
      <c r="T902" s="1"/>
      <c r="W902" s="1"/>
      <c r="Y902" s="1"/>
      <c r="AB902" s="3"/>
    </row>
    <row r="903" ht="15.75" customHeight="1">
      <c r="E903" s="1"/>
      <c r="H903" s="1"/>
      <c r="K903" s="1"/>
      <c r="N903" s="1"/>
      <c r="Q903" s="1"/>
      <c r="T903" s="1"/>
      <c r="W903" s="1"/>
      <c r="Y903" s="1"/>
      <c r="AB903" s="3"/>
    </row>
    <row r="904" ht="15.75" customHeight="1">
      <c r="E904" s="1"/>
      <c r="H904" s="1"/>
      <c r="K904" s="1"/>
      <c r="N904" s="1"/>
      <c r="Q904" s="1"/>
      <c r="T904" s="1"/>
      <c r="W904" s="1"/>
      <c r="Y904" s="1"/>
      <c r="AB904" s="3"/>
    </row>
    <row r="905" ht="15.75" customHeight="1">
      <c r="E905" s="1"/>
      <c r="H905" s="1"/>
      <c r="K905" s="1"/>
      <c r="N905" s="1"/>
      <c r="Q905" s="1"/>
      <c r="T905" s="1"/>
      <c r="W905" s="1"/>
      <c r="Y905" s="1"/>
      <c r="AB905" s="3"/>
    </row>
    <row r="906" ht="15.75" customHeight="1">
      <c r="E906" s="1"/>
      <c r="H906" s="1"/>
      <c r="K906" s="1"/>
      <c r="N906" s="1"/>
      <c r="Q906" s="1"/>
      <c r="T906" s="1"/>
      <c r="W906" s="1"/>
      <c r="Y906" s="1"/>
      <c r="AB906" s="3"/>
    </row>
    <row r="907" ht="15.75" customHeight="1">
      <c r="E907" s="1"/>
      <c r="H907" s="1"/>
      <c r="K907" s="1"/>
      <c r="N907" s="1"/>
      <c r="Q907" s="1"/>
      <c r="T907" s="1"/>
      <c r="W907" s="1"/>
      <c r="Y907" s="1"/>
      <c r="AB907" s="3"/>
    </row>
    <row r="908" ht="15.75" customHeight="1">
      <c r="E908" s="1"/>
      <c r="H908" s="1"/>
      <c r="K908" s="1"/>
      <c r="N908" s="1"/>
      <c r="Q908" s="1"/>
      <c r="T908" s="1"/>
      <c r="W908" s="1"/>
      <c r="Y908" s="1"/>
      <c r="AB908" s="3"/>
    </row>
    <row r="909" ht="15.75" customHeight="1">
      <c r="E909" s="1"/>
      <c r="H909" s="1"/>
      <c r="K909" s="1"/>
      <c r="N909" s="1"/>
      <c r="Q909" s="1"/>
      <c r="T909" s="1"/>
      <c r="W909" s="1"/>
      <c r="Y909" s="1"/>
      <c r="AB909" s="3"/>
    </row>
    <row r="910" ht="15.75" customHeight="1">
      <c r="E910" s="1"/>
      <c r="H910" s="1"/>
      <c r="K910" s="1"/>
      <c r="N910" s="1"/>
      <c r="Q910" s="1"/>
      <c r="T910" s="1"/>
      <c r="W910" s="1"/>
      <c r="Y910" s="1"/>
      <c r="AB910" s="3"/>
    </row>
    <row r="911" ht="15.75" customHeight="1">
      <c r="E911" s="1"/>
      <c r="H911" s="1"/>
      <c r="K911" s="1"/>
      <c r="N911" s="1"/>
      <c r="Q911" s="1"/>
      <c r="T911" s="1"/>
      <c r="W911" s="1"/>
      <c r="Y911" s="1"/>
      <c r="AB911" s="3"/>
    </row>
    <row r="912" ht="15.75" customHeight="1">
      <c r="E912" s="1"/>
      <c r="H912" s="1"/>
      <c r="K912" s="1"/>
      <c r="N912" s="1"/>
      <c r="Q912" s="1"/>
      <c r="T912" s="1"/>
      <c r="W912" s="1"/>
      <c r="Y912" s="1"/>
      <c r="AB912" s="3"/>
    </row>
    <row r="913" ht="15.75" customHeight="1">
      <c r="E913" s="1"/>
      <c r="H913" s="1"/>
      <c r="K913" s="1"/>
      <c r="N913" s="1"/>
      <c r="Q913" s="1"/>
      <c r="T913" s="1"/>
      <c r="W913" s="1"/>
      <c r="Y913" s="1"/>
      <c r="AB913" s="3"/>
    </row>
    <row r="914" ht="15.75" customHeight="1">
      <c r="E914" s="1"/>
      <c r="H914" s="1"/>
      <c r="K914" s="1"/>
      <c r="N914" s="1"/>
      <c r="Q914" s="1"/>
      <c r="T914" s="1"/>
      <c r="W914" s="1"/>
      <c r="Y914" s="1"/>
      <c r="AB914" s="3"/>
    </row>
    <row r="915" ht="15.75" customHeight="1">
      <c r="E915" s="1"/>
      <c r="H915" s="1"/>
      <c r="K915" s="1"/>
      <c r="N915" s="1"/>
      <c r="Q915" s="1"/>
      <c r="T915" s="1"/>
      <c r="W915" s="1"/>
      <c r="Y915" s="1"/>
      <c r="AB915" s="3"/>
    </row>
    <row r="916" ht="15.75" customHeight="1">
      <c r="E916" s="1"/>
      <c r="H916" s="1"/>
      <c r="K916" s="1"/>
      <c r="N916" s="1"/>
      <c r="Q916" s="1"/>
      <c r="T916" s="1"/>
      <c r="W916" s="1"/>
      <c r="Y916" s="1"/>
      <c r="AB916" s="3"/>
    </row>
    <row r="917" ht="15.75" customHeight="1">
      <c r="E917" s="1"/>
      <c r="H917" s="1"/>
      <c r="K917" s="1"/>
      <c r="N917" s="1"/>
      <c r="Q917" s="1"/>
      <c r="T917" s="1"/>
      <c r="W917" s="1"/>
      <c r="Y917" s="1"/>
      <c r="AB917" s="3"/>
    </row>
    <row r="918" ht="15.75" customHeight="1">
      <c r="E918" s="1"/>
      <c r="H918" s="1"/>
      <c r="K918" s="1"/>
      <c r="N918" s="1"/>
      <c r="Q918" s="1"/>
      <c r="T918" s="1"/>
      <c r="W918" s="1"/>
      <c r="Y918" s="1"/>
      <c r="AB918" s="3"/>
    </row>
    <row r="919" ht="15.75" customHeight="1">
      <c r="E919" s="1"/>
      <c r="H919" s="1"/>
      <c r="K919" s="1"/>
      <c r="N919" s="1"/>
      <c r="Q919" s="1"/>
      <c r="T919" s="1"/>
      <c r="W919" s="1"/>
      <c r="Y919" s="1"/>
      <c r="AB919" s="3"/>
    </row>
    <row r="920" ht="15.75" customHeight="1">
      <c r="E920" s="1"/>
      <c r="H920" s="1"/>
      <c r="K920" s="1"/>
      <c r="N920" s="1"/>
      <c r="Q920" s="1"/>
      <c r="T920" s="1"/>
      <c r="W920" s="1"/>
      <c r="Y920" s="1"/>
      <c r="AB920" s="3"/>
    </row>
    <row r="921" ht="15.75" customHeight="1">
      <c r="E921" s="1"/>
      <c r="H921" s="1"/>
      <c r="K921" s="1"/>
      <c r="N921" s="1"/>
      <c r="Q921" s="1"/>
      <c r="T921" s="1"/>
      <c r="W921" s="1"/>
      <c r="Y921" s="1"/>
      <c r="AB921" s="3"/>
    </row>
    <row r="922" ht="15.75" customHeight="1">
      <c r="E922" s="1"/>
      <c r="H922" s="1"/>
      <c r="K922" s="1"/>
      <c r="N922" s="1"/>
      <c r="Q922" s="1"/>
      <c r="T922" s="1"/>
      <c r="W922" s="1"/>
      <c r="Y922" s="1"/>
      <c r="AB922" s="3"/>
    </row>
    <row r="923" ht="15.75" customHeight="1">
      <c r="E923" s="1"/>
      <c r="H923" s="1"/>
      <c r="K923" s="1"/>
      <c r="N923" s="1"/>
      <c r="Q923" s="1"/>
      <c r="T923" s="1"/>
      <c r="W923" s="1"/>
      <c r="Y923" s="1"/>
      <c r="AB923" s="3"/>
    </row>
    <row r="924" ht="15.75" customHeight="1">
      <c r="E924" s="1"/>
      <c r="H924" s="1"/>
      <c r="K924" s="1"/>
      <c r="N924" s="1"/>
      <c r="Q924" s="1"/>
      <c r="T924" s="1"/>
      <c r="W924" s="1"/>
      <c r="Y924" s="1"/>
      <c r="AB924" s="3"/>
    </row>
    <row r="925" ht="15.75" customHeight="1">
      <c r="E925" s="1"/>
      <c r="H925" s="1"/>
      <c r="K925" s="1"/>
      <c r="N925" s="1"/>
      <c r="Q925" s="1"/>
      <c r="T925" s="1"/>
      <c r="W925" s="1"/>
      <c r="Y925" s="1"/>
      <c r="AB925" s="3"/>
    </row>
    <row r="926" ht="15.75" customHeight="1">
      <c r="E926" s="1"/>
      <c r="H926" s="1"/>
      <c r="K926" s="1"/>
      <c r="N926" s="1"/>
      <c r="Q926" s="1"/>
      <c r="T926" s="1"/>
      <c r="W926" s="1"/>
      <c r="Y926" s="1"/>
      <c r="AB926" s="3"/>
    </row>
    <row r="927" ht="15.75" customHeight="1">
      <c r="E927" s="1"/>
      <c r="H927" s="1"/>
      <c r="K927" s="1"/>
      <c r="N927" s="1"/>
      <c r="Q927" s="1"/>
      <c r="T927" s="1"/>
      <c r="W927" s="1"/>
      <c r="Y927" s="1"/>
      <c r="AB927" s="3"/>
    </row>
    <row r="928" ht="15.75" customHeight="1">
      <c r="E928" s="1"/>
      <c r="H928" s="1"/>
      <c r="K928" s="1"/>
      <c r="N928" s="1"/>
      <c r="Q928" s="1"/>
      <c r="T928" s="1"/>
      <c r="W928" s="1"/>
      <c r="Y928" s="1"/>
      <c r="AB928" s="3"/>
    </row>
    <row r="929" ht="15.75" customHeight="1">
      <c r="E929" s="1"/>
      <c r="H929" s="1"/>
      <c r="K929" s="1"/>
      <c r="N929" s="1"/>
      <c r="Q929" s="1"/>
      <c r="T929" s="1"/>
      <c r="W929" s="1"/>
      <c r="Y929" s="1"/>
      <c r="AB929" s="3"/>
    </row>
    <row r="930" ht="15.75" customHeight="1">
      <c r="E930" s="1"/>
      <c r="H930" s="1"/>
      <c r="K930" s="1"/>
      <c r="N930" s="1"/>
      <c r="Q930" s="1"/>
      <c r="T930" s="1"/>
      <c r="W930" s="1"/>
      <c r="Y930" s="1"/>
      <c r="AB930" s="3"/>
    </row>
    <row r="931" ht="15.75" customHeight="1">
      <c r="E931" s="1"/>
      <c r="H931" s="1"/>
      <c r="K931" s="1"/>
      <c r="N931" s="1"/>
      <c r="Q931" s="1"/>
      <c r="T931" s="1"/>
      <c r="W931" s="1"/>
      <c r="Y931" s="1"/>
      <c r="AB931" s="3"/>
    </row>
    <row r="932" ht="15.75" customHeight="1">
      <c r="E932" s="1"/>
      <c r="H932" s="1"/>
      <c r="K932" s="1"/>
      <c r="N932" s="1"/>
      <c r="Q932" s="1"/>
      <c r="T932" s="1"/>
      <c r="W932" s="1"/>
      <c r="Y932" s="1"/>
      <c r="AB932" s="3"/>
    </row>
    <row r="933" ht="15.75" customHeight="1">
      <c r="E933" s="1"/>
      <c r="H933" s="1"/>
      <c r="K933" s="1"/>
      <c r="N933" s="1"/>
      <c r="Q933" s="1"/>
      <c r="T933" s="1"/>
      <c r="W933" s="1"/>
      <c r="Y933" s="1"/>
      <c r="AB933" s="3"/>
    </row>
    <row r="934" ht="15.75" customHeight="1">
      <c r="E934" s="1"/>
      <c r="H934" s="1"/>
      <c r="K934" s="1"/>
      <c r="N934" s="1"/>
      <c r="Q934" s="1"/>
      <c r="T934" s="1"/>
      <c r="W934" s="1"/>
      <c r="Y934" s="1"/>
      <c r="AB934" s="3"/>
    </row>
    <row r="935" ht="15.75" customHeight="1">
      <c r="E935" s="1"/>
      <c r="H935" s="1"/>
      <c r="K935" s="1"/>
      <c r="N935" s="1"/>
      <c r="Q935" s="1"/>
      <c r="T935" s="1"/>
      <c r="W935" s="1"/>
      <c r="Y935" s="1"/>
      <c r="AB935" s="3"/>
    </row>
    <row r="936" ht="15.75" customHeight="1">
      <c r="E936" s="1"/>
      <c r="H936" s="1"/>
      <c r="K936" s="1"/>
      <c r="N936" s="1"/>
      <c r="Q936" s="1"/>
      <c r="T936" s="1"/>
      <c r="W936" s="1"/>
      <c r="Y936" s="1"/>
      <c r="AB936" s="3"/>
    </row>
    <row r="937" ht="15.75" customHeight="1">
      <c r="E937" s="1"/>
      <c r="H937" s="1"/>
      <c r="K937" s="1"/>
      <c r="N937" s="1"/>
      <c r="Q937" s="1"/>
      <c r="T937" s="1"/>
      <c r="W937" s="1"/>
      <c r="Y937" s="1"/>
      <c r="AB937" s="3"/>
    </row>
    <row r="938" ht="15.75" customHeight="1">
      <c r="E938" s="1"/>
      <c r="H938" s="1"/>
      <c r="K938" s="1"/>
      <c r="N938" s="1"/>
      <c r="Q938" s="1"/>
      <c r="T938" s="1"/>
      <c r="W938" s="1"/>
      <c r="Y938" s="1"/>
      <c r="AB938" s="3"/>
    </row>
    <row r="939" ht="15.75" customHeight="1">
      <c r="E939" s="1"/>
      <c r="H939" s="1"/>
      <c r="K939" s="1"/>
      <c r="N939" s="1"/>
      <c r="Q939" s="1"/>
      <c r="T939" s="1"/>
      <c r="W939" s="1"/>
      <c r="Y939" s="1"/>
      <c r="AB939" s="3"/>
    </row>
    <row r="940" ht="15.75" customHeight="1">
      <c r="E940" s="1"/>
      <c r="H940" s="1"/>
      <c r="K940" s="1"/>
      <c r="N940" s="1"/>
      <c r="Q940" s="1"/>
      <c r="T940" s="1"/>
      <c r="W940" s="1"/>
      <c r="Y940" s="1"/>
      <c r="AB940" s="3"/>
    </row>
    <row r="941" ht="15.75" customHeight="1">
      <c r="E941" s="1"/>
      <c r="H941" s="1"/>
      <c r="K941" s="1"/>
      <c r="N941" s="1"/>
      <c r="Q941" s="1"/>
      <c r="T941" s="1"/>
      <c r="W941" s="1"/>
      <c r="Y941" s="1"/>
      <c r="AB941" s="3"/>
    </row>
    <row r="942" ht="15.75" customHeight="1">
      <c r="E942" s="1"/>
      <c r="H942" s="1"/>
      <c r="K942" s="1"/>
      <c r="N942" s="1"/>
      <c r="Q942" s="1"/>
      <c r="T942" s="1"/>
      <c r="W942" s="1"/>
      <c r="Y942" s="1"/>
      <c r="AB942" s="3"/>
    </row>
    <row r="943" ht="15.75" customHeight="1">
      <c r="E943" s="1"/>
      <c r="H943" s="1"/>
      <c r="K943" s="1"/>
      <c r="N943" s="1"/>
      <c r="Q943" s="1"/>
      <c r="T943" s="1"/>
      <c r="W943" s="1"/>
      <c r="Y943" s="1"/>
      <c r="AB943" s="3"/>
    </row>
    <row r="944" ht="15.75" customHeight="1">
      <c r="E944" s="1"/>
      <c r="H944" s="1"/>
      <c r="K944" s="1"/>
      <c r="N944" s="1"/>
      <c r="Q944" s="1"/>
      <c r="T944" s="1"/>
      <c r="W944" s="1"/>
      <c r="Y944" s="1"/>
      <c r="AB944" s="3"/>
    </row>
    <row r="945" ht="15.75" customHeight="1">
      <c r="E945" s="1"/>
      <c r="H945" s="1"/>
      <c r="K945" s="1"/>
      <c r="N945" s="1"/>
      <c r="Q945" s="1"/>
      <c r="T945" s="1"/>
      <c r="W945" s="1"/>
      <c r="Y945" s="1"/>
      <c r="AB945" s="3"/>
    </row>
    <row r="946" ht="15.75" customHeight="1">
      <c r="E946" s="1"/>
      <c r="H946" s="1"/>
      <c r="K946" s="1"/>
      <c r="N946" s="1"/>
      <c r="Q946" s="1"/>
      <c r="T946" s="1"/>
      <c r="W946" s="1"/>
      <c r="Y946" s="1"/>
      <c r="AB946" s="3"/>
    </row>
    <row r="947" ht="15.75" customHeight="1">
      <c r="E947" s="1"/>
      <c r="H947" s="1"/>
      <c r="K947" s="1"/>
      <c r="N947" s="1"/>
      <c r="Q947" s="1"/>
      <c r="T947" s="1"/>
      <c r="W947" s="1"/>
      <c r="Y947" s="1"/>
      <c r="AB947" s="3"/>
    </row>
    <row r="948" ht="15.75" customHeight="1">
      <c r="E948" s="1"/>
      <c r="H948" s="1"/>
      <c r="K948" s="1"/>
      <c r="N948" s="1"/>
      <c r="Q948" s="1"/>
      <c r="T948" s="1"/>
      <c r="W948" s="1"/>
      <c r="Y948" s="1"/>
      <c r="AB948" s="3"/>
    </row>
    <row r="949" ht="15.75" customHeight="1">
      <c r="E949" s="1"/>
      <c r="H949" s="1"/>
      <c r="K949" s="1"/>
      <c r="N949" s="1"/>
      <c r="Q949" s="1"/>
      <c r="T949" s="1"/>
      <c r="W949" s="1"/>
      <c r="Y949" s="1"/>
      <c r="AB949" s="3"/>
    </row>
    <row r="950" ht="15.75" customHeight="1">
      <c r="E950" s="1"/>
      <c r="H950" s="1"/>
      <c r="K950" s="1"/>
      <c r="N950" s="1"/>
      <c r="Q950" s="1"/>
      <c r="T950" s="1"/>
      <c r="W950" s="1"/>
      <c r="Y950" s="1"/>
      <c r="AB950" s="3"/>
    </row>
    <row r="951" ht="15.75" customHeight="1">
      <c r="E951" s="1"/>
      <c r="H951" s="1"/>
      <c r="K951" s="1"/>
      <c r="N951" s="1"/>
      <c r="Q951" s="1"/>
      <c r="T951" s="1"/>
      <c r="W951" s="1"/>
      <c r="Y951" s="1"/>
      <c r="AB951" s="3"/>
    </row>
    <row r="952" ht="15.75" customHeight="1">
      <c r="E952" s="1"/>
      <c r="H952" s="1"/>
      <c r="K952" s="1"/>
      <c r="N952" s="1"/>
      <c r="Q952" s="1"/>
      <c r="T952" s="1"/>
      <c r="W952" s="1"/>
      <c r="Y952" s="1"/>
      <c r="AB952" s="3"/>
    </row>
    <row r="953" ht="15.75" customHeight="1">
      <c r="E953" s="1"/>
      <c r="H953" s="1"/>
      <c r="K953" s="1"/>
      <c r="N953" s="1"/>
      <c r="Q953" s="1"/>
      <c r="T953" s="1"/>
      <c r="W953" s="1"/>
      <c r="Y953" s="1"/>
      <c r="AB953" s="3"/>
    </row>
    <row r="954" ht="15.75" customHeight="1">
      <c r="E954" s="1"/>
      <c r="H954" s="1"/>
      <c r="K954" s="1"/>
      <c r="N954" s="1"/>
      <c r="Q954" s="1"/>
      <c r="T954" s="1"/>
      <c r="W954" s="1"/>
      <c r="Y954" s="1"/>
      <c r="AB954" s="3"/>
    </row>
    <row r="955" ht="15.75" customHeight="1">
      <c r="E955" s="1"/>
      <c r="H955" s="1"/>
      <c r="K955" s="1"/>
      <c r="N955" s="1"/>
      <c r="Q955" s="1"/>
      <c r="T955" s="1"/>
      <c r="W955" s="1"/>
      <c r="Y955" s="1"/>
      <c r="AB955" s="3"/>
    </row>
    <row r="956" ht="15.75" customHeight="1">
      <c r="E956" s="1"/>
      <c r="H956" s="1"/>
      <c r="K956" s="1"/>
      <c r="N956" s="1"/>
      <c r="Q956" s="1"/>
      <c r="T956" s="1"/>
      <c r="W956" s="1"/>
      <c r="Y956" s="1"/>
      <c r="AB956" s="3"/>
    </row>
    <row r="957" ht="15.75" customHeight="1">
      <c r="E957" s="1"/>
      <c r="H957" s="1"/>
      <c r="K957" s="1"/>
      <c r="N957" s="1"/>
      <c r="Q957" s="1"/>
      <c r="T957" s="1"/>
      <c r="W957" s="1"/>
      <c r="Y957" s="1"/>
      <c r="AB957" s="3"/>
    </row>
    <row r="958" ht="15.75" customHeight="1">
      <c r="E958" s="1"/>
      <c r="H958" s="1"/>
      <c r="K958" s="1"/>
      <c r="N958" s="1"/>
      <c r="Q958" s="1"/>
      <c r="T958" s="1"/>
      <c r="W958" s="1"/>
      <c r="Y958" s="1"/>
      <c r="AB958" s="3"/>
    </row>
    <row r="959" ht="15.75" customHeight="1">
      <c r="E959" s="1"/>
      <c r="H959" s="1"/>
      <c r="K959" s="1"/>
      <c r="N959" s="1"/>
      <c r="Q959" s="1"/>
      <c r="T959" s="1"/>
      <c r="W959" s="1"/>
      <c r="Y959" s="1"/>
      <c r="AB959" s="3"/>
    </row>
    <row r="960" ht="15.75" customHeight="1">
      <c r="E960" s="1"/>
      <c r="H960" s="1"/>
      <c r="K960" s="1"/>
      <c r="N960" s="1"/>
      <c r="Q960" s="1"/>
      <c r="T960" s="1"/>
      <c r="W960" s="1"/>
      <c r="Y960" s="1"/>
      <c r="AB960" s="3"/>
    </row>
    <row r="961" ht="15.75" customHeight="1">
      <c r="E961" s="1"/>
      <c r="H961" s="1"/>
      <c r="K961" s="1"/>
      <c r="N961" s="1"/>
      <c r="Q961" s="1"/>
      <c r="T961" s="1"/>
      <c r="W961" s="1"/>
      <c r="Y961" s="1"/>
      <c r="AB961" s="3"/>
    </row>
    <row r="962" ht="15.75" customHeight="1">
      <c r="E962" s="1"/>
      <c r="H962" s="1"/>
      <c r="K962" s="1"/>
      <c r="N962" s="1"/>
      <c r="Q962" s="1"/>
      <c r="T962" s="1"/>
      <c r="W962" s="1"/>
      <c r="Y962" s="1"/>
      <c r="AB962" s="3"/>
    </row>
    <row r="963" ht="15.75" customHeight="1">
      <c r="E963" s="1"/>
      <c r="H963" s="1"/>
      <c r="K963" s="1"/>
      <c r="N963" s="1"/>
      <c r="Q963" s="1"/>
      <c r="T963" s="1"/>
      <c r="W963" s="1"/>
      <c r="Y963" s="1"/>
      <c r="AB963" s="3"/>
    </row>
    <row r="964" ht="15.75" customHeight="1">
      <c r="E964" s="1"/>
      <c r="H964" s="1"/>
      <c r="K964" s="1"/>
      <c r="N964" s="1"/>
      <c r="Q964" s="1"/>
      <c r="T964" s="1"/>
      <c r="W964" s="1"/>
      <c r="Y964" s="1"/>
      <c r="AB964" s="3"/>
    </row>
    <row r="965" ht="15.75" customHeight="1">
      <c r="E965" s="1"/>
      <c r="H965" s="1"/>
      <c r="K965" s="1"/>
      <c r="N965" s="1"/>
      <c r="Q965" s="1"/>
      <c r="T965" s="1"/>
      <c r="W965" s="1"/>
      <c r="Y965" s="1"/>
      <c r="AB965" s="3"/>
    </row>
    <row r="966" ht="15.75" customHeight="1">
      <c r="E966" s="1"/>
      <c r="H966" s="1"/>
      <c r="K966" s="1"/>
      <c r="N966" s="1"/>
      <c r="Q966" s="1"/>
      <c r="T966" s="1"/>
      <c r="W966" s="1"/>
      <c r="Y966" s="1"/>
      <c r="AB966" s="3"/>
    </row>
    <row r="967" ht="15.75" customHeight="1">
      <c r="E967" s="1"/>
      <c r="H967" s="1"/>
      <c r="K967" s="1"/>
      <c r="N967" s="1"/>
      <c r="Q967" s="1"/>
      <c r="T967" s="1"/>
      <c r="W967" s="1"/>
      <c r="Y967" s="1"/>
      <c r="AB967" s="3"/>
    </row>
    <row r="968" ht="15.75" customHeight="1">
      <c r="E968" s="1"/>
      <c r="H968" s="1"/>
      <c r="K968" s="1"/>
      <c r="N968" s="1"/>
      <c r="Q968" s="1"/>
      <c r="T968" s="1"/>
      <c r="W968" s="1"/>
      <c r="Y968" s="1"/>
      <c r="AB968" s="3"/>
    </row>
    <row r="969" ht="15.75" customHeight="1">
      <c r="E969" s="1"/>
      <c r="H969" s="1"/>
      <c r="K969" s="1"/>
      <c r="N969" s="1"/>
      <c r="Q969" s="1"/>
      <c r="T969" s="1"/>
      <c r="W969" s="1"/>
      <c r="Y969" s="1"/>
      <c r="AB969" s="3"/>
    </row>
    <row r="970" ht="15.75" customHeight="1">
      <c r="E970" s="1"/>
      <c r="H970" s="1"/>
      <c r="K970" s="1"/>
      <c r="N970" s="1"/>
      <c r="Q970" s="1"/>
      <c r="T970" s="1"/>
      <c r="W970" s="1"/>
      <c r="Y970" s="1"/>
      <c r="AB970" s="3"/>
    </row>
    <row r="971" ht="15.75" customHeight="1">
      <c r="E971" s="1"/>
      <c r="H971" s="1"/>
      <c r="K971" s="1"/>
      <c r="N971" s="1"/>
      <c r="Q971" s="1"/>
      <c r="T971" s="1"/>
      <c r="W971" s="1"/>
      <c r="Y971" s="1"/>
      <c r="AB971" s="3"/>
    </row>
    <row r="972" ht="15.75" customHeight="1">
      <c r="E972" s="1"/>
      <c r="H972" s="1"/>
      <c r="K972" s="1"/>
      <c r="N972" s="1"/>
      <c r="Q972" s="1"/>
      <c r="T972" s="1"/>
      <c r="W972" s="1"/>
      <c r="Y972" s="1"/>
      <c r="AB972" s="3"/>
    </row>
    <row r="973" ht="15.75" customHeight="1">
      <c r="E973" s="1"/>
      <c r="H973" s="1"/>
      <c r="K973" s="1"/>
      <c r="N973" s="1"/>
      <c r="Q973" s="1"/>
      <c r="T973" s="1"/>
      <c r="W973" s="1"/>
      <c r="Y973" s="1"/>
      <c r="AB973" s="3"/>
    </row>
    <row r="974" ht="15.75" customHeight="1">
      <c r="E974" s="1"/>
      <c r="H974" s="1"/>
      <c r="K974" s="1"/>
      <c r="N974" s="1"/>
      <c r="Q974" s="1"/>
      <c r="T974" s="1"/>
      <c r="W974" s="1"/>
      <c r="Y974" s="1"/>
      <c r="AB974" s="3"/>
    </row>
    <row r="975" ht="15.75" customHeight="1">
      <c r="E975" s="1"/>
      <c r="H975" s="1"/>
      <c r="K975" s="1"/>
      <c r="N975" s="1"/>
      <c r="Q975" s="1"/>
      <c r="T975" s="1"/>
      <c r="W975" s="1"/>
      <c r="Y975" s="1"/>
      <c r="AB975" s="3"/>
    </row>
    <row r="976" ht="15.75" customHeight="1">
      <c r="E976" s="1"/>
      <c r="H976" s="1"/>
      <c r="K976" s="1"/>
      <c r="N976" s="1"/>
      <c r="Q976" s="1"/>
      <c r="T976" s="1"/>
      <c r="W976" s="1"/>
      <c r="Y976" s="1"/>
      <c r="AB976" s="3"/>
    </row>
    <row r="977" ht="15.75" customHeight="1">
      <c r="E977" s="1"/>
      <c r="H977" s="1"/>
      <c r="K977" s="1"/>
      <c r="N977" s="1"/>
      <c r="Q977" s="1"/>
      <c r="T977" s="1"/>
      <c r="W977" s="1"/>
      <c r="Y977" s="1"/>
      <c r="AB977" s="3"/>
    </row>
    <row r="978" ht="15.75" customHeight="1">
      <c r="E978" s="1"/>
      <c r="H978" s="1"/>
      <c r="K978" s="1"/>
      <c r="N978" s="1"/>
      <c r="Q978" s="1"/>
      <c r="T978" s="1"/>
      <c r="W978" s="1"/>
      <c r="Y978" s="1"/>
      <c r="AB978" s="3"/>
    </row>
    <row r="979" ht="15.75" customHeight="1">
      <c r="E979" s="1"/>
      <c r="H979" s="1"/>
      <c r="K979" s="1"/>
      <c r="N979" s="1"/>
      <c r="Q979" s="1"/>
      <c r="T979" s="1"/>
      <c r="W979" s="1"/>
      <c r="Y979" s="1"/>
      <c r="AB979" s="3"/>
    </row>
    <row r="980" ht="15.75" customHeight="1">
      <c r="E980" s="1"/>
      <c r="H980" s="1"/>
      <c r="K980" s="1"/>
      <c r="N980" s="1"/>
      <c r="Q980" s="1"/>
      <c r="T980" s="1"/>
      <c r="W980" s="1"/>
      <c r="Y980" s="1"/>
      <c r="AB980" s="3"/>
    </row>
    <row r="981" ht="15.75" customHeight="1">
      <c r="E981" s="1"/>
      <c r="H981" s="1"/>
      <c r="K981" s="1"/>
      <c r="N981" s="1"/>
      <c r="Q981" s="1"/>
      <c r="T981" s="1"/>
      <c r="W981" s="1"/>
      <c r="Y981" s="1"/>
      <c r="AB981" s="3"/>
    </row>
    <row r="982" ht="15.75" customHeight="1">
      <c r="E982" s="1"/>
      <c r="H982" s="1"/>
      <c r="K982" s="1"/>
      <c r="N982" s="1"/>
      <c r="Q982" s="1"/>
      <c r="T982" s="1"/>
      <c r="W982" s="1"/>
      <c r="Y982" s="1"/>
      <c r="AB982" s="3"/>
    </row>
    <row r="983" ht="15.75" customHeight="1">
      <c r="E983" s="1"/>
      <c r="H983" s="1"/>
      <c r="K983" s="1"/>
      <c r="N983" s="1"/>
      <c r="Q983" s="1"/>
      <c r="T983" s="1"/>
      <c r="W983" s="1"/>
      <c r="Y983" s="1"/>
      <c r="AB983" s="3"/>
    </row>
    <row r="984" ht="15.75" customHeight="1">
      <c r="E984" s="1"/>
      <c r="H984" s="1"/>
      <c r="K984" s="1"/>
      <c r="N984" s="1"/>
      <c r="Q984" s="1"/>
      <c r="T984" s="1"/>
      <c r="W984" s="1"/>
      <c r="Y984" s="1"/>
      <c r="AB984" s="3"/>
    </row>
    <row r="985" ht="15.75" customHeight="1">
      <c r="E985" s="1"/>
      <c r="H985" s="1"/>
      <c r="K985" s="1"/>
      <c r="N985" s="1"/>
      <c r="Q985" s="1"/>
      <c r="T985" s="1"/>
      <c r="W985" s="1"/>
      <c r="Y985" s="1"/>
      <c r="AB985" s="3"/>
    </row>
    <row r="986" ht="15.75" customHeight="1">
      <c r="E986" s="1"/>
      <c r="H986" s="1"/>
      <c r="K986" s="1"/>
      <c r="N986" s="1"/>
      <c r="Q986" s="1"/>
      <c r="T986" s="1"/>
      <c r="W986" s="1"/>
      <c r="Y986" s="1"/>
      <c r="AB986" s="3"/>
    </row>
    <row r="987" ht="15.75" customHeight="1">
      <c r="E987" s="1"/>
      <c r="H987" s="1"/>
      <c r="K987" s="1"/>
      <c r="N987" s="1"/>
      <c r="Q987" s="1"/>
      <c r="T987" s="1"/>
      <c r="W987" s="1"/>
      <c r="Y987" s="1"/>
      <c r="AB987" s="3"/>
    </row>
    <row r="988" ht="15.75" customHeight="1">
      <c r="E988" s="1"/>
      <c r="H988" s="1"/>
      <c r="K988" s="1"/>
      <c r="N988" s="1"/>
      <c r="Q988" s="1"/>
      <c r="T988" s="1"/>
      <c r="W988" s="1"/>
      <c r="Y988" s="1"/>
      <c r="AB988" s="3"/>
    </row>
    <row r="989" ht="15.75" customHeight="1">
      <c r="E989" s="1"/>
      <c r="H989" s="1"/>
      <c r="K989" s="1"/>
      <c r="N989" s="1"/>
      <c r="Q989" s="1"/>
      <c r="T989" s="1"/>
      <c r="W989" s="1"/>
      <c r="Y989" s="1"/>
      <c r="AB989" s="3"/>
    </row>
    <row r="990" ht="15.75" customHeight="1">
      <c r="E990" s="1"/>
      <c r="H990" s="1"/>
      <c r="K990" s="1"/>
      <c r="N990" s="1"/>
      <c r="Q990" s="1"/>
      <c r="T990" s="1"/>
      <c r="W990" s="1"/>
      <c r="Y990" s="1"/>
      <c r="AB990" s="3"/>
    </row>
    <row r="991" ht="15.75" customHeight="1">
      <c r="E991" s="1"/>
      <c r="H991" s="1"/>
      <c r="K991" s="1"/>
      <c r="N991" s="1"/>
      <c r="Q991" s="1"/>
      <c r="T991" s="1"/>
      <c r="W991" s="1"/>
      <c r="Y991" s="1"/>
      <c r="AB991" s="3"/>
    </row>
    <row r="992" ht="15.75" customHeight="1">
      <c r="E992" s="1"/>
      <c r="H992" s="1"/>
      <c r="K992" s="1"/>
      <c r="N992" s="1"/>
      <c r="Q992" s="1"/>
      <c r="T992" s="1"/>
      <c r="W992" s="1"/>
      <c r="Y992" s="1"/>
      <c r="AB992" s="3"/>
    </row>
    <row r="993" ht="15.75" customHeight="1">
      <c r="E993" s="1"/>
      <c r="H993" s="1"/>
      <c r="K993" s="1"/>
      <c r="N993" s="1"/>
      <c r="Q993" s="1"/>
      <c r="T993" s="1"/>
      <c r="W993" s="1"/>
      <c r="Y993" s="1"/>
      <c r="AB993" s="3"/>
    </row>
    <row r="994" ht="15.75" customHeight="1">
      <c r="E994" s="1"/>
      <c r="H994" s="1"/>
      <c r="K994" s="1"/>
      <c r="N994" s="1"/>
      <c r="Q994" s="1"/>
      <c r="T994" s="1"/>
      <c r="W994" s="1"/>
      <c r="Y994" s="1"/>
      <c r="AB994" s="3"/>
    </row>
    <row r="995" ht="15.75" customHeight="1">
      <c r="E995" s="1"/>
      <c r="H995" s="1"/>
      <c r="K995" s="1"/>
      <c r="N995" s="1"/>
      <c r="Q995" s="1"/>
      <c r="T995" s="1"/>
      <c r="W995" s="1"/>
      <c r="Y995" s="1"/>
      <c r="AB995" s="3"/>
    </row>
    <row r="996" ht="15.75" customHeight="1">
      <c r="E996" s="1"/>
      <c r="H996" s="1"/>
      <c r="K996" s="1"/>
      <c r="N996" s="1"/>
      <c r="Q996" s="1"/>
      <c r="T996" s="1"/>
      <c r="W996" s="1"/>
      <c r="Y996" s="1"/>
      <c r="AB996" s="3"/>
    </row>
    <row r="997" ht="15.75" customHeight="1">
      <c r="E997" s="1"/>
      <c r="H997" s="1"/>
      <c r="K997" s="1"/>
      <c r="N997" s="1"/>
      <c r="Q997" s="1"/>
      <c r="T997" s="1"/>
      <c r="W997" s="1"/>
      <c r="Y997" s="1"/>
      <c r="AB997" s="3"/>
    </row>
    <row r="998" ht="15.75" customHeight="1">
      <c r="E998" s="1"/>
      <c r="H998" s="1"/>
      <c r="K998" s="1"/>
      <c r="N998" s="1"/>
      <c r="Q998" s="1"/>
      <c r="T998" s="1"/>
      <c r="W998" s="1"/>
      <c r="Y998" s="1"/>
      <c r="AB998" s="3"/>
    </row>
    <row r="999" ht="15.75" customHeight="1">
      <c r="E999" s="1"/>
      <c r="H999" s="1"/>
      <c r="K999" s="1"/>
      <c r="N999" s="1"/>
      <c r="Q999" s="1"/>
      <c r="T999" s="1"/>
      <c r="W999" s="1"/>
      <c r="Y999" s="1"/>
      <c r="AB999" s="3"/>
    </row>
    <row r="1000" ht="15.75" customHeight="1">
      <c r="E1000" s="1"/>
      <c r="H1000" s="1"/>
      <c r="K1000" s="1"/>
      <c r="N1000" s="1"/>
      <c r="Q1000" s="1"/>
      <c r="T1000" s="1"/>
      <c r="W1000" s="1"/>
      <c r="Y1000" s="1"/>
      <c r="AB1000" s="3"/>
    </row>
    <row r="1001" ht="15.75" customHeight="1">
      <c r="E1001" s="1"/>
      <c r="H1001" s="1"/>
      <c r="K1001" s="1"/>
      <c r="N1001" s="1"/>
      <c r="Q1001" s="1"/>
      <c r="T1001" s="1"/>
      <c r="W1001" s="1"/>
      <c r="Y1001" s="1"/>
      <c r="AB1001" s="3"/>
    </row>
    <row r="1002" ht="15.75" customHeight="1">
      <c r="E1002" s="1"/>
      <c r="H1002" s="1"/>
      <c r="K1002" s="1"/>
      <c r="N1002" s="1"/>
      <c r="Q1002" s="1"/>
      <c r="T1002" s="1"/>
      <c r="W1002" s="1"/>
      <c r="Y1002" s="1"/>
      <c r="AB1002" s="3"/>
    </row>
    <row r="1003" ht="15.75" customHeight="1">
      <c r="E1003" s="1"/>
      <c r="H1003" s="1"/>
      <c r="K1003" s="1"/>
      <c r="N1003" s="1"/>
      <c r="Q1003" s="1"/>
      <c r="T1003" s="1"/>
      <c r="W1003" s="1"/>
      <c r="Y1003" s="1"/>
      <c r="AB1003" s="3"/>
    </row>
    <row r="1004" ht="15.75" customHeight="1">
      <c r="E1004" s="1"/>
      <c r="H1004" s="1"/>
      <c r="K1004" s="1"/>
      <c r="N1004" s="1"/>
      <c r="Q1004" s="1"/>
      <c r="T1004" s="1"/>
      <c r="W1004" s="1"/>
      <c r="Y1004" s="1"/>
      <c r="AB1004" s="3"/>
    </row>
    <row r="1005" ht="15.75" customHeight="1">
      <c r="E1005" s="1"/>
      <c r="H1005" s="1"/>
      <c r="K1005" s="1"/>
      <c r="N1005" s="1"/>
      <c r="Q1005" s="1"/>
      <c r="T1005" s="1"/>
      <c r="W1005" s="1"/>
      <c r="Y1005" s="1"/>
      <c r="AB1005" s="3"/>
    </row>
    <row r="1006" ht="15.75" customHeight="1">
      <c r="E1006" s="1"/>
      <c r="H1006" s="1"/>
      <c r="K1006" s="1"/>
      <c r="N1006" s="1"/>
      <c r="Q1006" s="1"/>
      <c r="T1006" s="1"/>
      <c r="W1006" s="1"/>
      <c r="Y1006" s="1"/>
      <c r="AB1006" s="3"/>
    </row>
    <row r="1007" ht="15.75" customHeight="1">
      <c r="E1007" s="1"/>
      <c r="H1007" s="1"/>
      <c r="K1007" s="1"/>
      <c r="N1007" s="1"/>
      <c r="Q1007" s="1"/>
      <c r="T1007" s="1"/>
      <c r="W1007" s="1"/>
      <c r="Y1007" s="1"/>
      <c r="AB1007" s="3"/>
    </row>
    <row r="1008" ht="15.75" customHeight="1">
      <c r="E1008" s="1"/>
      <c r="H1008" s="1"/>
      <c r="K1008" s="1"/>
      <c r="N1008" s="1"/>
      <c r="Q1008" s="1"/>
      <c r="T1008" s="1"/>
      <c r="W1008" s="1"/>
      <c r="Y1008" s="1"/>
      <c r="AB1008" s="3"/>
    </row>
    <row r="1009" ht="15.75" customHeight="1">
      <c r="E1009" s="1"/>
      <c r="H1009" s="1"/>
      <c r="K1009" s="1"/>
      <c r="N1009" s="1"/>
      <c r="Q1009" s="1"/>
      <c r="T1009" s="1"/>
      <c r="W1009" s="1"/>
      <c r="Y1009" s="1"/>
      <c r="AB1009" s="3"/>
    </row>
    <row r="1010" ht="15.75" customHeight="1">
      <c r="E1010" s="1"/>
      <c r="H1010" s="1"/>
      <c r="K1010" s="1"/>
      <c r="N1010" s="1"/>
      <c r="Q1010" s="1"/>
      <c r="T1010" s="1"/>
      <c r="W1010" s="1"/>
      <c r="Y1010" s="1"/>
      <c r="AB1010" s="3"/>
    </row>
    <row r="1011" ht="15.75" customHeight="1">
      <c r="E1011" s="1"/>
      <c r="H1011" s="1"/>
      <c r="K1011" s="1"/>
      <c r="N1011" s="1"/>
      <c r="Q1011" s="1"/>
      <c r="T1011" s="1"/>
      <c r="W1011" s="1"/>
      <c r="Y1011" s="1"/>
      <c r="AB1011" s="3"/>
    </row>
    <row r="1012" ht="15.75" customHeight="1">
      <c r="E1012" s="1"/>
      <c r="H1012" s="1"/>
      <c r="K1012" s="1"/>
      <c r="N1012" s="1"/>
      <c r="Q1012" s="1"/>
      <c r="T1012" s="1"/>
      <c r="W1012" s="1"/>
      <c r="Y1012" s="1"/>
      <c r="AB1012" s="3"/>
    </row>
    <row r="1013" ht="15.75" customHeight="1">
      <c r="E1013" s="1"/>
      <c r="H1013" s="1"/>
      <c r="K1013" s="1"/>
      <c r="N1013" s="1"/>
      <c r="Q1013" s="1"/>
      <c r="T1013" s="1"/>
      <c r="W1013" s="1"/>
      <c r="Y1013" s="1"/>
      <c r="AB1013" s="3"/>
    </row>
    <row r="1014" ht="15.75" customHeight="1">
      <c r="E1014" s="1"/>
      <c r="H1014" s="1"/>
      <c r="K1014" s="1"/>
      <c r="N1014" s="1"/>
      <c r="Q1014" s="1"/>
      <c r="T1014" s="1"/>
      <c r="W1014" s="1"/>
      <c r="Y1014" s="1"/>
      <c r="AB1014" s="3"/>
    </row>
    <row r="1015" ht="15.75" customHeight="1">
      <c r="E1015" s="1"/>
      <c r="H1015" s="1"/>
      <c r="K1015" s="1"/>
      <c r="N1015" s="1"/>
      <c r="Q1015" s="1"/>
      <c r="T1015" s="1"/>
      <c r="W1015" s="1"/>
      <c r="Y1015" s="1"/>
      <c r="AB1015" s="3"/>
    </row>
    <row r="1016" ht="15.75" customHeight="1">
      <c r="E1016" s="1"/>
      <c r="H1016" s="1"/>
      <c r="K1016" s="1"/>
      <c r="N1016" s="1"/>
      <c r="Q1016" s="1"/>
      <c r="T1016" s="1"/>
      <c r="W1016" s="1"/>
      <c r="Y1016" s="1"/>
      <c r="AB1016" s="3"/>
    </row>
  </sheetData>
  <mergeCells count="1">
    <mergeCell ref="C2:D2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2023-12-02T13:47:45Z</dcterms:created>
  <dc:creator>Nyeme Wilson</dc:creator>
</cp:coreProperties>
</file>